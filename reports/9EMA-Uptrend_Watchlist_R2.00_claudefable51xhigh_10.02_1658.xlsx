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版更新" sheetId="1" state="visible" r:id="rId1"/>
    <sheet name="總表" sheetId="2" state="visible" r:id="rId2"/>
    <sheet name="a 剛黃金交叉" sheetId="3" state="visible" r:id="rId3"/>
    <sheet name="b 回到21EMA" sheetId="4" state="visible" r:id="rId4"/>
    <sheet name="c 回到9EMA" sheetId="5" state="visible" r:id="rId5"/>
    <sheet name="大型股" sheetId="6" state="visible" r:id="rId6"/>
    <sheet name="中型股" sheetId="7" state="visible" r:id="rId7"/>
    <sheet name="小型股" sheetId="8" state="visible" r:id="rId8"/>
    <sheet name="差一項" sheetId="9" state="visible" r:id="rId9"/>
    <sheet name="樞軸底頂" sheetId="10" state="visible" r:id="rId10"/>
    <sheet name="篩選規則" sheetId="11" state="visible" r:id="rId11"/>
    <sheet name="市況" sheetId="12" state="visible" r:id="rId12"/>
    <sheet name="數據核對" sheetId="13" state="visible" r:id="rId13"/>
  </sheets>
  <definedNames>
    <definedName name="_xlnm._FilterDatabase" localSheetId="1" hidden="1">'總表'!$A$1:$BM$1</definedName>
    <definedName name="_xlnm._FilterDatabase" localSheetId="2" hidden="1">'a 剛黃金交叉'!$A$1:$AG$1</definedName>
    <definedName name="_xlnm._FilterDatabase" localSheetId="3" hidden="1">'b 回到21EMA'!$A$1:$AG$1</definedName>
    <definedName name="_xlnm._FilterDatabase" localSheetId="4" hidden="1">'c 回到9EMA'!$A$1:$AG$1</definedName>
    <definedName name="_xlnm._FilterDatabase" localSheetId="5" hidden="1">'大型股'!$A$1:$Z$1</definedName>
    <definedName name="_xlnm._FilterDatabase" localSheetId="6" hidden="1">'中型股'!$A$1:$Z$1</definedName>
    <definedName name="_xlnm._FilterDatabase" localSheetId="7" hidden="1">'小型股'!$A$1:$Z$1</definedName>
    <definedName name="_xlnm._FilterDatabase" localSheetId="8" hidden="1">'差一項'!$A$1:$J$1</definedName>
    <definedName name="_xlnm._FilterDatabase" localSheetId="9" hidden="1">'樞軸底頂'!$A$1:$O$1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##"/>
    <numFmt numFmtId="165" formatCode="0.0"/>
    <numFmt numFmtId="166" formatCode="0.00%;[Red](0.00%);-"/>
    <numFmt numFmtId="167" formatCode="0.0%;[Red](0.0%);-"/>
    <numFmt numFmtId="168" formatCode="0.00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0563C1"/>
      <sz val="10"/>
      <u val="single"/>
    </font>
    <font>
      <name val="Arial"/>
      <b val="1"/>
      <sz val="10"/>
    </font>
    <font>
      <name val="Arial"/>
      <i val="1"/>
      <sz val="9"/>
    </font>
    <font>
      <name val="Arial"/>
      <i val="1"/>
      <color rgb="00666666"/>
      <sz val="9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8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4" fillId="0" borderId="1" pivotButton="0" quotePrefix="0" xfId="0"/>
    <xf numFmtId="4" fontId="3" fillId="0" borderId="1" pivotButton="0" quotePrefix="0" xfId="0"/>
    <xf numFmtId="164" fontId="3" fillId="0" borderId="1" pivotButton="0" quotePrefix="0" xfId="0"/>
    <xf numFmtId="166" fontId="2" fillId="0" borderId="1" pivotButton="0" quotePrefix="0" xfId="0"/>
    <xf numFmtId="3" fontId="3" fillId="0" borderId="1" pivotButton="0" quotePrefix="0" xfId="0"/>
    <xf numFmtId="2" fontId="2" fillId="0" borderId="1" pivotButton="0" quotePrefix="0" xfId="0"/>
    <xf numFmtId="9" fontId="3" fillId="0" borderId="1" pivotButton="0" quotePrefix="0" xfId="0"/>
    <xf numFmtId="167" fontId="2" fillId="0" borderId="1" pivotButton="0" quotePrefix="0" xfId="0"/>
    <xf numFmtId="0" fontId="3" fillId="0" borderId="1" pivotButton="0" quotePrefix="0" xfId="0"/>
    <xf numFmtId="2" fontId="3" fillId="0" borderId="1" pivotButton="0" quotePrefix="0" xfId="0"/>
    <xf numFmtId="165" fontId="3" fillId="0" borderId="1" pivotButton="0" quotePrefix="0" xfId="0"/>
    <xf numFmtId="165" fontId="2" fillId="0" borderId="1" pivotButton="0" quotePrefix="0" xfId="0"/>
    <xf numFmtId="165" fontId="5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4" fillId="4" borderId="1" pivotButton="0" quotePrefix="0" xfId="0"/>
    <xf numFmtId="4" fontId="3" fillId="4" borderId="1" pivotButton="0" quotePrefix="0" xfId="0"/>
    <xf numFmtId="164" fontId="3" fillId="4" borderId="1" pivotButton="0" quotePrefix="0" xfId="0"/>
    <xf numFmtId="166" fontId="2" fillId="4" borderId="1" pivotButton="0" quotePrefix="0" xfId="0"/>
    <xf numFmtId="3" fontId="3" fillId="4" borderId="1" pivotButton="0" quotePrefix="0" xfId="0"/>
    <xf numFmtId="2" fontId="2" fillId="4" borderId="1" pivotButton="0" quotePrefix="0" xfId="0"/>
    <xf numFmtId="9" fontId="3" fillId="4" borderId="1" pivotButton="0" quotePrefix="0" xfId="0"/>
    <xf numFmtId="167" fontId="2" fillId="4" borderId="1" pivotButton="0" quotePrefix="0" xfId="0"/>
    <xf numFmtId="0" fontId="3" fillId="4" borderId="1" pivotButton="0" quotePrefix="0" xfId="0"/>
    <xf numFmtId="2" fontId="3" fillId="4" borderId="1" pivotButton="0" quotePrefix="0" xfId="0"/>
    <xf numFmtId="165" fontId="3" fillId="4" borderId="1" pivotButton="0" quotePrefix="0" xfId="0"/>
    <xf numFmtId="165" fontId="2" fillId="4" borderId="1" pivotButton="0" quotePrefix="0" xfId="0"/>
    <xf numFmtId="165" fontId="5" fillId="4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5" fillId="5" borderId="1" pivotButton="0" quotePrefix="0" xfId="0"/>
    <xf numFmtId="166" fontId="5" fillId="5" borderId="1" pivotButton="0" quotePrefix="0" xfId="0"/>
    <xf numFmtId="165" fontId="5" fillId="5" borderId="1" pivotButton="0" quotePrefix="0" xfId="0"/>
    <xf numFmtId="0" fontId="7" fillId="0" borderId="0" applyAlignment="1" pivotButton="0" quotePrefix="0" xfId="0">
      <alignment/>
    </xf>
    <xf numFmtId="4" fontId="2" fillId="0" borderId="1" pivotButton="0" quotePrefix="0" xfId="0"/>
    <xf numFmtId="164" fontId="2" fillId="0" borderId="1" pivotButton="0" quotePrefix="0" xfId="0"/>
    <xf numFmtId="0" fontId="7" fillId="0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9" fillId="0" borderId="0" pivotButton="0" quotePrefix="0" xfId="0"/>
    <xf numFmtId="166" fontId="3" fillId="0" borderId="1" pivotButton="0" quotePrefix="0" xfId="0"/>
    <xf numFmtId="3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/>
    </xf>
    <xf numFmtId="0" fontId="10" fillId="0" borderId="0" pivotButton="0" quotePrefix="0" xfId="0"/>
    <xf numFmtId="168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9EMA scan</author>
  </authors>
  <commentList>
    <comment ref="BL102" authorId="0" shapeId="0">
      <text>
        <t>重心 0.56（要 ≥0.5）、高位斜率 +1.22%/日（要 -0.10 至 +1.00）、低位斜率 +1.01%/日（要 &gt;0）</t>
      </text>
    </comment>
    <comment ref="BL103" authorId="0" shapeId="0">
      <text>
        <t>重心 0.56（要 ≥0.5）、高位斜率 +1.17%/日（要 -0.10 至 +1.00）、低位斜率 +1.20%/日（要 &gt;0）</t>
      </text>
    </comment>
    <comment ref="BL104" authorId="0" shapeId="0">
      <text>
        <t>重心 0.60（要 ≥0.5）、高位斜率 +1.06%/日（要 -0.10 至 +1.00）、低位斜率 +1.35%/日（要 &gt;0）</t>
      </text>
    </comment>
    <comment ref="BL105" authorId="0" shapeId="0">
      <text>
        <t>重心 0.50（要 ≥0.5）、高位斜率 +0.57%/日（要 -0.10 至 +1.00）、低位斜率 +0.60%/日（要 &gt;0）</t>
      </text>
    </comment>
    <comment ref="BL106" authorId="0" shapeId="0">
      <text>
        <t>重心 0.70（要 ≥0.5）、高位斜率 +1.46%/日（要 -0.10 至 +1.00）、低位斜率 +1.59%/日（要 &gt;0）</t>
      </text>
    </comment>
    <comment ref="BL107" authorId="0" shapeId="0">
      <text>
        <t>重心 0.49（要 ≥0.5）、高位斜率 +0.75%/日（要 -0.10 至 +1.00）、低位斜率 +0.42%/日（要 &gt;0）</t>
      </text>
    </comment>
    <comment ref="BL108" authorId="0" shapeId="0">
      <text>
        <t>重心 0.46（要 ≥0.5）、高位斜率 -0.08%/日（要 -0.10 至 +1.00）、低位斜率 +0.33%/日（要 &gt;0）</t>
      </text>
    </comment>
    <comment ref="BL109" authorId="0" shapeId="0">
      <text>
        <t>重心 0.47（要 ≥0.5）、高位斜率 -0.17%/日（要 -0.10 至 +1.00）、低位斜率 +0.45%/日（要 &gt;0）</t>
      </text>
    </comment>
    <comment ref="BL110" authorId="0" shapeId="0">
      <text>
        <t>重心 0.60（要 ≥0.5）、高位斜率 +1.05%/日（要 -0.10 至 +1.00）、低位斜率 +1.26%/日（要 &gt;0）</t>
      </text>
    </comment>
    <comment ref="BL111" authorId="0" shapeId="0">
      <text>
        <t>重心 0.48（要 ≥0.5）、高位斜率 +0.14%/日（要 -0.10 至 +1.00）、低位斜率 +0.21%/日（要 &gt;0）</t>
      </text>
    </comment>
    <comment ref="BL112" authorId="0" shapeId="0">
      <text>
        <t>重心 0.54（要 ≥0.5）、高位斜率 +1.32%/日（要 -0.10 至 +1.00）、低位斜率 +1.13%/日（要 &gt;0）</t>
      </text>
    </comment>
    <comment ref="BL113" authorId="0" shapeId="0">
      <text>
        <t>重心 0.48（要 ≥0.5）、高位斜率 +0.14%/日（要 -0.10 至 +1.00）、低位斜率 +0.30%/日（要 &gt;0）</t>
      </text>
    </comment>
    <comment ref="BL114" authorId="0" shapeId="0">
      <text>
        <t>重心 0.49（要 ≥0.5）、高位斜率 +1.39%/日（要 -0.10 至 +1.00）、低位斜率 +0.88%/日（要 &gt;0）</t>
      </text>
    </comment>
    <comment ref="BL115" authorId="0" shapeId="0">
      <text>
        <t>重心 0.50（要 ≥0.5）、高位斜率 +1.23%/日（要 -0.10 至 +1.00）、低位斜率 +1.43%/日（要 &gt;0）</t>
      </text>
    </comment>
    <comment ref="BL116" authorId="0" shapeId="0">
      <text>
        <t>重心 0.50（要 ≥0.5）、高位斜率 +1.16%/日（要 -0.10 至 +1.00）、低位斜率 +1.50%/日（要 &gt;0）</t>
      </text>
    </comment>
    <comment ref="BL117" authorId="0" shapeId="0">
      <text>
        <t>重心 0.48（要 ≥0.5）、高位斜率 +0.08%/日（要 -0.10 至 +1.00）、低位斜率 +0.13%/日（要 &gt;0）</t>
      </text>
    </comment>
    <comment ref="BL118" authorId="0" shapeId="0">
      <text>
        <t>重心 0.59（要 ≥0.5）、高位斜率 +1.37%/日（要 -0.10 至 +1.00）、低位斜率 +1.80%/日（要 &gt;0）</t>
      </text>
    </comment>
    <comment ref="BL119" authorId="0" shapeId="0">
      <text>
        <t>重心 0.48（要 ≥0.5）、高位斜率 +0.11%/日（要 -0.10 至 +1.00）、低位斜率 +0.36%/日（要 &gt;0）</t>
      </text>
    </comment>
    <comment ref="BL120" authorId="0" shapeId="0">
      <text>
        <t>重心 0.56（要 ≥0.5）、高位斜率 +1.43%/日（要 -0.10 至 +1.00）、低位斜率 +1.09%/日（要 &gt;0）</t>
      </text>
    </comment>
    <comment ref="BL121" authorId="0" shapeId="0">
      <text>
        <t>重心 0.47（要 ≥0.5）、高位斜率 +0.57%/日（要 -0.10 至 +1.00）、低位斜率 +0.40%/日（要 &gt;0）</t>
      </text>
    </comment>
    <comment ref="BL122" authorId="0" shapeId="0">
      <text>
        <t>重心 0.57（要 ≥0.5）、高位斜率 +1.05%/日（要 -0.10 至 +1.00）、低位斜率 +0.70%/日（要 &gt;0）</t>
      </text>
    </comment>
    <comment ref="BL123" authorId="0" shapeId="0">
      <text>
        <t>重心 0.50（要 ≥0.5）、高位斜率 +0.50%/日（要 -0.10 至 +1.00）、低位斜率 +0.61%/日（要 &gt;0）</t>
      </text>
    </comment>
    <comment ref="BL124" authorId="0" shapeId="0">
      <text>
        <t>重心 0.47（要 ≥0.5）、高位斜率 +0.72%/日（要 -0.10 至 +1.00）、低位斜率 +0.87%/日（要 &gt;0）</t>
      </text>
    </comment>
    <comment ref="BL125" authorId="0" shapeId="0">
      <text>
        <t>重心 0.49（要 ≥0.5）、高位斜率 +0.26%/日（要 -0.10 至 +1.00）、低位斜率 +0.32%/日（要 &gt;0）</t>
      </text>
    </comment>
    <comment ref="BL126" authorId="0" shapeId="0">
      <text>
        <t>重心 0.47（要 ≥0.5）、高位斜率 +0.83%/日（要 -0.10 至 +1.00）、低位斜率 +0.73%/日（要 &gt;0）</t>
      </text>
    </comment>
    <comment ref="BL127" authorId="0" shapeId="0">
      <text>
        <t>重心 0.45（要 ≥0.5）、高位斜率 +0.31%/日（要 -0.10 至 +1.00）、低位斜率 +0.36%/日（要 &gt;0）</t>
      </text>
    </comment>
    <comment ref="BL128" authorId="0" shapeId="0">
      <text>
        <t>重心 0.48（要 ≥0.5）、高位斜率 +1.22%/日（要 -0.10 至 +1.00）、低位斜率 +1.03%/日（要 &gt;0）</t>
      </text>
    </comment>
    <comment ref="BL129" authorId="0" shapeId="0">
      <text>
        <t>重心 0.57（要 ≥0.5）、高位斜率 -0.20%/日（要 -0.10 至 +1.00）、低位斜率 +0.56%/日（要 &gt;0）</t>
      </text>
    </comment>
    <comment ref="BL130" authorId="0" shapeId="0">
      <text>
        <t>重心 0.57（要 ≥0.5）、高位斜率 -0.16%/日（要 -0.10 至 +1.00）、低位斜率 +0.33%/日（要 &gt;0）</t>
      </text>
    </comment>
    <comment ref="BL131" authorId="0" shapeId="0">
      <text>
        <t>重心 0.47（要 ≥0.5）、高位斜率 +0.57%/日（要 -0.10 至 +1.00）、低位斜率 +0.49%/日（要 &gt;0）</t>
      </text>
    </comment>
    <comment ref="BL132" authorId="0" shapeId="0">
      <text>
        <t>重心 0.46（要 ≥0.5）、高位斜率 +1.19%/日（要 -0.10 至 +1.00）、低位斜率 +0.14%/日（要 &gt;0）</t>
      </text>
    </comment>
    <comment ref="BL133" authorId="0" shapeId="0">
      <text>
        <t>重心 0.49（要 ≥0.5）、高位斜率 +1.42%/日（要 -0.10 至 +1.00）、低位斜率 +1.95%/日（要 &gt;0）</t>
      </text>
    </comment>
    <comment ref="BL134" authorId="0" shapeId="0">
      <text>
        <t>重心 0.48（要 ≥0.5）、高位斜率 -0.05%/日（要 -0.10 至 +1.00）、低位斜率 +0.30%/日（要 &gt;0）</t>
      </text>
    </comment>
    <comment ref="BL135" authorId="0" shapeId="0">
      <text>
        <t>重心 0.48（要 ≥0.5）、高位斜率 +0.93%/日（要 -0.10 至 +1.00）、低位斜率 +0.90%/日（要 &gt;0）</t>
      </text>
    </comment>
    <comment ref="BL136" authorId="0" shapeId="0">
      <text>
        <t>重心 0.61（要 ≥0.5）、高位斜率 +1.04%/日（要 -0.10 至 +1.00）、低位斜率 +0.98%/日（要 &gt;0）</t>
      </text>
    </comment>
    <comment ref="BL137" authorId="0" shapeId="0">
      <text>
        <t>重心 0.50（要 ≥0.5）、高位斜率 +1.12%/日（要 -0.10 至 +1.00）、低位斜率 +0.65%/日（要 &gt;0）</t>
      </text>
    </comment>
    <comment ref="BL138" authorId="0" shapeId="0">
      <text>
        <t>重心 0.48（要 ≥0.5）、高位斜率 +0.98%/日（要 -0.10 至 +1.00）、低位斜率 +1.46%/日（要 &gt;0）</t>
      </text>
    </comment>
    <comment ref="BL139" authorId="0" shapeId="0">
      <text>
        <t>重心 0.46（要 ≥0.5）、高位斜率 +0.05%/日（要 -0.10 至 +1.00）、低位斜率 +1.15%/日（要 &gt;0）</t>
      </text>
    </comment>
    <comment ref="BL140" authorId="0" shapeId="0">
      <text>
        <t>重心 0.46（要 ≥0.5）、高位斜率 +0.03%/日（要 -0.10 至 +1.00）、低位斜率 +0.17%/日（要 &gt;0）</t>
      </text>
    </comment>
    <comment ref="BL141" authorId="0" shapeId="0">
      <text>
        <t>重心 0.45（要 ≥0.5）、高位斜率 +0.30%/日（要 -0.10 至 +1.00）、低位斜率 +0.53%/日（要 &gt;0）</t>
      </text>
    </comment>
    <comment ref="BL142" authorId="0" shapeId="0">
      <text>
        <t>重心 0.49（要 ≥0.5）、高位斜率 +1.03%/日（要 -0.10 至 +1.00）、低位斜率 +0.57%/日（要 &gt;0）</t>
      </text>
    </comment>
    <comment ref="BL143" authorId="0" shapeId="0">
      <text>
        <t>重心 0.49（要 ≥0.5）、高位斜率 +0.64%/日（要 -0.10 至 +1.00）、低位斜率 +0.61%/日（要 &gt;0）</t>
      </text>
    </comment>
    <comment ref="BL144" authorId="0" shapeId="0">
      <text>
        <t>重心 0.47（要 ≥0.5）、高位斜率 +0.39%/日（要 -0.10 至 +1.00）、低位斜率 +0.43%/日（要 &gt;0）</t>
      </text>
    </comment>
    <comment ref="BL145" authorId="0" shapeId="0">
      <text>
        <t>重心 0.47（要 ≥0.5）、高位斜率 +0.05%/日（要 -0.10 至 +1.00）、低位斜率 +0.37%/日（要 &gt;0）</t>
      </text>
    </comment>
    <comment ref="BL146" authorId="0" shapeId="0">
      <text>
        <t>重心 0.49（要 ≥0.5）、高位斜率 +0.17%/日（要 -0.10 至 +1.00）、低位斜率 +0.46%/日（要 &gt;0）</t>
      </text>
    </comment>
    <comment ref="BL147" authorId="0" shapeId="0">
      <text>
        <t>重心 0.49（要 ≥0.5）、高位斜率 +0.33%/日（要 -0.10 至 +1.00）、低位斜率 +0.28%/日（要 &gt;0）</t>
      </text>
    </comment>
    <comment ref="BL148" authorId="0" shapeId="0">
      <text>
        <t>重心 0.52（要 ≥0.5）、高位斜率 -0.19%/日（要 -0.10 至 +1.00）、低位斜率 +0.23%/日（要 &gt;0）</t>
      </text>
    </comment>
    <comment ref="BL149" authorId="0" shapeId="0">
      <text>
        <t>重心 0.53（要 ≥0.5）、高位斜率 +1.15%/日（要 -0.10 至 +1.00）、低位斜率 +1.50%/日（要 &gt;0）</t>
      </text>
    </comment>
    <comment ref="BL150" authorId="0" shapeId="0">
      <text>
        <t>重心 0.48（要 ≥0.5）、高位斜率 +1.06%/日（要 -0.10 至 +1.00）、低位斜率 +0.50%/日（要 &gt;0）</t>
      </text>
    </comment>
    <comment ref="BL151" authorId="0" shapeId="0">
      <text>
        <t>重心 0.51（要 ≥0.5）、高位斜率 +1.03%/日（要 -0.10 至 +1.00）、低位斜率 +1.82%/日（要 &gt;0）</t>
      </text>
    </comment>
    <comment ref="BL152" authorId="0" shapeId="0">
      <text>
        <t>重心 0.45（要 ≥0.5）、高位斜率 +0.22%/日（要 -0.10 至 +1.00）、低位斜率 +0.13%/日（要 &gt;0）</t>
      </text>
    </comment>
    <comment ref="BL153" authorId="0" shapeId="0">
      <text>
        <t>重心 0.48（要 ≥0.5）、高位斜率 +0.75%/日（要 -0.10 至 +1.00）、低位斜率 +0.51%/日（要 &gt;0）</t>
      </text>
    </comment>
    <comment ref="BL154" authorId="0" shapeId="0">
      <text>
        <t>重心 0.47（要 ≥0.5）、高位斜率 +0.84%/日（要 -0.10 至 +1.00）、低位斜率 +0.50%/日（要 &gt;0）</t>
      </text>
    </comment>
    <comment ref="BL155" authorId="0" shapeId="0">
      <text>
        <t>重心 0.47（要 ≥0.5）、高位斜率 +1.32%/日（要 -0.10 至 +1.00）、低位斜率 +1.32%/日（要 &gt;0）</t>
      </text>
    </comment>
    <comment ref="BL156" authorId="0" shapeId="0">
      <text>
        <t>重心 0.45（要 ≥0.5）、高位斜率 -0.00%/日（要 -0.10 至 +1.00）、低位斜率 +0.02%/日（要 &gt;0）</t>
      </text>
    </comment>
    <comment ref="BL157" authorId="0" shapeId="0">
      <text>
        <t>重心 0.46（要 ≥0.5）、高位斜率 +1.29%/日（要 -0.10 至 +1.00）、低位斜率 +0.98%/日（要 &gt;0）</t>
      </text>
    </comment>
    <comment ref="BL158" authorId="0" shapeId="0">
      <text>
        <t>重心 0.49（要 ≥0.5）、高位斜率 +0.32%/日（要 -0.10 至 +1.00）、低位斜率 +0.28%/日（要 &gt;0）</t>
      </text>
    </comment>
    <comment ref="BL159" authorId="0" shapeId="0">
      <text>
        <t>重心 0.52（要 ≥0.5）、高位斜率 +1.49%/日（要 -0.10 至 +1.00）、低位斜率 +0.02%/日（要 &gt;0）</t>
      </text>
    </comment>
    <comment ref="BL160" authorId="0" shapeId="0">
      <text>
        <t>重心 0.50（要 ≥0.5）、高位斜率 +0.56%/日（要 -0.10 至 +1.00）、低位斜率 +1.08%/日（要 &gt;0）</t>
      </text>
    </comment>
    <comment ref="BL161" authorId="0" shapeId="0">
      <text>
        <t>重心 0.46（要 ≥0.5）、高位斜率 +0.56%/日（要 -0.10 至 +1.00）、低位斜率 +0.25%/日（要 &gt;0）</t>
      </text>
    </comment>
    <comment ref="BL162" authorId="0" shapeId="0">
      <text>
        <t>重心 0.48（要 ≥0.5）、高位斜率 +0.78%/日（要 -0.10 至 +1.00）、低位斜率 +1.02%/日（要 &gt;0）</t>
      </text>
    </comment>
    <comment ref="BL163" authorId="0" shapeId="0">
      <text>
        <t>重心 0.49（要 ≥0.5）、高位斜率 -0.08%/日（要 -0.10 至 +1.00）、低位斜率 +0.03%/日（要 &gt;0）</t>
      </text>
    </comment>
    <comment ref="BL164" authorId="0" shapeId="0">
      <text>
        <t>重心 0.50（要 ≥0.5）、高位斜率 +0.73%/日（要 -0.10 至 +1.00）、低位斜率 +0.45%/日（要 &gt;0）</t>
      </text>
    </comment>
    <comment ref="BL165" authorId="0" shapeId="0">
      <text>
        <t>重心 0.47（要 ≥0.5）、高位斜率 +0.40%/日（要 -0.10 至 +1.00）、低位斜率 +0.11%/日（要 &gt;0）</t>
      </text>
    </comment>
    <comment ref="BL166" authorId="0" shapeId="0">
      <text>
        <t>重心 0.46（要 ≥0.5）、高位斜率 +0.30%/日（要 -0.10 至 +1.00）、低位斜率 +0.33%/日（要 &gt;0）</t>
      </text>
    </comment>
    <comment ref="BL167" authorId="0" shapeId="0">
      <text>
        <t>重心 0.49（要 ≥0.5）、高位斜率 +0.43%/日（要 -0.10 至 +1.00）、低位斜率 +0.05%/日（要 &gt;0）</t>
      </text>
    </comment>
    <comment ref="BL168" authorId="0" shapeId="0">
      <text>
        <t>重心 0.49（要 ≥0.5）、高位斜率 +0.64%/日（要 -0.10 至 +1.00）、低位斜率 +0.18%/日（要 &gt;0）</t>
      </text>
    </comment>
    <comment ref="BL169" authorId="0" shapeId="0">
      <text>
        <t>重心 0.47（要 ≥0.5）、高位斜率 +1.10%/日（要 -0.10 至 +1.00）、低位斜率 +0.57%/日（要 &gt;0）</t>
      </text>
    </comment>
    <comment ref="BL170" authorId="0" shapeId="0">
      <text>
        <t>重心 0.47（要 ≥0.5）、高位斜率 -0.16%/日（要 -0.10 至 +1.00）、低位斜率 +0.10%/日（要 &gt;0）</t>
      </text>
    </comment>
    <comment ref="BL171" authorId="0" shapeId="0">
      <text>
        <t>重心 0.48（要 ≥0.5）、高位斜率 +0.23%/日（要 -0.10 至 +1.00）、低位斜率 +0.24%/日（要 &gt;0）</t>
      </text>
    </comment>
    <comment ref="BL172" authorId="0" shapeId="0">
      <text>
        <t>重心 0.53（要 ≥0.5）、高位斜率 +1.04%/日（要 -0.10 至 +1.00）、低位斜率 +0.34%/日（要 &gt;0）</t>
      </text>
    </comment>
    <comment ref="BL173" authorId="0" shapeId="0">
      <text>
        <t>重心 0.45（要 ≥0.5）、高位斜率 +0.49%/日（要 -0.10 至 +1.00）、低位斜率 +0.09%/日（要 &gt;0）</t>
      </text>
    </comment>
    <comment ref="BL174" authorId="0" shapeId="0">
      <text>
        <t>重心 0.47（要 ≥0.5）、高位斜率 +0.25%/日（要 -0.10 至 +1.00）、低位斜率 +0.24%/日（要 &gt;0）</t>
      </text>
    </comment>
    <comment ref="BL175" authorId="0" shapeId="0">
      <text>
        <t>重心 0.47（要 ≥0.5）、高位斜率 +0.22%/日（要 -0.10 至 +1.00）、低位斜率 +0.01%/日（要 &gt;0）</t>
      </text>
    </comment>
    <comment ref="BL176" authorId="0" shapeId="0">
      <text>
        <t>重心 0.49（要 ≥0.5）、高位斜率 +0.01%/日（要 -0.10 至 +1.00）、低位斜率 +0.01%/日（要 &gt;0）</t>
      </text>
    </comment>
    <comment ref="BL177" authorId="0" shapeId="0">
      <text>
        <t>重心 0.46（要 ≥0.5）、高位斜率 +0.49%/日（要 -0.10 至 +1.00）、低位斜率 +0.50%/日（要 &gt;0）</t>
      </text>
    </comment>
    <comment ref="BL178" authorId="0" shapeId="0">
      <text>
        <t>重心 0.50（要 ≥0.5）、高位斜率 +0.02%/日（要 -0.10 至 +1.00）、低位斜率 +0.03%/日（要 &gt;0）</t>
      </text>
    </comment>
    <comment ref="BL179" authorId="0" shapeId="0">
      <text>
        <t>重心 0.47（要 ≥0.5）、高位斜率 +0.03%/日（要 -0.10 至 +1.00）、低位斜率 +0.02%/日（要 &gt;0）</t>
      </text>
    </comment>
    <comment ref="BL180" authorId="0" shapeId="0">
      <text>
        <t>重心 0.46（要 ≥0.5）、高位斜率 +0.22%/日（要 -0.10 至 +1.00）、低位斜率 +0.01%/日（要 &gt;0）</t>
      </text>
    </comment>
    <comment ref="BL181" authorId="0" shapeId="0">
      <text>
        <t>重心 0.50（要 ≥0.5）、高位斜率 +0.60%/日（要 -0.10 至 +1.00）、低位斜率 +0.61%/日（要 &gt;0）</t>
      </text>
    </comment>
    <comment ref="BL182" authorId="0" shapeId="0">
      <text>
        <t>重心 0.46（要 ≥0.5）、高位斜率 -0.05%/日（要 -0.10 至 +1.00）、低位斜率 +0.06%/日（要 &gt;0）</t>
      </text>
    </comment>
    <comment ref="BL183" authorId="0" shapeId="0">
      <text>
        <t>重心 0.49（要 ≥0.5）、高位斜率 +0.14%/日（要 -0.10 至 +1.00）、低位斜率 +0.13%/日（要 &gt;0）</t>
      </text>
    </comment>
    <comment ref="BL184" authorId="0" shapeId="0">
      <text>
        <t>重心 0.45（要 ≥0.5）、高位斜率 +0.20%/日（要 -0.10 至 +1.00）、低位斜率 +0.40%/日（要 &gt;0）</t>
      </text>
    </comment>
    <comment ref="BL185" authorId="0" shapeId="0">
      <text>
        <t>重心 0.48（要 ≥0.5）、高位斜率 -0.06%/日（要 -0.10 至 +1.00）、低位斜率 +0.04%/日（要 &gt;0）</t>
      </text>
    </comment>
    <comment ref="BL186" authorId="0" shapeId="0">
      <text>
        <t>重心 0.50（要 ≥0.5）、高位斜率 +1.12%/日（要 -0.10 至 +1.00）、低位斜率 +0.01%/日（要 &gt;0）</t>
      </text>
    </comment>
    <comment ref="BL187" authorId="0" shapeId="0">
      <text>
        <t>重心 0.45（要 ≥0.5）、高位斜率 +0.30%/日（要 -0.10 至 +1.00）、低位斜率 +0.15%/日（要 &gt;0）</t>
      </text>
    </comment>
    <comment ref="BL188" authorId="0" shapeId="0">
      <text>
        <t>重心 0.47（要 ≥0.5）、高位斜率 +0.36%/日（要 -0.10 至 +1.00）、低位斜率 +0.25%/日（要 &gt;0）</t>
      </text>
    </comment>
    <comment ref="BL189" authorId="0" shapeId="0">
      <text>
        <t>重心 0.46（要 ≥0.5）、高位斜率 +0.11%/日（要 -0.10 至 +1.00）、低位斜率 +0.15%/日（要 &gt;0）</t>
      </text>
    </comment>
    <comment ref="BL190" authorId="0" shapeId="0">
      <text>
        <t>重心 0.46（要 ≥0.5）、高位斜率 -0.12%/日（要 -0.10 至 +1.00）、低位斜率 +0.09%/日（要 &gt;0）</t>
      </text>
    </comment>
    <comment ref="BL191" authorId="0" shapeId="0">
      <text>
        <t>重心 0.48（要 ≥0.5）、高位斜率 +0.02%/日（要 -0.10 至 +1.00）、低位斜率 +0.03%/日（要 &gt;0）</t>
      </text>
    </comment>
    <comment ref="BL192" authorId="0" shapeId="0">
      <text>
        <t>重心 0.46（要 ≥0.5）、高位斜率 +0.05%/日（要 -0.10 至 +1.00）、低位斜率 +0.19%/日（要 &gt;0）</t>
      </text>
    </comment>
    <comment ref="BL193" authorId="0" shapeId="0">
      <text>
        <t>重心 0.48（要 ≥0.5）、高位斜率 -0.17%/日（要 -0.10 至 +1.00）、低位斜率 +0.12%/日（要 &gt;0）</t>
      </text>
    </comment>
    <comment ref="BL194" authorId="0" shapeId="0">
      <text>
        <t>重心 0.46（要 ≥0.5）、高位斜率 +0.23%/日（要 -0.10 至 +1.00）、低位斜率 +0.09%/日（要 &gt;0）</t>
      </text>
    </comment>
    <comment ref="BL195" authorId="0" shapeId="0">
      <text>
        <t>重心 0.45（要 ≥0.5）、高位斜率 +1.06%/日（要 -0.10 至 +1.00）、低位斜率 +0.35%/日（要 &gt;0）</t>
      </text>
    </comment>
    <comment ref="BL196" authorId="0" shapeId="0">
      <text>
        <t>重心 0.53（要 ≥0.5）、高位斜率 -0.12%/日（要 -0.10 至 +1.00）、低位斜率 +0.47%/日（要 &gt;0）</t>
      </text>
    </comment>
    <comment ref="BL197" authorId="0" shapeId="0">
      <text>
        <t>重心 0.50（要 ≥0.5）、高位斜率 +0.82%/日（要 -0.10 至 +1.00）、低位斜率 +0.10%/日（要 &gt;0）</t>
      </text>
    </comment>
    <comment ref="BL198" authorId="0" shapeId="0">
      <text>
        <t>重心 0.47（要 ≥0.5）、高位斜率 +0.46%/日（要 -0.10 至 +1.00）、低位斜率 +0.12%/日（要 &gt;0）</t>
      </text>
    </comment>
    <comment ref="BL199" authorId="0" shapeId="0">
      <text>
        <t>重心 0.52（要 ≥0.5）、高位斜率 -0.18%/日（要 -0.10 至 +1.00）、低位斜率 +0.14%/日（要 &gt;0）</t>
      </text>
    </comment>
    <comment ref="BL200" authorId="0" shapeId="0">
      <text>
        <t>重心 0.49（要 ≥0.5）、高位斜率 +0.24%/日（要 -0.10 至 +1.00）、低位斜率 +0.00%/日（要 &gt;0）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nyse%3Ajill" TargetMode="External" Id="rId1" /><Relationship Type="http://schemas.openxmlformats.org/officeDocument/2006/relationships/hyperlink" Target="https://www.tradingview.com/chart/Q1c5VWwD/?symbol=nasdaq%3Appih" TargetMode="External" Id="rId2" /><Relationship Type="http://schemas.openxmlformats.org/officeDocument/2006/relationships/hyperlink" Target="https://www.tradingview.com/chart/Q1c5VWwD/?symbol=nyse%3Amg" TargetMode="External" Id="rId3" /><Relationship Type="http://schemas.openxmlformats.org/officeDocument/2006/relationships/hyperlink" Target="https://www.tradingview.com/chart/Q1c5VWwD/?symbol=nyse%3Ahnge" TargetMode="External" Id="rId4" /><Relationship Type="http://schemas.openxmlformats.org/officeDocument/2006/relationships/hyperlink" Target="https://www.tradingview.com/chart/Q1c5VWwD/?symbol=nasdaq%3Attmi" TargetMode="External" Id="rId5" /><Relationship Type="http://schemas.openxmlformats.org/officeDocument/2006/relationships/hyperlink" Target="https://www.tradingview.com/chart/Q1c5VWwD/?symbol=nasdaq%3Anvax" TargetMode="External" Id="rId6" /><Relationship Type="http://schemas.openxmlformats.org/officeDocument/2006/relationships/hyperlink" Target="https://www.tradingview.com/chart/Q1c5VWwD/?symbol=nasdaq%3Afrnm" TargetMode="External" Id="rId7" /><Relationship Type="http://schemas.openxmlformats.org/officeDocument/2006/relationships/hyperlink" Target="https://www.tradingview.com/chart/Q1c5VWwD/?symbol=nyse%3Anet" TargetMode="External" Id="rId8" /><Relationship Type="http://schemas.openxmlformats.org/officeDocument/2006/relationships/hyperlink" Target="https://www.tradingview.com/chart/Q1c5VWwD/?symbol=nasdaq%3Amtsi" TargetMode="External" Id="rId9" /><Relationship Type="http://schemas.openxmlformats.org/officeDocument/2006/relationships/hyperlink" Target="https://www.tradingview.com/chart/Q1c5VWwD/?symbol=nyse%3Aacva" TargetMode="External" Id="rId10" /><Relationship Type="http://schemas.openxmlformats.org/officeDocument/2006/relationships/hyperlink" Target="https://www.tradingview.com/chart/Q1c5VWwD/?symbol=nyse%3Altc" TargetMode="External" Id="rId11" /><Relationship Type="http://schemas.openxmlformats.org/officeDocument/2006/relationships/hyperlink" Target="https://www.tradingview.com/chart/Q1c5VWwD/?symbol=nasdaq%3Apanw" TargetMode="External" Id="rId12" /><Relationship Type="http://schemas.openxmlformats.org/officeDocument/2006/relationships/hyperlink" Target="https://www.tradingview.com/chart/Q1c5VWwD/?symbol=nasdaq%3Apeng" TargetMode="External" Id="rId13" /><Relationship Type="http://schemas.openxmlformats.org/officeDocument/2006/relationships/hyperlink" Target="https://www.tradingview.com/chart/Q1c5VWwD/?symbol=nyse%3Adt" TargetMode="External" Id="rId14" /><Relationship Type="http://schemas.openxmlformats.org/officeDocument/2006/relationships/hyperlink" Target="https://www.tradingview.com/chart/Q1c5VWwD/?symbol=nasdaq%3Anutx" TargetMode="External" Id="rId15" /><Relationship Type="http://schemas.openxmlformats.org/officeDocument/2006/relationships/hyperlink" Target="https://www.tradingview.com/chart/Q1c5VWwD/?symbol=nyse%3Addd" TargetMode="External" Id="rId16" /><Relationship Type="http://schemas.openxmlformats.org/officeDocument/2006/relationships/hyperlink" Target="https://www.tradingview.com/chart/Q1c5VWwD/?symbol=nyse%3Amtw" TargetMode="External" Id="rId17" /><Relationship Type="http://schemas.openxmlformats.org/officeDocument/2006/relationships/hyperlink" Target="https://www.tradingview.com/chart/Q1c5VWwD/?symbol=nasdaq%3Aisrg" TargetMode="External" Id="rId18" /><Relationship Type="http://schemas.openxmlformats.org/officeDocument/2006/relationships/hyperlink" Target="https://www.tradingview.com/chart/Q1c5VWwD/?symbol=nyse%3Asei" TargetMode="External" Id="rId19" /><Relationship Type="http://schemas.openxmlformats.org/officeDocument/2006/relationships/hyperlink" Target="https://www.tradingview.com/chart/Q1c5VWwD/?symbol=nasdaq%3Aftnt" TargetMode="External" Id="rId20" /><Relationship Type="http://schemas.openxmlformats.org/officeDocument/2006/relationships/hyperlink" Target="https://www.tradingview.com/chart/Q1c5VWwD/?symbol=nasdaq%3Aavt" TargetMode="External" Id="rId21" /><Relationship Type="http://schemas.openxmlformats.org/officeDocument/2006/relationships/hyperlink" Target="https://www.tradingview.com/chart/Q1c5VWwD/?symbol=nasdaq%3Amrvl" TargetMode="External" Id="rId22" /><Relationship Type="http://schemas.openxmlformats.org/officeDocument/2006/relationships/hyperlink" Target="https://www.tradingview.com/chart/Q1c5VWwD/?symbol=nasdaq%3Acvlt" TargetMode="External" Id="rId23" /><Relationship Type="http://schemas.openxmlformats.org/officeDocument/2006/relationships/hyperlink" Target="https://www.tradingview.com/chart/Q1c5VWwD/?symbol=nasdaq%3Aadpt" TargetMode="External" Id="rId24" /><Relationship Type="http://schemas.openxmlformats.org/officeDocument/2006/relationships/hyperlink" Target="https://www.tradingview.com/chart/Q1c5VWwD/?symbol=nyse%3Adell" TargetMode="External" Id="rId25" /><Relationship Type="http://schemas.openxmlformats.org/officeDocument/2006/relationships/hyperlink" Target="https://www.tradingview.com/chart/Q1c5VWwD/?symbol=nasdaq%3Astx" TargetMode="External" Id="rId26" /><Relationship Type="http://schemas.openxmlformats.org/officeDocument/2006/relationships/hyperlink" Target="https://www.tradingview.com/chart/Q1c5VWwD/?symbol=nasdaq%3Aobio" TargetMode="External" Id="rId27" /><Relationship Type="http://schemas.openxmlformats.org/officeDocument/2006/relationships/hyperlink" Target="https://www.tradingview.com/chart/Q1c5VWwD/?symbol=nyse%3Aanet" TargetMode="External" Id="rId28" /><Relationship Type="http://schemas.openxmlformats.org/officeDocument/2006/relationships/hyperlink" Target="https://www.tradingview.com/chart/Q1c5VWwD/?symbol=nyse%3Aarw" TargetMode="External" Id="rId29" /><Relationship Type="http://schemas.openxmlformats.org/officeDocument/2006/relationships/hyperlink" Target="https://www.tradingview.com/chart/Q1c5VWwD/?symbol=nasdaq%3Aflgt" TargetMode="External" Id="rId30" /><Relationship Type="http://schemas.openxmlformats.org/officeDocument/2006/relationships/hyperlink" Target="https://www.tradingview.com/chart/Q1c5VWwD/?symbol=nasdaq%3Acrsr" TargetMode="External" Id="rId31" /><Relationship Type="http://schemas.openxmlformats.org/officeDocument/2006/relationships/hyperlink" Target="https://www.tradingview.com/chart/Q1c5VWwD/?symbol=nasdaq%3Auctt" TargetMode="External" Id="rId32" /><Relationship Type="http://schemas.openxmlformats.org/officeDocument/2006/relationships/hyperlink" Target="https://www.tradingview.com/chart/Q1c5VWwD/?symbol=nasdaq%3Antap" TargetMode="External" Id="rId33" /><Relationship Type="http://schemas.openxmlformats.org/officeDocument/2006/relationships/hyperlink" Target="https://www.tradingview.com/chart/Q1c5VWwD/?symbol=nasdaq%3Aospn" TargetMode="External" Id="rId34" /><Relationship Type="http://schemas.openxmlformats.org/officeDocument/2006/relationships/hyperlink" Target="https://www.tradingview.com/chart/Q1c5VWwD/?symbol=nasdaq%3Atwin" TargetMode="External" Id="rId35" /><Relationship Type="http://schemas.openxmlformats.org/officeDocument/2006/relationships/hyperlink" Target="https://www.tradingview.com/chart/Q1c5VWwD/?symbol=nyse%3Achpt" TargetMode="External" Id="rId36" /><Relationship Type="http://schemas.openxmlformats.org/officeDocument/2006/relationships/hyperlink" Target="https://www.tradingview.com/chart/Q1c5VWwD/?symbol=nasdaq%3Avrns" TargetMode="External" Id="rId37" /><Relationship Type="http://schemas.openxmlformats.org/officeDocument/2006/relationships/hyperlink" Target="https://www.tradingview.com/chart/Q1c5VWwD/?symbol=amex%3Ainfu" TargetMode="External" Id="rId38" /><Relationship Type="http://schemas.openxmlformats.org/officeDocument/2006/relationships/hyperlink" Target="https://www.tradingview.com/chart/Q1c5VWwD/?symbol=nyse%3Ahpe" TargetMode="External" Id="rId39" /><Relationship Type="http://schemas.openxmlformats.org/officeDocument/2006/relationships/hyperlink" Target="https://www.tradingview.com/chart/Q1c5VWwD/?symbol=nyse%3Angvc" TargetMode="External" Id="rId40" /><Relationship Type="http://schemas.openxmlformats.org/officeDocument/2006/relationships/hyperlink" Target="https://www.tradingview.com/chart/Q1c5VWwD/?symbol=nasdaq%3Api" TargetMode="External" Id="rId41" /><Relationship Type="http://schemas.openxmlformats.org/officeDocument/2006/relationships/hyperlink" Target="https://www.tradingview.com/chart/Q1c5VWwD/?symbol=nasdaq%3Acrwd" TargetMode="External" Id="rId42" /><Relationship Type="http://schemas.openxmlformats.org/officeDocument/2006/relationships/hyperlink" Target="https://www.tradingview.com/chart/Q1c5VWwD/?symbol=nasdaq%3Anvda" TargetMode="External" Id="rId43" /><Relationship Type="http://schemas.openxmlformats.org/officeDocument/2006/relationships/hyperlink" Target="https://www.tradingview.com/chart/Q1c5VWwD/?symbol=nasdaq%3Aftre" TargetMode="External" Id="rId44" /><Relationship Type="http://schemas.openxmlformats.org/officeDocument/2006/relationships/hyperlink" Target="https://www.tradingview.com/chart/Q1c5VWwD/?symbol=nasdaq%3Alqdt" TargetMode="External" Id="rId45" /><Relationship Type="http://schemas.openxmlformats.org/officeDocument/2006/relationships/hyperlink" Target="https://www.tradingview.com/chart/Q1c5VWwD/?symbol=nyse%3Aamn" TargetMode="External" Id="rId46" /><Relationship Type="http://schemas.openxmlformats.org/officeDocument/2006/relationships/hyperlink" Target="https://www.tradingview.com/chart/Q1c5VWwD/?symbol=nasdaq%3Acnxn" TargetMode="External" Id="rId47" /><Relationship Type="http://schemas.openxmlformats.org/officeDocument/2006/relationships/hyperlink" Target="https://www.tradingview.com/chart/Q1c5VWwD/?symbol=nyse%3Agne" TargetMode="External" Id="rId48" /><Relationship Type="http://schemas.openxmlformats.org/officeDocument/2006/relationships/hyperlink" Target="https://www.tradingview.com/chart/Q1c5VWwD/?symbol=nasdaq%3Acrus" TargetMode="External" Id="rId49" /><Relationship Type="http://schemas.openxmlformats.org/officeDocument/2006/relationships/hyperlink" Target="https://www.tradingview.com/chart/Q1c5VWwD/?symbol=nasdaq%3Amaze" TargetMode="External" Id="rId50" /><Relationship Type="http://schemas.openxmlformats.org/officeDocument/2006/relationships/hyperlink" Target="https://www.tradingview.com/chart/Q1c5VWwD/?symbol=nyse%3Akodk" TargetMode="External" Id="rId51" /><Relationship Type="http://schemas.openxmlformats.org/officeDocument/2006/relationships/hyperlink" Target="https://www.tradingview.com/chart/Q1c5VWwD/?symbol=nyse%3Aneu" TargetMode="External" Id="rId52" /><Relationship Type="http://schemas.openxmlformats.org/officeDocument/2006/relationships/hyperlink" Target="https://www.tradingview.com/chart/Q1c5VWwD/?symbol=nasdaq%3Aexel" TargetMode="External" Id="rId53" /><Relationship Type="http://schemas.openxmlformats.org/officeDocument/2006/relationships/hyperlink" Target="https://www.tradingview.com/chart/Q1c5VWwD/?symbol=nasdaq%3Aazta" TargetMode="External" Id="rId54" /><Relationship Type="http://schemas.openxmlformats.org/officeDocument/2006/relationships/hyperlink" Target="https://www.tradingview.com/chart/Q1c5VWwD/?symbol=nasdaq%3Aswbi" TargetMode="External" Id="rId55" /><Relationship Type="http://schemas.openxmlformats.org/officeDocument/2006/relationships/hyperlink" Target="https://www.tradingview.com/chart/Q1c5VWwD/?symbol=nasdaq%3Acstl" TargetMode="External" Id="rId56" /><Relationship Type="http://schemas.openxmlformats.org/officeDocument/2006/relationships/hyperlink" Target="https://www.tradingview.com/chart/Q1c5VWwD/?symbol=nasdaq%3Apbyi" TargetMode="External" Id="rId57" /><Relationship Type="http://schemas.openxmlformats.org/officeDocument/2006/relationships/hyperlink" Target="https://www.tradingview.com/chart/Q1c5VWwD/?symbol=nasdaq%3Ahwkn" TargetMode="External" Id="rId58" /><Relationship Type="http://schemas.openxmlformats.org/officeDocument/2006/relationships/hyperlink" Target="https://www.tradingview.com/chart/Q1c5VWwD/?symbol=nyse%3As" TargetMode="External" Id="rId59" /><Relationship Type="http://schemas.openxmlformats.org/officeDocument/2006/relationships/hyperlink" Target="https://www.tradingview.com/chart/Q1c5VWwD/?symbol=nasdaq%3Abrkr" TargetMode="External" Id="rId60" /><Relationship Type="http://schemas.openxmlformats.org/officeDocument/2006/relationships/hyperlink" Target="https://www.tradingview.com/chart/Q1c5VWwD/?symbol=nyse%3Abtgo" TargetMode="External" Id="rId61" /><Relationship Type="http://schemas.openxmlformats.org/officeDocument/2006/relationships/hyperlink" Target="https://www.tradingview.com/chart/Q1c5VWwD/?symbol=nasdaq%3Agfs" TargetMode="External" Id="rId62" /><Relationship Type="http://schemas.openxmlformats.org/officeDocument/2006/relationships/hyperlink" Target="https://www.tradingview.com/chart/Q1c5VWwD/?symbol=nasdaq%3Aegbn" TargetMode="External" Id="rId63" /><Relationship Type="http://schemas.openxmlformats.org/officeDocument/2006/relationships/hyperlink" Target="https://www.tradingview.com/chart/Q1c5VWwD/?symbol=nasdaq%3Adjco" TargetMode="External" Id="rId64" /><Relationship Type="http://schemas.openxmlformats.org/officeDocument/2006/relationships/hyperlink" Target="https://www.tradingview.com/chart/Q1c5VWwD/?symbol=nasdaq%3Axmtr" TargetMode="External" Id="rId65" /><Relationship Type="http://schemas.openxmlformats.org/officeDocument/2006/relationships/hyperlink" Target="https://www.tradingview.com/chart/Q1c5VWwD/?symbol=nasdaq%3Aqlys" TargetMode="External" Id="rId66" /><Relationship Type="http://schemas.openxmlformats.org/officeDocument/2006/relationships/hyperlink" Target="https://www.tradingview.com/chart/Q1c5VWwD/?symbol=nasdaq%3Abwin" TargetMode="External" Id="rId67" /><Relationship Type="http://schemas.openxmlformats.org/officeDocument/2006/relationships/hyperlink" Target="https://www.tradingview.com/chart/Q1c5VWwD/?symbol=nyse%3Acat" TargetMode="External" Id="rId68" /><Relationship Type="http://schemas.openxmlformats.org/officeDocument/2006/relationships/hyperlink" Target="https://www.tradingview.com/chart/Q1c5VWwD/?symbol=nasdaq%3Acrvl" TargetMode="External" Id="rId69" /><Relationship Type="http://schemas.openxmlformats.org/officeDocument/2006/relationships/hyperlink" Target="https://www.tradingview.com/chart/Q1c5VWwD/?symbol=nasdaq%3Autmd" TargetMode="External" Id="rId70" /><Relationship Type="http://schemas.openxmlformats.org/officeDocument/2006/relationships/hyperlink" Target="https://www.tradingview.com/chart/Q1c5VWwD/?symbol=nyse%3Awat" TargetMode="External" Id="rId71" /><Relationship Type="http://schemas.openxmlformats.org/officeDocument/2006/relationships/hyperlink" Target="https://www.tradingview.com/chart/Q1c5VWwD/?symbol=nyse%3Apwr" TargetMode="External" Id="rId72" /><Relationship Type="http://schemas.openxmlformats.org/officeDocument/2006/relationships/hyperlink" Target="https://www.tradingview.com/chart/Q1c5VWwD/?symbol=nyse%3Am" TargetMode="External" Id="rId73" /><Relationship Type="http://schemas.openxmlformats.org/officeDocument/2006/relationships/hyperlink" Target="https://www.tradingview.com/chart/Q1c5VWwD/?symbol=nyse%3Aitgr" TargetMode="External" Id="rId74" /><Relationship Type="http://schemas.openxmlformats.org/officeDocument/2006/relationships/hyperlink" Target="https://www.tradingview.com/chart/Q1c5VWwD/?symbol=nasdaq%3Agsat" TargetMode="External" Id="rId75" /><Relationship Type="http://schemas.openxmlformats.org/officeDocument/2006/relationships/hyperlink" Target="https://www.tradingview.com/chart/Q1c5VWwD/?symbol=nasdaq%3Ath" TargetMode="External" Id="rId76" /><Relationship Type="http://schemas.openxmlformats.org/officeDocument/2006/relationships/hyperlink" Target="https://www.tradingview.com/chart/Q1c5VWwD/?symbol=nyse%3Acldt" TargetMode="External" Id="rId77" /><Relationship Type="http://schemas.openxmlformats.org/officeDocument/2006/relationships/hyperlink" Target="https://www.tradingview.com/chart/Q1c5VWwD/?symbol=nasdaq%3Aamba" TargetMode="External" Id="rId78" /><Relationship Type="http://schemas.openxmlformats.org/officeDocument/2006/relationships/hyperlink" Target="https://www.tradingview.com/chart/Q1c5VWwD/?symbol=nasdaq%3Asmti" TargetMode="External" Id="rId79" /><Relationship Type="http://schemas.openxmlformats.org/officeDocument/2006/relationships/hyperlink" Target="https://www.tradingview.com/chart/Q1c5VWwD/?symbol=nasdaq%3Afast" TargetMode="External" Id="rId80" /><Relationship Type="http://schemas.openxmlformats.org/officeDocument/2006/relationships/hyperlink" Target="https://www.tradingview.com/chart/Q1c5VWwD/?symbol=nasdaq%3Abprn" TargetMode="External" Id="rId81" /><Relationship Type="http://schemas.openxmlformats.org/officeDocument/2006/relationships/hyperlink" Target="https://www.tradingview.com/chart/Q1c5VWwD/?symbol=nasdaq%3Apkoh" TargetMode="External" Id="rId82" /><Relationship Type="http://schemas.openxmlformats.org/officeDocument/2006/relationships/hyperlink" Target="https://www.tradingview.com/chart/Q1c5VWwD/?symbol=nasdaq%3Aslab" TargetMode="External" Id="rId83" /><Relationship Type="http://schemas.openxmlformats.org/officeDocument/2006/relationships/hyperlink" Target="https://www.tradingview.com/chart/Q1c5VWwD/?symbol=nyse%3Aetn" TargetMode="External" Id="rId84" /><Relationship Type="http://schemas.openxmlformats.org/officeDocument/2006/relationships/hyperlink" Target="https://www.tradingview.com/chart/Q1c5VWwD/?symbol=nasdaq%3Aaip" TargetMode="External" Id="rId85" /><Relationship Type="http://schemas.openxmlformats.org/officeDocument/2006/relationships/hyperlink" Target="https://www.tradingview.com/chart/Q1c5VWwD/?symbol=nasdaq%3Afsbw" TargetMode="External" Id="rId86" /><Relationship Type="http://schemas.openxmlformats.org/officeDocument/2006/relationships/hyperlink" Target="https://www.tradingview.com/chart/Q1c5VWwD/?symbol=nyse%3Aamg" TargetMode="External" Id="rId87" /><Relationship Type="http://schemas.openxmlformats.org/officeDocument/2006/relationships/hyperlink" Target="https://www.tradingview.com/chart/Q1c5VWwD/?symbol=nasdaq%3Afnrn" TargetMode="External" Id="rId88" /><Relationship Type="http://schemas.openxmlformats.org/officeDocument/2006/relationships/hyperlink" Target="https://www.tradingview.com/chart/Q1c5VWwD/?symbol=nasdaq%3Away" TargetMode="External" Id="rId89" /><Relationship Type="http://schemas.openxmlformats.org/officeDocument/2006/relationships/hyperlink" Target="https://www.tradingview.com/chart/Q1c5VWwD/?symbol=nyse%3Atxnm" TargetMode="External" Id="rId90" /><Relationship Type="http://schemas.openxmlformats.org/officeDocument/2006/relationships/hyperlink" Target="https://www.tradingview.com/chart/Q1c5VWwD/?symbol=nyse%3Avsts" TargetMode="External" Id="rId91" /><Relationship Type="http://schemas.openxmlformats.org/officeDocument/2006/relationships/hyperlink" Target="https://www.tradingview.com/chart/Q1c5VWwD/?symbol=nasdaq%3Amktx" TargetMode="External" Id="rId92" /><Relationship Type="http://schemas.openxmlformats.org/officeDocument/2006/relationships/hyperlink" Target="https://www.tradingview.com/chart/Q1c5VWwD/?symbol=nyse%3Apsx" TargetMode="External" Id="rId93" /><Relationship Type="http://schemas.openxmlformats.org/officeDocument/2006/relationships/hyperlink" Target="https://www.tradingview.com/chart/Q1c5VWwD/?symbol=nyse%3Aatkr" TargetMode="External" Id="rId94" /><Relationship Type="http://schemas.openxmlformats.org/officeDocument/2006/relationships/hyperlink" Target="https://www.tradingview.com/chart/Q1c5VWwD/?symbol=nasdaq%3Acolm" TargetMode="External" Id="rId95" /><Relationship Type="http://schemas.openxmlformats.org/officeDocument/2006/relationships/hyperlink" Target="https://www.tradingview.com/chart/Q1c5VWwD/?symbol=nasdaq%3Abiib" TargetMode="External" Id="rId96" /><Relationship Type="http://schemas.openxmlformats.org/officeDocument/2006/relationships/hyperlink" Target="https://www.tradingview.com/chart/Q1c5VWwD/?symbol=nasdaq%3Asaft" TargetMode="External" Id="rId97" /><Relationship Type="http://schemas.openxmlformats.org/officeDocument/2006/relationships/hyperlink" Target="https://www.tradingview.com/chart/Q1c5VWwD/?symbol=nasdaq%3Atrns" TargetMode="External" Id="rId98" /><Relationship Type="http://schemas.openxmlformats.org/officeDocument/2006/relationships/hyperlink" Target="https://www.tradingview.com/chart/Q1c5VWwD/?symbol=nasdaq%3Aapxt" TargetMode="External" Id="rId99" /><Relationship Type="http://schemas.openxmlformats.org/officeDocument/2006/relationships/hyperlink" Target="https://www.tradingview.com/chart/Q1c5VWwD/?symbol=nyse%3Aopy" TargetMode="External" Id="rId100" /><Relationship Type="http://schemas.openxmlformats.org/officeDocument/2006/relationships/hyperlink" Target="https://www.tradingview.com/chart/Q1c5VWwD/?symbol=nasdaq%3Afac" TargetMode="External" Id="rId101" /><Relationship Type="http://schemas.openxmlformats.org/officeDocument/2006/relationships/hyperlink" Target="https://www.tradingview.com/chart/Q1c5VWwD/?symbol=nasdaq%3Ameta" TargetMode="External" Id="rId102" /><Relationship Type="http://schemas.openxmlformats.org/officeDocument/2006/relationships/hyperlink" Target="https://www.tradingview.com/chart/Q1c5VWwD/?symbol=nasdaq%3Apsix" TargetMode="External" Id="rId103" /><Relationship Type="http://schemas.openxmlformats.org/officeDocument/2006/relationships/hyperlink" Target="https://www.tradingview.com/chart/Q1c5VWwD/?symbol=nasdaq%3Asndk" TargetMode="External" Id="rId104" /><Relationship Type="http://schemas.openxmlformats.org/officeDocument/2006/relationships/hyperlink" Target="https://www.tradingview.com/chart/Q1c5VWwD/?symbol=nasdaq%3Afeim" TargetMode="External" Id="rId105" /><Relationship Type="http://schemas.openxmlformats.org/officeDocument/2006/relationships/hyperlink" Target="https://www.tradingview.com/chart/Q1c5VWwD/?symbol=nyse%3Aluv" TargetMode="External" Id="rId106" /><Relationship Type="http://schemas.openxmlformats.org/officeDocument/2006/relationships/hyperlink" Target="https://www.tradingview.com/chart/Q1c5VWwD/?symbol=nyse%3Agic" TargetMode="External" Id="rId107" /><Relationship Type="http://schemas.openxmlformats.org/officeDocument/2006/relationships/hyperlink" Target="https://www.tradingview.com/chart/Q1c5VWwD/?symbol=nasdaq%3Awbtn" TargetMode="External" Id="rId108" /><Relationship Type="http://schemas.openxmlformats.org/officeDocument/2006/relationships/hyperlink" Target="https://www.tradingview.com/chart/Q1c5VWwD/?symbol=nasdaq%3Asmtc" TargetMode="External" Id="rId109" /><Relationship Type="http://schemas.openxmlformats.org/officeDocument/2006/relationships/hyperlink" Target="https://www.tradingview.com/chart/Q1c5VWwD/?symbol=nyse%3Afpi" TargetMode="External" Id="rId110" /><Relationship Type="http://schemas.openxmlformats.org/officeDocument/2006/relationships/hyperlink" Target="https://www.tradingview.com/chart/Q1c5VWwD/?symbol=nyse%3Agme" TargetMode="External" Id="rId111" /><Relationship Type="http://schemas.openxmlformats.org/officeDocument/2006/relationships/hyperlink" Target="https://www.tradingview.com/chart/Q1c5VWwD/?symbol=nasdaq%3Avstm" TargetMode="External" Id="rId112" /><Relationship Type="http://schemas.openxmlformats.org/officeDocument/2006/relationships/hyperlink" Target="https://www.tradingview.com/chart/Q1c5VWwD/?symbol=amex%3Ahyln" TargetMode="External" Id="rId113" /><Relationship Type="http://schemas.openxmlformats.org/officeDocument/2006/relationships/hyperlink" Target="https://www.tradingview.com/chart/Q1c5VWwD/?symbol=nyse%3Arvty" TargetMode="External" Id="rId114" /><Relationship Type="http://schemas.openxmlformats.org/officeDocument/2006/relationships/hyperlink" Target="https://www.tradingview.com/chart/Q1c5VWwD/?symbol=nasdaq%3Aaxti" TargetMode="External" Id="rId115" /><Relationship Type="http://schemas.openxmlformats.org/officeDocument/2006/relationships/hyperlink" Target="https://www.tradingview.com/chart/Q1c5VWwD/?symbol=nasdaq%3Aembc" TargetMode="External" Id="rId116" /><Relationship Type="http://schemas.openxmlformats.org/officeDocument/2006/relationships/hyperlink" Target="https://www.tradingview.com/chart/Q1c5VWwD/?symbol=nyse%3Aftk" TargetMode="External" Id="rId117" /><Relationship Type="http://schemas.openxmlformats.org/officeDocument/2006/relationships/hyperlink" Target="https://www.tradingview.com/chart/Q1c5VWwD/?symbol=nasdaq%3Aalnt" TargetMode="External" Id="rId118" /><Relationship Type="http://schemas.openxmlformats.org/officeDocument/2006/relationships/hyperlink" Target="https://www.tradingview.com/chart/Q1c5VWwD/?symbol=nasdaq%3Antsk" TargetMode="External" Id="rId119" /><Relationship Type="http://schemas.openxmlformats.org/officeDocument/2006/relationships/hyperlink" Target="https://www.tradingview.com/chart/Q1c5VWwD/?symbol=nasdaq%3Asanm" TargetMode="External" Id="rId120" /><Relationship Type="http://schemas.openxmlformats.org/officeDocument/2006/relationships/hyperlink" Target="https://www.tradingview.com/chart/Q1c5VWwD/?symbol=nyse%3Adhx" TargetMode="External" Id="rId121" /><Relationship Type="http://schemas.openxmlformats.org/officeDocument/2006/relationships/hyperlink" Target="https://www.tradingview.com/chart/Q1c5VWwD/?symbol=nasdaq%3Asmci" TargetMode="External" Id="rId122" /><Relationship Type="http://schemas.openxmlformats.org/officeDocument/2006/relationships/hyperlink" Target="https://www.tradingview.com/chart/Q1c5VWwD/?symbol=nasdaq%3Acohu" TargetMode="External" Id="rId123" /><Relationship Type="http://schemas.openxmlformats.org/officeDocument/2006/relationships/hyperlink" Target="https://www.tradingview.com/chart/Q1c5VWwD/?symbol=nasdaq%3Avlgea" TargetMode="External" Id="rId124" /><Relationship Type="http://schemas.openxmlformats.org/officeDocument/2006/relationships/hyperlink" Target="https://www.tradingview.com/chart/Q1c5VWwD/?symbol=nasdaq%3Aaehr" TargetMode="External" Id="rId125" /><Relationship Type="http://schemas.openxmlformats.org/officeDocument/2006/relationships/hyperlink" Target="https://www.tradingview.com/chart/Q1c5VWwD/?symbol=nasdaq%3Asitm" TargetMode="External" Id="rId126" /><Relationship Type="http://schemas.openxmlformats.org/officeDocument/2006/relationships/hyperlink" Target="https://www.tradingview.com/chart/Q1c5VWwD/?symbol=nyse%3Atwlo" TargetMode="External" Id="rId127" /><Relationship Type="http://schemas.openxmlformats.org/officeDocument/2006/relationships/hyperlink" Target="https://www.tradingview.com/chart/Q1c5VWwD/?symbol=nasdaq%3Agh" TargetMode="External" Id="rId128" /><Relationship Type="http://schemas.openxmlformats.org/officeDocument/2006/relationships/hyperlink" Target="https://www.tradingview.com/chart/Q1c5VWwD/?symbol=nasdaq%3Atbch" TargetMode="External" Id="rId129" /><Relationship Type="http://schemas.openxmlformats.org/officeDocument/2006/relationships/hyperlink" Target="https://www.tradingview.com/chart/Q1c5VWwD/?symbol=nasdaq%3Aalmr" TargetMode="External" Id="rId130" /><Relationship Type="http://schemas.openxmlformats.org/officeDocument/2006/relationships/hyperlink" Target="https://www.tradingview.com/chart/Q1c5VWwD/?symbol=nasdaq%3Amstr" TargetMode="External" Id="rId131" /><Relationship Type="http://schemas.openxmlformats.org/officeDocument/2006/relationships/hyperlink" Target="https://www.tradingview.com/chart/Q1c5VWwD/?symbol=nasdaq%3Atwst" TargetMode="External" Id="rId132" /><Relationship Type="http://schemas.openxmlformats.org/officeDocument/2006/relationships/hyperlink" Target="https://www.tradingview.com/chart/Q1c5VWwD/?symbol=nyse%3Agev" TargetMode="External" Id="rId133" /><Relationship Type="http://schemas.openxmlformats.org/officeDocument/2006/relationships/hyperlink" Target="https://www.tradingview.com/chart/Q1c5VWwD/?symbol=nasdaq%3Aokta" TargetMode="External" Id="rId134" /><Relationship Type="http://schemas.openxmlformats.org/officeDocument/2006/relationships/hyperlink" Target="https://www.tradingview.com/chart/Q1c5VWwD/?symbol=nyse%3Acvi" TargetMode="External" Id="rId135" /><Relationship Type="http://schemas.openxmlformats.org/officeDocument/2006/relationships/hyperlink" Target="https://www.tradingview.com/chart/Q1c5VWwD/?symbol=nyse%3Aambq" TargetMode="External" Id="rId136" /><Relationship Type="http://schemas.openxmlformats.org/officeDocument/2006/relationships/hyperlink" Target="https://www.tradingview.com/chart/Q1c5VWwD/?symbol=nasdaq%3Aalab" TargetMode="External" Id="rId137" /><Relationship Type="http://schemas.openxmlformats.org/officeDocument/2006/relationships/hyperlink" Target="https://www.tradingview.com/chart/Q1c5VWwD/?symbol=nasdaq%3Aevcm" TargetMode="External" Id="rId138" /><Relationship Type="http://schemas.openxmlformats.org/officeDocument/2006/relationships/hyperlink" Target="https://www.tradingview.com/chart/Q1c5VWwD/?symbol=nasdaq%3Afbla" TargetMode="External" Id="rId139" /><Relationship Type="http://schemas.openxmlformats.org/officeDocument/2006/relationships/hyperlink" Target="https://www.tradingview.com/chart/Q1c5VWwD/?symbol=nasdaq%3Acuri" TargetMode="External" Id="rId140" /><Relationship Type="http://schemas.openxmlformats.org/officeDocument/2006/relationships/hyperlink" Target="https://www.tradingview.com/chart/Q1c5VWwD/?symbol=nasdaq%3Arxrx" TargetMode="External" Id="rId141" /><Relationship Type="http://schemas.openxmlformats.org/officeDocument/2006/relationships/hyperlink" Target="https://www.tradingview.com/chart/Q1c5VWwD/?symbol=nyse%3Aa" TargetMode="External" Id="rId142" /><Relationship Type="http://schemas.openxmlformats.org/officeDocument/2006/relationships/hyperlink" Target="https://www.tradingview.com/chart/Q1c5VWwD/?symbol=nyse%3Arng" TargetMode="External" Id="rId143" /><Relationship Type="http://schemas.openxmlformats.org/officeDocument/2006/relationships/hyperlink" Target="https://www.tradingview.com/chart/Q1c5VWwD/?symbol=nyse%3Adocs" TargetMode="External" Id="rId144" /><Relationship Type="http://schemas.openxmlformats.org/officeDocument/2006/relationships/hyperlink" Target="https://www.tradingview.com/chart/Q1c5VWwD/?symbol=nasdaq%3Amar" TargetMode="External" Id="rId145" /><Relationship Type="http://schemas.openxmlformats.org/officeDocument/2006/relationships/hyperlink" Target="https://www.tradingview.com/chart/Q1c5VWwD/?symbol=nasdaq%3Adiod" TargetMode="External" Id="rId146" /><Relationship Type="http://schemas.openxmlformats.org/officeDocument/2006/relationships/hyperlink" Target="https://www.tradingview.com/chart/Q1c5VWwD/?symbol=nyse%3Afix" TargetMode="External" Id="rId147" /><Relationship Type="http://schemas.openxmlformats.org/officeDocument/2006/relationships/hyperlink" Target="https://www.tradingview.com/chart/Q1c5VWwD/?symbol=nyse%3Adocn" TargetMode="External" Id="rId148" /><Relationship Type="http://schemas.openxmlformats.org/officeDocument/2006/relationships/hyperlink" Target="https://www.tradingview.com/chart/Q1c5VWwD/?symbol=nyse%3Anxdr" TargetMode="External" Id="rId149" /><Relationship Type="http://schemas.openxmlformats.org/officeDocument/2006/relationships/hyperlink" Target="https://www.tradingview.com/chart/Q1c5VWwD/?symbol=nasdaq%3Aband" TargetMode="External" Id="rId150" /><Relationship Type="http://schemas.openxmlformats.org/officeDocument/2006/relationships/hyperlink" Target="https://www.tradingview.com/chart/Q1c5VWwD/?symbol=nyse%3Aprlb" TargetMode="External" Id="rId151" /><Relationship Type="http://schemas.openxmlformats.org/officeDocument/2006/relationships/hyperlink" Target="https://www.tradingview.com/chart/Q1c5VWwD/?symbol=nasdaq%3Aabsi" TargetMode="External" Id="rId152" /><Relationship Type="http://schemas.openxmlformats.org/officeDocument/2006/relationships/hyperlink" Target="https://www.tradingview.com/chart/Q1c5VWwD/?symbol=nasdaq%3Atssi" TargetMode="External" Id="rId153" /><Relationship Type="http://schemas.openxmlformats.org/officeDocument/2006/relationships/hyperlink" Target="https://www.tradingview.com/chart/Q1c5VWwD/?symbol=nasdaq%3Atem" TargetMode="External" Id="rId154" /><Relationship Type="http://schemas.openxmlformats.org/officeDocument/2006/relationships/hyperlink" Target="https://www.tradingview.com/chart/Q1c5VWwD/?symbol=nasdaq%3Aatii" TargetMode="External" Id="rId155" /><Relationship Type="http://schemas.openxmlformats.org/officeDocument/2006/relationships/hyperlink" Target="https://www.tradingview.com/chart/Q1c5VWwD/?symbol=nasdaq%3Arxt" TargetMode="External" Id="rId156" /><Relationship Type="http://schemas.openxmlformats.org/officeDocument/2006/relationships/hyperlink" Target="https://www.tradingview.com/chart/Q1c5VWwD/?symbol=nyse%3Avia" TargetMode="External" Id="rId157" /><Relationship Type="http://schemas.openxmlformats.org/officeDocument/2006/relationships/hyperlink" Target="https://www.tradingview.com/chart/Q1c5VWwD/?symbol=nasdaq%3Agemi" TargetMode="External" Id="rId158" /><Relationship Type="http://schemas.openxmlformats.org/officeDocument/2006/relationships/hyperlink" Target="https://www.tradingview.com/chart/Q1c5VWwD/?symbol=nyse%3Arbrk" TargetMode="External" Id="rId159" /><Relationship Type="http://schemas.openxmlformats.org/officeDocument/2006/relationships/hyperlink" Target="https://www.tradingview.com/chart/Q1c5VWwD/?symbol=nyse%3Akn" TargetMode="External" Id="rId160" /><Relationship Type="http://schemas.openxmlformats.org/officeDocument/2006/relationships/hyperlink" Target="https://www.tradingview.com/chart/Q1c5VWwD/?symbol=nasdaq%3Azs" TargetMode="External" Id="rId161" /><Relationship Type="http://schemas.openxmlformats.org/officeDocument/2006/relationships/hyperlink" Target="https://www.tradingview.com/chart/Q1c5VWwD/?symbol=nasdaq%3Aclmb" TargetMode="External" Id="rId162" /><Relationship Type="http://schemas.openxmlformats.org/officeDocument/2006/relationships/hyperlink" Target="https://www.tradingview.com/chart/Q1c5VWwD/?symbol=nyse%3Abhe" TargetMode="External" Id="rId163" /><Relationship Type="http://schemas.openxmlformats.org/officeDocument/2006/relationships/hyperlink" Target="https://www.tradingview.com/chart/Q1c5VWwD/?symbol=nasdaq%3Asght" TargetMode="External" Id="rId164" /><Relationship Type="http://schemas.openxmlformats.org/officeDocument/2006/relationships/hyperlink" Target="https://www.tradingview.com/chart/Q1c5VWwD/?symbol=nyse%3Avsh" TargetMode="External" Id="rId165" /><Relationship Type="http://schemas.openxmlformats.org/officeDocument/2006/relationships/hyperlink" Target="https://www.tradingview.com/chart/Q1c5VWwD/?symbol=nasdaq%3Asiga" TargetMode="External" Id="rId166" /><Relationship Type="http://schemas.openxmlformats.org/officeDocument/2006/relationships/hyperlink" Target="https://www.tradingview.com/chart/Q1c5VWwD/?symbol=nyse%3Aavtr" TargetMode="External" Id="rId167" /><Relationship Type="http://schemas.openxmlformats.org/officeDocument/2006/relationships/hyperlink" Target="https://www.tradingview.com/chart/Q1c5VWwD/?symbol=nasdaq%3Aceva" TargetMode="External" Id="rId168" /><Relationship Type="http://schemas.openxmlformats.org/officeDocument/2006/relationships/hyperlink" Target="https://www.tradingview.com/chart/Q1c5VWwD/?symbol=nasdaq%3Amsft" TargetMode="External" Id="rId169" /><Relationship Type="http://schemas.openxmlformats.org/officeDocument/2006/relationships/hyperlink" Target="https://www.tradingview.com/chart/Q1c5VWwD/?symbol=nasdaq%3Alyts" TargetMode="External" Id="rId170" /><Relationship Type="http://schemas.openxmlformats.org/officeDocument/2006/relationships/hyperlink" Target="https://www.tradingview.com/chart/Q1c5VWwD/?symbol=nyse%3Alpg" TargetMode="External" Id="rId171" /><Relationship Type="http://schemas.openxmlformats.org/officeDocument/2006/relationships/hyperlink" Target="https://www.tradingview.com/chart/Q1c5VWwD/?symbol=nasdaq%3Aplxs" TargetMode="External" Id="rId172" /><Relationship Type="http://schemas.openxmlformats.org/officeDocument/2006/relationships/hyperlink" Target="https://www.tradingview.com/chart/Q1c5VWwD/?symbol=nyse%3Avfc" TargetMode="External" Id="rId173" /><Relationship Type="http://schemas.openxmlformats.org/officeDocument/2006/relationships/hyperlink" Target="https://www.tradingview.com/chart/Q1c5VWwD/?symbol=nasdaq%3Aamkr" TargetMode="External" Id="rId174" /><Relationship Type="http://schemas.openxmlformats.org/officeDocument/2006/relationships/hyperlink" Target="https://www.tradingview.com/chart/Q1c5VWwD/?symbol=nasdaq%3Aslp" TargetMode="External" Id="rId175" /><Relationship Type="http://schemas.openxmlformats.org/officeDocument/2006/relationships/hyperlink" Target="https://www.tradingview.com/chart/Q1c5VWwD/?symbol=nasdaq%3Ashls" TargetMode="External" Id="rId176" /><Relationship Type="http://schemas.openxmlformats.org/officeDocument/2006/relationships/hyperlink" Target="https://www.tradingview.com/chart/Q1c5VWwD/?symbol=nasdaq%3Adsgr" TargetMode="External" Id="rId177" /><Relationship Type="http://schemas.openxmlformats.org/officeDocument/2006/relationships/hyperlink" Target="https://www.tradingview.com/chart/Q1c5VWwD/?symbol=nasdaq%3Apayo" TargetMode="External" Id="rId178" /><Relationship Type="http://schemas.openxmlformats.org/officeDocument/2006/relationships/hyperlink" Target="https://www.tradingview.com/chart/Q1c5VWwD/?symbol=nyse%3Amsge" TargetMode="External" Id="rId179" /><Relationship Type="http://schemas.openxmlformats.org/officeDocument/2006/relationships/hyperlink" Target="https://www.tradingview.com/chart/Q1c5VWwD/?symbol=nasdaq%3Affiv" TargetMode="External" Id="rId180" /><Relationship Type="http://schemas.openxmlformats.org/officeDocument/2006/relationships/hyperlink" Target="https://www.tradingview.com/chart/Q1c5VWwD/?symbol=nyse%3Aeme" TargetMode="External" Id="rId181" /><Relationship Type="http://schemas.openxmlformats.org/officeDocument/2006/relationships/hyperlink" Target="https://www.tradingview.com/chart/Q1c5VWwD/?symbol=nyse%3Acon" TargetMode="External" Id="rId182" /><Relationship Type="http://schemas.openxmlformats.org/officeDocument/2006/relationships/hyperlink" Target="https://www.tradingview.com/chart/Q1c5VWwD/?symbol=nasdaq%3Aflex" TargetMode="External" Id="rId183" /><Relationship Type="http://schemas.openxmlformats.org/officeDocument/2006/relationships/hyperlink" Target="https://www.tradingview.com/chart/Q1c5VWwD/?symbol=nyse%3Apeb" TargetMode="External" Id="rId184" /><Relationship Type="http://schemas.openxmlformats.org/officeDocument/2006/relationships/hyperlink" Target="https://www.tradingview.com/chart/Q1c5VWwD/?symbol=nasdaq%3Actkb" TargetMode="External" Id="rId185" /><Relationship Type="http://schemas.openxmlformats.org/officeDocument/2006/relationships/hyperlink" Target="https://www.tradingview.com/chart/Q1c5VWwD/?symbol=nyse%3Awmk" TargetMode="External" Id="rId186" /><Relationship Type="http://schemas.openxmlformats.org/officeDocument/2006/relationships/hyperlink" Target="https://www.tradingview.com/chart/Q1c5VWwD/?symbol=nasdaq%3Antgr" TargetMode="External" Id="rId187" /><Relationship Type="http://schemas.openxmlformats.org/officeDocument/2006/relationships/hyperlink" Target="https://www.tradingview.com/chart/Q1c5VWwD/?symbol=nasdaq%3Aimkta" TargetMode="External" Id="rId188" /><Relationship Type="http://schemas.openxmlformats.org/officeDocument/2006/relationships/hyperlink" Target="https://www.tradingview.com/chart/Q1c5VWwD/?symbol=nyse%3Aebf" TargetMode="External" Id="rId189" /><Relationship Type="http://schemas.openxmlformats.org/officeDocument/2006/relationships/hyperlink" Target="https://www.tradingview.com/chart/Q1c5VWwD/?symbol=nyse%3Aaes" TargetMode="External" Id="rId190" /><Relationship Type="http://schemas.openxmlformats.org/officeDocument/2006/relationships/hyperlink" Target="https://www.tradingview.com/chart/Q1c5VWwD/?symbol=nasdaq%3Ajakk" TargetMode="External" Id="rId191" /><Relationship Type="http://schemas.openxmlformats.org/officeDocument/2006/relationships/hyperlink" Target="https://www.tradingview.com/chart/Q1c5VWwD/?symbol=nasdaq%3Ahstm" TargetMode="External" Id="rId192" /><Relationship Type="http://schemas.openxmlformats.org/officeDocument/2006/relationships/hyperlink" Target="https://www.tradingview.com/chart/Q1c5VWwD/?symbol=nyse%3Awcc" TargetMode="External" Id="rId193" /><Relationship Type="http://schemas.openxmlformats.org/officeDocument/2006/relationships/hyperlink" Target="https://www.tradingview.com/chart/Q1c5VWwD/?symbol=amex%3Arlgt" TargetMode="External" Id="rId194" /><Relationship Type="http://schemas.openxmlformats.org/officeDocument/2006/relationships/hyperlink" Target="https://www.tradingview.com/chart/Q1c5VWwD/?symbol=nyse%3Ait" TargetMode="External" Id="rId195" /><Relationship Type="http://schemas.openxmlformats.org/officeDocument/2006/relationships/hyperlink" Target="https://www.tradingview.com/chart/Q1c5VWwD/?symbol=nyse%3Akr" TargetMode="External" Id="rId196" /><Relationship Type="http://schemas.openxmlformats.org/officeDocument/2006/relationships/hyperlink" Target="https://www.tradingview.com/chart/Q1c5VWwD/?symbol=nasdaq%3Amgni" TargetMode="External" Id="rId197" /><Relationship Type="http://schemas.openxmlformats.org/officeDocument/2006/relationships/hyperlink" Target="https://www.tradingview.com/chart/Q1c5VWwD/?symbol=nasdaq%3Acvco" TargetMode="External" Id="rId198" /><Relationship Type="http://schemas.openxmlformats.org/officeDocument/2006/relationships/hyperlink" Target="https://www.tradingview.com/chart/Q1c5VWwD/?symbol=nyse%3Abj" TargetMode="External" Id="rId199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nasdaq%3Auctt" TargetMode="External" Id="rId1" /><Relationship Type="http://schemas.openxmlformats.org/officeDocument/2006/relationships/hyperlink" Target="https://www.tradingview.com/chart/Q1c5VWwD/?symbol=nasdaq%3Amaze" TargetMode="External" Id="rId2" /><Relationship Type="http://schemas.openxmlformats.org/officeDocument/2006/relationships/hyperlink" Target="https://www.tradingview.com/chart/Q1c5VWwD/?symbol=nyse%3Aneu" TargetMode="External" Id="rId3" /><Relationship Type="http://schemas.openxmlformats.org/officeDocument/2006/relationships/hyperlink" Target="https://www.tradingview.com/chart/Q1c5VWwD/?symbol=nasdaq%3Ahwkn" TargetMode="External" Id="rId4" /><Relationship Type="http://schemas.openxmlformats.org/officeDocument/2006/relationships/hyperlink" Target="https://www.tradingview.com/chart/Q1c5VWwD/?symbol=nasdaq%3Agfs" TargetMode="External" Id="rId5" /><Relationship Type="http://schemas.openxmlformats.org/officeDocument/2006/relationships/hyperlink" Target="https://www.tradingview.com/chart/Q1c5VWwD/?symbol=nyse%3Acat" TargetMode="External" Id="rId6" /><Relationship Type="http://schemas.openxmlformats.org/officeDocument/2006/relationships/hyperlink" Target="https://www.tradingview.com/chart/Q1c5VWwD/?symbol=nyse%3Apwr" TargetMode="External" Id="rId7" /><Relationship Type="http://schemas.openxmlformats.org/officeDocument/2006/relationships/hyperlink" Target="https://www.tradingview.com/chart/Q1c5VWwD/?symbol=nyse%3Am" TargetMode="External" Id="rId8" /><Relationship Type="http://schemas.openxmlformats.org/officeDocument/2006/relationships/hyperlink" Target="https://www.tradingview.com/chart/Q1c5VWwD/?symbol=nyse%3Acldt" TargetMode="External" Id="rId9" /><Relationship Type="http://schemas.openxmlformats.org/officeDocument/2006/relationships/hyperlink" Target="https://www.tradingview.com/chart/Q1c5VWwD/?symbol=nasdaq%3Aamba" TargetMode="External" Id="rId10" /><Relationship Type="http://schemas.openxmlformats.org/officeDocument/2006/relationships/hyperlink" Target="https://www.tradingview.com/chart/Q1c5VWwD/?symbol=nasdaq%3Aaip" TargetMode="External" Id="rId11" /><Relationship Type="http://schemas.openxmlformats.org/officeDocument/2006/relationships/hyperlink" Target="https://www.tradingview.com/chart/Q1c5VWwD/?symbol=nyse%3Aamg" TargetMode="External" Id="rId12" /><Relationship Type="http://schemas.openxmlformats.org/officeDocument/2006/relationships/hyperlink" Target="https://www.tradingview.com/chart/Q1c5VWwD/?symbol=nasdaq%3Afnrn" TargetMode="External" Id="rId13" /><Relationship Type="http://schemas.openxmlformats.org/officeDocument/2006/relationships/hyperlink" Target="https://www.tradingview.com/chart/Q1c5VWwD/?symbol=nasdaq%3Acolm" TargetMode="External" Id="rId14" /><Relationship Type="http://schemas.openxmlformats.org/officeDocument/2006/relationships/hyperlink" Target="https://www.tradingview.com/chart/Q1c5VWwD/?symbol=nyse%3Aopy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nasdaq%3Afrnm" TargetMode="External" Id="rId1" /><Relationship Type="http://schemas.openxmlformats.org/officeDocument/2006/relationships/hyperlink" Target="https://www.tradingview.com/chart/Q1c5VWwD/?symbol=nasdaq%3Aadpt" TargetMode="External" Id="rId2" /><Relationship Type="http://schemas.openxmlformats.org/officeDocument/2006/relationships/hyperlink" Target="https://www.tradingview.com/chart/Q1c5VWwD/?symbol=nasdaq%3Aflgt" TargetMode="External" Id="rId3" /><Relationship Type="http://schemas.openxmlformats.org/officeDocument/2006/relationships/hyperlink" Target="https://www.tradingview.com/chart/Q1c5VWwD/?symbol=nasdaq%3Aftre" TargetMode="External" Id="rId4" /><Relationship Type="http://schemas.openxmlformats.org/officeDocument/2006/relationships/hyperlink" Target="https://www.tradingview.com/chart/Q1c5VWwD/?symbol=nyse%3Abtgo" TargetMode="External" Id="rId5" /><Relationship Type="http://schemas.openxmlformats.org/officeDocument/2006/relationships/hyperlink" Target="https://www.tradingview.com/chart/Q1c5VWwD/?symbol=nyse%3Awat" TargetMode="External" Id="rId6" /><Relationship Type="http://schemas.openxmlformats.org/officeDocument/2006/relationships/hyperlink" Target="https://www.tradingview.com/chart/Q1c5VWwD/?symbol=nasdaq%3Asmti" TargetMode="External" Id="rId7" /><Relationship Type="http://schemas.openxmlformats.org/officeDocument/2006/relationships/hyperlink" Target="https://www.tradingview.com/chart/Q1c5VWwD/?symbol=nasdaq%3Abprn" TargetMode="External" Id="rId8" /><Relationship Type="http://schemas.openxmlformats.org/officeDocument/2006/relationships/hyperlink" Target="https://www.tradingview.com/chart/Q1c5VWwD/?symbol=nasdaq%3Apkoh" TargetMode="External" Id="rId9" /><Relationship Type="http://schemas.openxmlformats.org/officeDocument/2006/relationships/hyperlink" Target="https://www.tradingview.com/chart/Q1c5VWwD/?symbol=nasdaq%3Abiib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nyse%3Ajill" TargetMode="External" Id="rId1" /><Relationship Type="http://schemas.openxmlformats.org/officeDocument/2006/relationships/hyperlink" Target="https://www.tradingview.com/chart/Q1c5VWwD/?symbol=nasdaq%3Appih" TargetMode="External" Id="rId2" /><Relationship Type="http://schemas.openxmlformats.org/officeDocument/2006/relationships/hyperlink" Target="https://www.tradingview.com/chart/Q1c5VWwD/?symbol=nyse%3Amg" TargetMode="External" Id="rId3" /><Relationship Type="http://schemas.openxmlformats.org/officeDocument/2006/relationships/hyperlink" Target="https://www.tradingview.com/chart/Q1c5VWwD/?symbol=nasdaq%3Attmi" TargetMode="External" Id="rId4" /><Relationship Type="http://schemas.openxmlformats.org/officeDocument/2006/relationships/hyperlink" Target="https://www.tradingview.com/chart/Q1c5VWwD/?symbol=nasdaq%3Anvax" TargetMode="External" Id="rId5" /><Relationship Type="http://schemas.openxmlformats.org/officeDocument/2006/relationships/hyperlink" Target="https://www.tradingview.com/chart/Q1c5VWwD/?symbol=nyse%3Anet" TargetMode="External" Id="rId6" /><Relationship Type="http://schemas.openxmlformats.org/officeDocument/2006/relationships/hyperlink" Target="https://www.tradingview.com/chart/Q1c5VWwD/?symbol=nyse%3Aacva" TargetMode="External" Id="rId7" /><Relationship Type="http://schemas.openxmlformats.org/officeDocument/2006/relationships/hyperlink" Target="https://www.tradingview.com/chart/Q1c5VWwD/?symbol=nyse%3Altc" TargetMode="External" Id="rId8" /><Relationship Type="http://schemas.openxmlformats.org/officeDocument/2006/relationships/hyperlink" Target="https://www.tradingview.com/chart/Q1c5VWwD/?symbol=nasdaq%3Apanw" TargetMode="External" Id="rId9" /><Relationship Type="http://schemas.openxmlformats.org/officeDocument/2006/relationships/hyperlink" Target="https://www.tradingview.com/chart/Q1c5VWwD/?symbol=nasdaq%3Apeng" TargetMode="External" Id="rId10" /><Relationship Type="http://schemas.openxmlformats.org/officeDocument/2006/relationships/hyperlink" Target="https://www.tradingview.com/chart/Q1c5VWwD/?symbol=nyse%3Adt" TargetMode="External" Id="rId11" /><Relationship Type="http://schemas.openxmlformats.org/officeDocument/2006/relationships/hyperlink" Target="https://www.tradingview.com/chart/Q1c5VWwD/?symbol=nasdaq%3Anutx" TargetMode="External" Id="rId12" /><Relationship Type="http://schemas.openxmlformats.org/officeDocument/2006/relationships/hyperlink" Target="https://www.tradingview.com/chart/Q1c5VWwD/?symbol=nyse%3Addd" TargetMode="External" Id="rId13" /><Relationship Type="http://schemas.openxmlformats.org/officeDocument/2006/relationships/hyperlink" Target="https://www.tradingview.com/chart/Q1c5VWwD/?symbol=nyse%3Amtw" TargetMode="External" Id="rId14" /><Relationship Type="http://schemas.openxmlformats.org/officeDocument/2006/relationships/hyperlink" Target="https://www.tradingview.com/chart/Q1c5VWwD/?symbol=nasdaq%3Aisrg" TargetMode="External" Id="rId15" /><Relationship Type="http://schemas.openxmlformats.org/officeDocument/2006/relationships/hyperlink" Target="https://www.tradingview.com/chart/Q1c5VWwD/?symbol=nasdaq%3Aftnt" TargetMode="External" Id="rId16" /><Relationship Type="http://schemas.openxmlformats.org/officeDocument/2006/relationships/hyperlink" Target="https://www.tradingview.com/chart/Q1c5VWwD/?symbol=nasdaq%3Aavt" TargetMode="External" Id="rId17" /><Relationship Type="http://schemas.openxmlformats.org/officeDocument/2006/relationships/hyperlink" Target="https://www.tradingview.com/chart/Q1c5VWwD/?symbol=nasdaq%3Acvlt" TargetMode="External" Id="rId18" /><Relationship Type="http://schemas.openxmlformats.org/officeDocument/2006/relationships/hyperlink" Target="https://www.tradingview.com/chart/Q1c5VWwD/?symbol=nyse%3Adell" TargetMode="External" Id="rId19" /><Relationship Type="http://schemas.openxmlformats.org/officeDocument/2006/relationships/hyperlink" Target="https://www.tradingview.com/chart/Q1c5VWwD/?symbol=nyse%3Aanet" TargetMode="External" Id="rId20" /><Relationship Type="http://schemas.openxmlformats.org/officeDocument/2006/relationships/hyperlink" Target="https://www.tradingview.com/chart/Q1c5VWwD/?symbol=nyse%3Aarw" TargetMode="External" Id="rId21" /><Relationship Type="http://schemas.openxmlformats.org/officeDocument/2006/relationships/hyperlink" Target="https://www.tradingview.com/chart/Q1c5VWwD/?symbol=nasdaq%3Acrsr" TargetMode="External" Id="rId22" /><Relationship Type="http://schemas.openxmlformats.org/officeDocument/2006/relationships/hyperlink" Target="https://www.tradingview.com/chart/Q1c5VWwD/?symbol=nasdaq%3Auctt" TargetMode="External" Id="rId23" /><Relationship Type="http://schemas.openxmlformats.org/officeDocument/2006/relationships/hyperlink" Target="https://www.tradingview.com/chart/Q1c5VWwD/?symbol=nasdaq%3Aospn" TargetMode="External" Id="rId24" /><Relationship Type="http://schemas.openxmlformats.org/officeDocument/2006/relationships/hyperlink" Target="https://www.tradingview.com/chart/Q1c5VWwD/?symbol=nasdaq%3Avrns" TargetMode="External" Id="rId25" /><Relationship Type="http://schemas.openxmlformats.org/officeDocument/2006/relationships/hyperlink" Target="https://www.tradingview.com/chart/Q1c5VWwD/?symbol=amex%3Ainfu" TargetMode="External" Id="rId26" /><Relationship Type="http://schemas.openxmlformats.org/officeDocument/2006/relationships/hyperlink" Target="https://www.tradingview.com/chart/Q1c5VWwD/?symbol=nyse%3Angvc" TargetMode="External" Id="rId27" /><Relationship Type="http://schemas.openxmlformats.org/officeDocument/2006/relationships/hyperlink" Target="https://www.tradingview.com/chart/Q1c5VWwD/?symbol=nasdaq%3Api" TargetMode="External" Id="rId28" /><Relationship Type="http://schemas.openxmlformats.org/officeDocument/2006/relationships/hyperlink" Target="https://www.tradingview.com/chart/Q1c5VWwD/?symbol=nasdaq%3Anvda" TargetMode="External" Id="rId29" /><Relationship Type="http://schemas.openxmlformats.org/officeDocument/2006/relationships/hyperlink" Target="https://www.tradingview.com/chart/Q1c5VWwD/?symbol=nasdaq%3Alqdt" TargetMode="External" Id="rId30" /><Relationship Type="http://schemas.openxmlformats.org/officeDocument/2006/relationships/hyperlink" Target="https://www.tradingview.com/chart/Q1c5VWwD/?symbol=nyse%3Aamn" TargetMode="External" Id="rId31" /><Relationship Type="http://schemas.openxmlformats.org/officeDocument/2006/relationships/hyperlink" Target="https://www.tradingview.com/chart/Q1c5VWwD/?symbol=nyse%3Agne" TargetMode="External" Id="rId32" /><Relationship Type="http://schemas.openxmlformats.org/officeDocument/2006/relationships/hyperlink" Target="https://www.tradingview.com/chart/Q1c5VWwD/?symbol=nasdaq%3Acrus" TargetMode="External" Id="rId33" /><Relationship Type="http://schemas.openxmlformats.org/officeDocument/2006/relationships/hyperlink" Target="https://www.tradingview.com/chart/Q1c5VWwD/?symbol=nasdaq%3Amaze" TargetMode="External" Id="rId34" /><Relationship Type="http://schemas.openxmlformats.org/officeDocument/2006/relationships/hyperlink" Target="https://www.tradingview.com/chart/Q1c5VWwD/?symbol=nyse%3Akodk" TargetMode="External" Id="rId35" /><Relationship Type="http://schemas.openxmlformats.org/officeDocument/2006/relationships/hyperlink" Target="https://www.tradingview.com/chart/Q1c5VWwD/?symbol=nyse%3Aneu" TargetMode="External" Id="rId36" /><Relationship Type="http://schemas.openxmlformats.org/officeDocument/2006/relationships/hyperlink" Target="https://www.tradingview.com/chart/Q1c5VWwD/?symbol=nasdaq%3Aexel" TargetMode="External" Id="rId37" /><Relationship Type="http://schemas.openxmlformats.org/officeDocument/2006/relationships/hyperlink" Target="https://www.tradingview.com/chart/Q1c5VWwD/?symbol=nasdaq%3Aazta" TargetMode="External" Id="rId38" /><Relationship Type="http://schemas.openxmlformats.org/officeDocument/2006/relationships/hyperlink" Target="https://www.tradingview.com/chart/Q1c5VWwD/?symbol=nasdaq%3Aswbi" TargetMode="External" Id="rId39" /><Relationship Type="http://schemas.openxmlformats.org/officeDocument/2006/relationships/hyperlink" Target="https://www.tradingview.com/chart/Q1c5VWwD/?symbol=nasdaq%3Acstl" TargetMode="External" Id="rId40" /><Relationship Type="http://schemas.openxmlformats.org/officeDocument/2006/relationships/hyperlink" Target="https://www.tradingview.com/chart/Q1c5VWwD/?symbol=nasdaq%3Apbyi" TargetMode="External" Id="rId41" /><Relationship Type="http://schemas.openxmlformats.org/officeDocument/2006/relationships/hyperlink" Target="https://www.tradingview.com/chart/Q1c5VWwD/?symbol=nasdaq%3Ahwkn" TargetMode="External" Id="rId42" /><Relationship Type="http://schemas.openxmlformats.org/officeDocument/2006/relationships/hyperlink" Target="https://www.tradingview.com/chart/Q1c5VWwD/?symbol=nasdaq%3Abrkr" TargetMode="External" Id="rId43" /><Relationship Type="http://schemas.openxmlformats.org/officeDocument/2006/relationships/hyperlink" Target="https://www.tradingview.com/chart/Q1c5VWwD/?symbol=nasdaq%3Agfs" TargetMode="External" Id="rId44" /><Relationship Type="http://schemas.openxmlformats.org/officeDocument/2006/relationships/hyperlink" Target="https://www.tradingview.com/chart/Q1c5VWwD/?symbol=nasdaq%3Aegbn" TargetMode="External" Id="rId45" /><Relationship Type="http://schemas.openxmlformats.org/officeDocument/2006/relationships/hyperlink" Target="https://www.tradingview.com/chart/Q1c5VWwD/?symbol=nasdaq%3Adjco" TargetMode="External" Id="rId46" /><Relationship Type="http://schemas.openxmlformats.org/officeDocument/2006/relationships/hyperlink" Target="https://www.tradingview.com/chart/Q1c5VWwD/?symbol=nasdaq%3Axmtr" TargetMode="External" Id="rId47" /><Relationship Type="http://schemas.openxmlformats.org/officeDocument/2006/relationships/hyperlink" Target="https://www.tradingview.com/chart/Q1c5VWwD/?symbol=nasdaq%3Abwin" TargetMode="External" Id="rId48" /><Relationship Type="http://schemas.openxmlformats.org/officeDocument/2006/relationships/hyperlink" Target="https://www.tradingview.com/chart/Q1c5VWwD/?symbol=nyse%3Acat" TargetMode="External" Id="rId49" /><Relationship Type="http://schemas.openxmlformats.org/officeDocument/2006/relationships/hyperlink" Target="https://www.tradingview.com/chart/Q1c5VWwD/?symbol=nasdaq%3Acrvl" TargetMode="External" Id="rId50" /><Relationship Type="http://schemas.openxmlformats.org/officeDocument/2006/relationships/hyperlink" Target="https://www.tradingview.com/chart/Q1c5VWwD/?symbol=nasdaq%3Autmd" TargetMode="External" Id="rId51" /><Relationship Type="http://schemas.openxmlformats.org/officeDocument/2006/relationships/hyperlink" Target="https://www.tradingview.com/chart/Q1c5VWwD/?symbol=nyse%3Apwr" TargetMode="External" Id="rId52" /><Relationship Type="http://schemas.openxmlformats.org/officeDocument/2006/relationships/hyperlink" Target="https://www.tradingview.com/chart/Q1c5VWwD/?symbol=nyse%3Am" TargetMode="External" Id="rId53" /><Relationship Type="http://schemas.openxmlformats.org/officeDocument/2006/relationships/hyperlink" Target="https://www.tradingview.com/chart/Q1c5VWwD/?symbol=nyse%3Aitgr" TargetMode="External" Id="rId54" /><Relationship Type="http://schemas.openxmlformats.org/officeDocument/2006/relationships/hyperlink" Target="https://www.tradingview.com/chart/Q1c5VWwD/?symbol=nasdaq%3Agsat" TargetMode="External" Id="rId55" /><Relationship Type="http://schemas.openxmlformats.org/officeDocument/2006/relationships/hyperlink" Target="https://www.tradingview.com/chart/Q1c5VWwD/?symbol=nasdaq%3Ath" TargetMode="External" Id="rId56" /><Relationship Type="http://schemas.openxmlformats.org/officeDocument/2006/relationships/hyperlink" Target="https://www.tradingview.com/chart/Q1c5VWwD/?symbol=nyse%3Acldt" TargetMode="External" Id="rId57" /><Relationship Type="http://schemas.openxmlformats.org/officeDocument/2006/relationships/hyperlink" Target="https://www.tradingview.com/chart/Q1c5VWwD/?symbol=nasdaq%3Aamba" TargetMode="External" Id="rId58" /><Relationship Type="http://schemas.openxmlformats.org/officeDocument/2006/relationships/hyperlink" Target="https://www.tradingview.com/chart/Q1c5VWwD/?symbol=nasdaq%3Afast" TargetMode="External" Id="rId59" /><Relationship Type="http://schemas.openxmlformats.org/officeDocument/2006/relationships/hyperlink" Target="https://www.tradingview.com/chart/Q1c5VWwD/?symbol=nasdaq%3Aslab" TargetMode="External" Id="rId60" /><Relationship Type="http://schemas.openxmlformats.org/officeDocument/2006/relationships/hyperlink" Target="https://www.tradingview.com/chart/Q1c5VWwD/?symbol=nyse%3Aetn" TargetMode="External" Id="rId61" /><Relationship Type="http://schemas.openxmlformats.org/officeDocument/2006/relationships/hyperlink" Target="https://www.tradingview.com/chart/Q1c5VWwD/?symbol=nasdaq%3Aaip" TargetMode="External" Id="rId62" /><Relationship Type="http://schemas.openxmlformats.org/officeDocument/2006/relationships/hyperlink" Target="https://www.tradingview.com/chart/Q1c5VWwD/?symbol=nasdaq%3Afsbw" TargetMode="External" Id="rId63" /><Relationship Type="http://schemas.openxmlformats.org/officeDocument/2006/relationships/hyperlink" Target="https://www.tradingview.com/chart/Q1c5VWwD/?symbol=nyse%3Aamg" TargetMode="External" Id="rId64" /><Relationship Type="http://schemas.openxmlformats.org/officeDocument/2006/relationships/hyperlink" Target="https://www.tradingview.com/chart/Q1c5VWwD/?symbol=nasdaq%3Afnrn" TargetMode="External" Id="rId65" /><Relationship Type="http://schemas.openxmlformats.org/officeDocument/2006/relationships/hyperlink" Target="https://www.tradingview.com/chart/Q1c5VWwD/?symbol=nasdaq%3Away" TargetMode="External" Id="rId66" /><Relationship Type="http://schemas.openxmlformats.org/officeDocument/2006/relationships/hyperlink" Target="https://www.tradingview.com/chart/Q1c5VWwD/?symbol=nyse%3Atxnm" TargetMode="External" Id="rId67" /><Relationship Type="http://schemas.openxmlformats.org/officeDocument/2006/relationships/hyperlink" Target="https://www.tradingview.com/chart/Q1c5VWwD/?symbol=nyse%3Avsts" TargetMode="External" Id="rId68" /><Relationship Type="http://schemas.openxmlformats.org/officeDocument/2006/relationships/hyperlink" Target="https://www.tradingview.com/chart/Q1c5VWwD/?symbol=nasdaq%3Amktx" TargetMode="External" Id="rId69" /><Relationship Type="http://schemas.openxmlformats.org/officeDocument/2006/relationships/hyperlink" Target="https://www.tradingview.com/chart/Q1c5VWwD/?symbol=nyse%3Apsx" TargetMode="External" Id="rId70" /><Relationship Type="http://schemas.openxmlformats.org/officeDocument/2006/relationships/hyperlink" Target="https://www.tradingview.com/chart/Q1c5VWwD/?symbol=nyse%3Aatkr" TargetMode="External" Id="rId71" /><Relationship Type="http://schemas.openxmlformats.org/officeDocument/2006/relationships/hyperlink" Target="https://www.tradingview.com/chart/Q1c5VWwD/?symbol=nasdaq%3Acolm" TargetMode="External" Id="rId72" /><Relationship Type="http://schemas.openxmlformats.org/officeDocument/2006/relationships/hyperlink" Target="https://www.tradingview.com/chart/Q1c5VWwD/?symbol=nasdaq%3Asaft" TargetMode="External" Id="rId73" /><Relationship Type="http://schemas.openxmlformats.org/officeDocument/2006/relationships/hyperlink" Target="https://www.tradingview.com/chart/Q1c5VWwD/?symbol=nasdaq%3Atrns" TargetMode="External" Id="rId74" /><Relationship Type="http://schemas.openxmlformats.org/officeDocument/2006/relationships/hyperlink" Target="https://www.tradingview.com/chart/Q1c5VWwD/?symbol=nasdaq%3Aapxt" TargetMode="External" Id="rId75" /><Relationship Type="http://schemas.openxmlformats.org/officeDocument/2006/relationships/hyperlink" Target="https://www.tradingview.com/chart/Q1c5VWwD/?symbol=nyse%3Aopy" TargetMode="External" Id="rId76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nasdaq%3Attmi" TargetMode="External" Id="rId1" /><Relationship Type="http://schemas.openxmlformats.org/officeDocument/2006/relationships/hyperlink" Target="https://www.tradingview.com/chart/Q1c5VWwD/?symbol=nyse%3Anet" TargetMode="External" Id="rId2" /><Relationship Type="http://schemas.openxmlformats.org/officeDocument/2006/relationships/hyperlink" Target="https://www.tradingview.com/chart/Q1c5VWwD/?symbol=nasdaq%3Amtsi" TargetMode="External" Id="rId3" /><Relationship Type="http://schemas.openxmlformats.org/officeDocument/2006/relationships/hyperlink" Target="https://www.tradingview.com/chart/Q1c5VWwD/?symbol=nasdaq%3Apanw" TargetMode="External" Id="rId4" /><Relationship Type="http://schemas.openxmlformats.org/officeDocument/2006/relationships/hyperlink" Target="https://www.tradingview.com/chart/Q1c5VWwD/?symbol=nyse%3Adt" TargetMode="External" Id="rId5" /><Relationship Type="http://schemas.openxmlformats.org/officeDocument/2006/relationships/hyperlink" Target="https://www.tradingview.com/chart/Q1c5VWwD/?symbol=nasdaq%3Aisrg" TargetMode="External" Id="rId6" /><Relationship Type="http://schemas.openxmlformats.org/officeDocument/2006/relationships/hyperlink" Target="https://www.tradingview.com/chart/Q1c5VWwD/?symbol=nasdaq%3Aftnt" TargetMode="External" Id="rId7" /><Relationship Type="http://schemas.openxmlformats.org/officeDocument/2006/relationships/hyperlink" Target="https://www.tradingview.com/chart/Q1c5VWwD/?symbol=nasdaq%3Amrvl" TargetMode="External" Id="rId8" /><Relationship Type="http://schemas.openxmlformats.org/officeDocument/2006/relationships/hyperlink" Target="https://www.tradingview.com/chart/Q1c5VWwD/?symbol=nyse%3Adell" TargetMode="External" Id="rId9" /><Relationship Type="http://schemas.openxmlformats.org/officeDocument/2006/relationships/hyperlink" Target="https://www.tradingview.com/chart/Q1c5VWwD/?symbol=nasdaq%3Astx" TargetMode="External" Id="rId10" /><Relationship Type="http://schemas.openxmlformats.org/officeDocument/2006/relationships/hyperlink" Target="https://www.tradingview.com/chart/Q1c5VWwD/?symbol=nyse%3Aanet" TargetMode="External" Id="rId11" /><Relationship Type="http://schemas.openxmlformats.org/officeDocument/2006/relationships/hyperlink" Target="https://www.tradingview.com/chart/Q1c5VWwD/?symbol=nyse%3Aarw" TargetMode="External" Id="rId12" /><Relationship Type="http://schemas.openxmlformats.org/officeDocument/2006/relationships/hyperlink" Target="https://www.tradingview.com/chart/Q1c5VWwD/?symbol=nasdaq%3Antap" TargetMode="External" Id="rId13" /><Relationship Type="http://schemas.openxmlformats.org/officeDocument/2006/relationships/hyperlink" Target="https://www.tradingview.com/chart/Q1c5VWwD/?symbol=nyse%3Ahpe" TargetMode="External" Id="rId14" /><Relationship Type="http://schemas.openxmlformats.org/officeDocument/2006/relationships/hyperlink" Target="https://www.tradingview.com/chart/Q1c5VWwD/?symbol=nasdaq%3Acrwd" TargetMode="External" Id="rId15" /><Relationship Type="http://schemas.openxmlformats.org/officeDocument/2006/relationships/hyperlink" Target="https://www.tradingview.com/chart/Q1c5VWwD/?symbol=nasdaq%3Anvda" TargetMode="External" Id="rId16" /><Relationship Type="http://schemas.openxmlformats.org/officeDocument/2006/relationships/hyperlink" Target="https://www.tradingview.com/chart/Q1c5VWwD/?symbol=nasdaq%3Aexel" TargetMode="External" Id="rId17" /><Relationship Type="http://schemas.openxmlformats.org/officeDocument/2006/relationships/hyperlink" Target="https://www.tradingview.com/chart/Q1c5VWwD/?symbol=nasdaq%3Agfs" TargetMode="External" Id="rId18" /><Relationship Type="http://schemas.openxmlformats.org/officeDocument/2006/relationships/hyperlink" Target="https://www.tradingview.com/chart/Q1c5VWwD/?symbol=nyse%3Acat" TargetMode="External" Id="rId19" /><Relationship Type="http://schemas.openxmlformats.org/officeDocument/2006/relationships/hyperlink" Target="https://www.tradingview.com/chart/Q1c5VWwD/?symbol=nyse%3Awat" TargetMode="External" Id="rId20" /><Relationship Type="http://schemas.openxmlformats.org/officeDocument/2006/relationships/hyperlink" Target="https://www.tradingview.com/chart/Q1c5VWwD/?symbol=nyse%3Apwr" TargetMode="External" Id="rId21" /><Relationship Type="http://schemas.openxmlformats.org/officeDocument/2006/relationships/hyperlink" Target="https://www.tradingview.com/chart/Q1c5VWwD/?symbol=nasdaq%3Agsat" TargetMode="External" Id="rId22" /><Relationship Type="http://schemas.openxmlformats.org/officeDocument/2006/relationships/hyperlink" Target="https://www.tradingview.com/chart/Q1c5VWwD/?symbol=nasdaq%3Afast" TargetMode="External" Id="rId23" /><Relationship Type="http://schemas.openxmlformats.org/officeDocument/2006/relationships/hyperlink" Target="https://www.tradingview.com/chart/Q1c5VWwD/?symbol=nyse%3Aetn" TargetMode="External" Id="rId24" /><Relationship Type="http://schemas.openxmlformats.org/officeDocument/2006/relationships/hyperlink" Target="https://www.tradingview.com/chart/Q1c5VWwD/?symbol=nyse%3Apsx" TargetMode="External" Id="rId25" /><Relationship Type="http://schemas.openxmlformats.org/officeDocument/2006/relationships/hyperlink" Target="https://www.tradingview.com/chart/Q1c5VWwD/?symbol=nasdaq%3Abiib" TargetMode="External" Id="rId26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nyse%3Ahnge" TargetMode="External" Id="rId1" /><Relationship Type="http://schemas.openxmlformats.org/officeDocument/2006/relationships/hyperlink" Target="https://www.tradingview.com/chart/Q1c5VWwD/?symbol=nyse%3Altc" TargetMode="External" Id="rId2" /><Relationship Type="http://schemas.openxmlformats.org/officeDocument/2006/relationships/hyperlink" Target="https://www.tradingview.com/chart/Q1c5VWwD/?symbol=nasdaq%3Apeng" TargetMode="External" Id="rId3" /><Relationship Type="http://schemas.openxmlformats.org/officeDocument/2006/relationships/hyperlink" Target="https://www.tradingview.com/chart/Q1c5VWwD/?symbol=nyse%3Asei" TargetMode="External" Id="rId4" /><Relationship Type="http://schemas.openxmlformats.org/officeDocument/2006/relationships/hyperlink" Target="https://www.tradingview.com/chart/Q1c5VWwD/?symbol=nasdaq%3Aavt" TargetMode="External" Id="rId5" /><Relationship Type="http://schemas.openxmlformats.org/officeDocument/2006/relationships/hyperlink" Target="https://www.tradingview.com/chart/Q1c5VWwD/?symbol=nasdaq%3Acvlt" TargetMode="External" Id="rId6" /><Relationship Type="http://schemas.openxmlformats.org/officeDocument/2006/relationships/hyperlink" Target="https://www.tradingview.com/chart/Q1c5VWwD/?symbol=nasdaq%3Aadpt" TargetMode="External" Id="rId7" /><Relationship Type="http://schemas.openxmlformats.org/officeDocument/2006/relationships/hyperlink" Target="https://www.tradingview.com/chart/Q1c5VWwD/?symbol=nasdaq%3Auctt" TargetMode="External" Id="rId8" /><Relationship Type="http://schemas.openxmlformats.org/officeDocument/2006/relationships/hyperlink" Target="https://www.tradingview.com/chart/Q1c5VWwD/?symbol=nasdaq%3Avrns" TargetMode="External" Id="rId9" /><Relationship Type="http://schemas.openxmlformats.org/officeDocument/2006/relationships/hyperlink" Target="https://www.tradingview.com/chart/Q1c5VWwD/?symbol=nasdaq%3Api" TargetMode="External" Id="rId10" /><Relationship Type="http://schemas.openxmlformats.org/officeDocument/2006/relationships/hyperlink" Target="https://www.tradingview.com/chart/Q1c5VWwD/?symbol=nasdaq%3Acnxn" TargetMode="External" Id="rId11" /><Relationship Type="http://schemas.openxmlformats.org/officeDocument/2006/relationships/hyperlink" Target="https://www.tradingview.com/chart/Q1c5VWwD/?symbol=nasdaq%3Acrus" TargetMode="External" Id="rId12" /><Relationship Type="http://schemas.openxmlformats.org/officeDocument/2006/relationships/hyperlink" Target="https://www.tradingview.com/chart/Q1c5VWwD/?symbol=nyse%3Aneu" TargetMode="External" Id="rId13" /><Relationship Type="http://schemas.openxmlformats.org/officeDocument/2006/relationships/hyperlink" Target="https://www.tradingview.com/chart/Q1c5VWwD/?symbol=nasdaq%3Ahwkn" TargetMode="External" Id="rId14" /><Relationship Type="http://schemas.openxmlformats.org/officeDocument/2006/relationships/hyperlink" Target="https://www.tradingview.com/chart/Q1c5VWwD/?symbol=nyse%3As" TargetMode="External" Id="rId15" /><Relationship Type="http://schemas.openxmlformats.org/officeDocument/2006/relationships/hyperlink" Target="https://www.tradingview.com/chart/Q1c5VWwD/?symbol=nasdaq%3Abrkr" TargetMode="External" Id="rId16" /><Relationship Type="http://schemas.openxmlformats.org/officeDocument/2006/relationships/hyperlink" Target="https://www.tradingview.com/chart/Q1c5VWwD/?symbol=nasdaq%3Axmtr" TargetMode="External" Id="rId17" /><Relationship Type="http://schemas.openxmlformats.org/officeDocument/2006/relationships/hyperlink" Target="https://www.tradingview.com/chart/Q1c5VWwD/?symbol=nasdaq%3Aqlys" TargetMode="External" Id="rId18" /><Relationship Type="http://schemas.openxmlformats.org/officeDocument/2006/relationships/hyperlink" Target="https://www.tradingview.com/chart/Q1c5VWwD/?symbol=nasdaq%3Abwin" TargetMode="External" Id="rId19" /><Relationship Type="http://schemas.openxmlformats.org/officeDocument/2006/relationships/hyperlink" Target="https://www.tradingview.com/chart/Q1c5VWwD/?symbol=nasdaq%3Acrvl" TargetMode="External" Id="rId20" /><Relationship Type="http://schemas.openxmlformats.org/officeDocument/2006/relationships/hyperlink" Target="https://www.tradingview.com/chart/Q1c5VWwD/?symbol=nyse%3Am" TargetMode="External" Id="rId21" /><Relationship Type="http://schemas.openxmlformats.org/officeDocument/2006/relationships/hyperlink" Target="https://www.tradingview.com/chart/Q1c5VWwD/?symbol=nyse%3Aitgr" TargetMode="External" Id="rId22" /><Relationship Type="http://schemas.openxmlformats.org/officeDocument/2006/relationships/hyperlink" Target="https://www.tradingview.com/chart/Q1c5VWwD/?symbol=nasdaq%3Aamba" TargetMode="External" Id="rId23" /><Relationship Type="http://schemas.openxmlformats.org/officeDocument/2006/relationships/hyperlink" Target="https://www.tradingview.com/chart/Q1c5VWwD/?symbol=nasdaq%3Aslab" TargetMode="External" Id="rId24" /><Relationship Type="http://schemas.openxmlformats.org/officeDocument/2006/relationships/hyperlink" Target="https://www.tradingview.com/chart/Q1c5VWwD/?symbol=nyse%3Aamg" TargetMode="External" Id="rId25" /><Relationship Type="http://schemas.openxmlformats.org/officeDocument/2006/relationships/hyperlink" Target="https://www.tradingview.com/chart/Q1c5VWwD/?symbol=nasdaq%3Away" TargetMode="External" Id="rId26" /><Relationship Type="http://schemas.openxmlformats.org/officeDocument/2006/relationships/hyperlink" Target="https://www.tradingview.com/chart/Q1c5VWwD/?symbol=nyse%3Atxnm" TargetMode="External" Id="rId27" /><Relationship Type="http://schemas.openxmlformats.org/officeDocument/2006/relationships/hyperlink" Target="https://www.tradingview.com/chart/Q1c5VWwD/?symbol=nasdaq%3Amktx" TargetMode="External" Id="rId28" /><Relationship Type="http://schemas.openxmlformats.org/officeDocument/2006/relationships/hyperlink" Target="https://www.tradingview.com/chart/Q1c5VWwD/?symbol=nyse%3Aatkr" TargetMode="External" Id="rId29" /><Relationship Type="http://schemas.openxmlformats.org/officeDocument/2006/relationships/hyperlink" Target="https://www.tradingview.com/chart/Q1c5VWwD/?symbol=nasdaq%3Acolm" TargetMode="External" Id="rId30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Q1c5VWwD/?symbol=nyse%3Ajill" TargetMode="External" Id="rId1" /><Relationship Type="http://schemas.openxmlformats.org/officeDocument/2006/relationships/hyperlink" Target="https://www.tradingview.com/chart/Q1c5VWwD/?symbol=nasdaq%3Appih" TargetMode="External" Id="rId2" /><Relationship Type="http://schemas.openxmlformats.org/officeDocument/2006/relationships/hyperlink" Target="https://www.tradingview.com/chart/Q1c5VWwD/?symbol=nyse%3Amg" TargetMode="External" Id="rId3" /><Relationship Type="http://schemas.openxmlformats.org/officeDocument/2006/relationships/hyperlink" Target="https://www.tradingview.com/chart/Q1c5VWwD/?symbol=nasdaq%3Anvax" TargetMode="External" Id="rId4" /><Relationship Type="http://schemas.openxmlformats.org/officeDocument/2006/relationships/hyperlink" Target="https://www.tradingview.com/chart/Q1c5VWwD/?symbol=nasdaq%3Afrnm" TargetMode="External" Id="rId5" /><Relationship Type="http://schemas.openxmlformats.org/officeDocument/2006/relationships/hyperlink" Target="https://www.tradingview.com/chart/Q1c5VWwD/?symbol=nyse%3Aacva" TargetMode="External" Id="rId6" /><Relationship Type="http://schemas.openxmlformats.org/officeDocument/2006/relationships/hyperlink" Target="https://www.tradingview.com/chart/Q1c5VWwD/?symbol=nasdaq%3Anutx" TargetMode="External" Id="rId7" /><Relationship Type="http://schemas.openxmlformats.org/officeDocument/2006/relationships/hyperlink" Target="https://www.tradingview.com/chart/Q1c5VWwD/?symbol=nyse%3Addd" TargetMode="External" Id="rId8" /><Relationship Type="http://schemas.openxmlformats.org/officeDocument/2006/relationships/hyperlink" Target="https://www.tradingview.com/chart/Q1c5VWwD/?symbol=nyse%3Amtw" TargetMode="External" Id="rId9" /><Relationship Type="http://schemas.openxmlformats.org/officeDocument/2006/relationships/hyperlink" Target="https://www.tradingview.com/chart/Q1c5VWwD/?symbol=nasdaq%3Aobio" TargetMode="External" Id="rId10" /><Relationship Type="http://schemas.openxmlformats.org/officeDocument/2006/relationships/hyperlink" Target="https://www.tradingview.com/chart/Q1c5VWwD/?symbol=nasdaq%3Aflgt" TargetMode="External" Id="rId11" /><Relationship Type="http://schemas.openxmlformats.org/officeDocument/2006/relationships/hyperlink" Target="https://www.tradingview.com/chart/Q1c5VWwD/?symbol=nasdaq%3Acrsr" TargetMode="External" Id="rId12" /><Relationship Type="http://schemas.openxmlformats.org/officeDocument/2006/relationships/hyperlink" Target="https://www.tradingview.com/chart/Q1c5VWwD/?symbol=nasdaq%3Aospn" TargetMode="External" Id="rId13" /><Relationship Type="http://schemas.openxmlformats.org/officeDocument/2006/relationships/hyperlink" Target="https://www.tradingview.com/chart/Q1c5VWwD/?symbol=nasdaq%3Atwin" TargetMode="External" Id="rId14" /><Relationship Type="http://schemas.openxmlformats.org/officeDocument/2006/relationships/hyperlink" Target="https://www.tradingview.com/chart/Q1c5VWwD/?symbol=nyse%3Achpt" TargetMode="External" Id="rId15" /><Relationship Type="http://schemas.openxmlformats.org/officeDocument/2006/relationships/hyperlink" Target="https://www.tradingview.com/chart/Q1c5VWwD/?symbol=amex%3Ainfu" TargetMode="External" Id="rId16" /><Relationship Type="http://schemas.openxmlformats.org/officeDocument/2006/relationships/hyperlink" Target="https://www.tradingview.com/chart/Q1c5VWwD/?symbol=nyse%3Angvc" TargetMode="External" Id="rId17" /><Relationship Type="http://schemas.openxmlformats.org/officeDocument/2006/relationships/hyperlink" Target="https://www.tradingview.com/chart/Q1c5VWwD/?symbol=nasdaq%3Aftre" TargetMode="External" Id="rId18" /><Relationship Type="http://schemas.openxmlformats.org/officeDocument/2006/relationships/hyperlink" Target="https://www.tradingview.com/chart/Q1c5VWwD/?symbol=nasdaq%3Alqdt" TargetMode="External" Id="rId19" /><Relationship Type="http://schemas.openxmlformats.org/officeDocument/2006/relationships/hyperlink" Target="https://www.tradingview.com/chart/Q1c5VWwD/?symbol=nyse%3Aamn" TargetMode="External" Id="rId20" /><Relationship Type="http://schemas.openxmlformats.org/officeDocument/2006/relationships/hyperlink" Target="https://www.tradingview.com/chart/Q1c5VWwD/?symbol=nyse%3Agne" TargetMode="External" Id="rId21" /><Relationship Type="http://schemas.openxmlformats.org/officeDocument/2006/relationships/hyperlink" Target="https://www.tradingview.com/chart/Q1c5VWwD/?symbol=nasdaq%3Amaze" TargetMode="External" Id="rId22" /><Relationship Type="http://schemas.openxmlformats.org/officeDocument/2006/relationships/hyperlink" Target="https://www.tradingview.com/chart/Q1c5VWwD/?symbol=nyse%3Akodk" TargetMode="External" Id="rId23" /><Relationship Type="http://schemas.openxmlformats.org/officeDocument/2006/relationships/hyperlink" Target="https://www.tradingview.com/chart/Q1c5VWwD/?symbol=nasdaq%3Aazta" TargetMode="External" Id="rId24" /><Relationship Type="http://schemas.openxmlformats.org/officeDocument/2006/relationships/hyperlink" Target="https://www.tradingview.com/chart/Q1c5VWwD/?symbol=nasdaq%3Aswbi" TargetMode="External" Id="rId25" /><Relationship Type="http://schemas.openxmlformats.org/officeDocument/2006/relationships/hyperlink" Target="https://www.tradingview.com/chart/Q1c5VWwD/?symbol=nasdaq%3Acstl" TargetMode="External" Id="rId26" /><Relationship Type="http://schemas.openxmlformats.org/officeDocument/2006/relationships/hyperlink" Target="https://www.tradingview.com/chart/Q1c5VWwD/?symbol=nasdaq%3Apbyi" TargetMode="External" Id="rId27" /><Relationship Type="http://schemas.openxmlformats.org/officeDocument/2006/relationships/hyperlink" Target="https://www.tradingview.com/chart/Q1c5VWwD/?symbol=nyse%3Abtgo" TargetMode="External" Id="rId28" /><Relationship Type="http://schemas.openxmlformats.org/officeDocument/2006/relationships/hyperlink" Target="https://www.tradingview.com/chart/Q1c5VWwD/?symbol=nasdaq%3Aegbn" TargetMode="External" Id="rId29" /><Relationship Type="http://schemas.openxmlformats.org/officeDocument/2006/relationships/hyperlink" Target="https://www.tradingview.com/chart/Q1c5VWwD/?symbol=nasdaq%3Adjco" TargetMode="External" Id="rId30" /><Relationship Type="http://schemas.openxmlformats.org/officeDocument/2006/relationships/hyperlink" Target="https://www.tradingview.com/chart/Q1c5VWwD/?symbol=nasdaq%3Autmd" TargetMode="External" Id="rId31" /><Relationship Type="http://schemas.openxmlformats.org/officeDocument/2006/relationships/hyperlink" Target="https://www.tradingview.com/chart/Q1c5VWwD/?symbol=nasdaq%3Ath" TargetMode="External" Id="rId32" /><Relationship Type="http://schemas.openxmlformats.org/officeDocument/2006/relationships/hyperlink" Target="https://www.tradingview.com/chart/Q1c5VWwD/?symbol=nyse%3Acldt" TargetMode="External" Id="rId33" /><Relationship Type="http://schemas.openxmlformats.org/officeDocument/2006/relationships/hyperlink" Target="https://www.tradingview.com/chart/Q1c5VWwD/?symbol=nasdaq%3Asmti" TargetMode="External" Id="rId34" /><Relationship Type="http://schemas.openxmlformats.org/officeDocument/2006/relationships/hyperlink" Target="https://www.tradingview.com/chart/Q1c5VWwD/?symbol=nasdaq%3Abprn" TargetMode="External" Id="rId35" /><Relationship Type="http://schemas.openxmlformats.org/officeDocument/2006/relationships/hyperlink" Target="https://www.tradingview.com/chart/Q1c5VWwD/?symbol=nasdaq%3Apkoh" TargetMode="External" Id="rId36" /><Relationship Type="http://schemas.openxmlformats.org/officeDocument/2006/relationships/hyperlink" Target="https://www.tradingview.com/chart/Q1c5VWwD/?symbol=nasdaq%3Aaip" TargetMode="External" Id="rId37" /><Relationship Type="http://schemas.openxmlformats.org/officeDocument/2006/relationships/hyperlink" Target="https://www.tradingview.com/chart/Q1c5VWwD/?symbol=nasdaq%3Afsbw" TargetMode="External" Id="rId38" /><Relationship Type="http://schemas.openxmlformats.org/officeDocument/2006/relationships/hyperlink" Target="https://www.tradingview.com/chart/Q1c5VWwD/?symbol=nasdaq%3Afnrn" TargetMode="External" Id="rId39" /><Relationship Type="http://schemas.openxmlformats.org/officeDocument/2006/relationships/hyperlink" Target="https://www.tradingview.com/chart/Q1c5VWwD/?symbol=nyse%3Avsts" TargetMode="External" Id="rId40" /><Relationship Type="http://schemas.openxmlformats.org/officeDocument/2006/relationships/hyperlink" Target="https://www.tradingview.com/chart/Q1c5VWwD/?symbol=nasdaq%3Asaft" TargetMode="External" Id="rId41" /><Relationship Type="http://schemas.openxmlformats.org/officeDocument/2006/relationships/hyperlink" Target="https://www.tradingview.com/chart/Q1c5VWwD/?symbol=nasdaq%3Atrns" TargetMode="External" Id="rId42" /><Relationship Type="http://schemas.openxmlformats.org/officeDocument/2006/relationships/hyperlink" Target="https://www.tradingview.com/chart/Q1c5VWwD/?symbol=nyse%3Aopy" TargetMode="External" Id="rId43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Q1c5VWwD/?symbol=nasdaq%3Afac" TargetMode="External" Id="rId1" /><Relationship Type="http://schemas.openxmlformats.org/officeDocument/2006/relationships/hyperlink" Target="https://www.tradingview.com/chart/Q1c5VWwD/?symbol=nasdaq%3Ameta" TargetMode="External" Id="rId2" /><Relationship Type="http://schemas.openxmlformats.org/officeDocument/2006/relationships/hyperlink" Target="https://www.tradingview.com/chart/Q1c5VWwD/?symbol=nasdaq%3Apsix" TargetMode="External" Id="rId3" /><Relationship Type="http://schemas.openxmlformats.org/officeDocument/2006/relationships/hyperlink" Target="https://www.tradingview.com/chart/Q1c5VWwD/?symbol=nasdaq%3Asndk" TargetMode="External" Id="rId4" /><Relationship Type="http://schemas.openxmlformats.org/officeDocument/2006/relationships/hyperlink" Target="https://www.tradingview.com/chart/Q1c5VWwD/?symbol=nasdaq%3Afeim" TargetMode="External" Id="rId5" /><Relationship Type="http://schemas.openxmlformats.org/officeDocument/2006/relationships/hyperlink" Target="https://www.tradingview.com/chart/Q1c5VWwD/?symbol=nyse%3Aluv" TargetMode="External" Id="rId6" /><Relationship Type="http://schemas.openxmlformats.org/officeDocument/2006/relationships/hyperlink" Target="https://www.tradingview.com/chart/Q1c5VWwD/?symbol=nyse%3Agic" TargetMode="External" Id="rId7" /><Relationship Type="http://schemas.openxmlformats.org/officeDocument/2006/relationships/hyperlink" Target="https://www.tradingview.com/chart/Q1c5VWwD/?symbol=nasdaq%3Awbtn" TargetMode="External" Id="rId8" /><Relationship Type="http://schemas.openxmlformats.org/officeDocument/2006/relationships/hyperlink" Target="https://www.tradingview.com/chart/Q1c5VWwD/?symbol=nasdaq%3Asmtc" TargetMode="External" Id="rId9" /><Relationship Type="http://schemas.openxmlformats.org/officeDocument/2006/relationships/hyperlink" Target="https://www.tradingview.com/chart/Q1c5VWwD/?symbol=nyse%3Afpi" TargetMode="External" Id="rId10" /><Relationship Type="http://schemas.openxmlformats.org/officeDocument/2006/relationships/hyperlink" Target="https://www.tradingview.com/chart/Q1c5VWwD/?symbol=nyse%3Agme" TargetMode="External" Id="rId11" /><Relationship Type="http://schemas.openxmlformats.org/officeDocument/2006/relationships/hyperlink" Target="https://www.tradingview.com/chart/Q1c5VWwD/?symbol=nasdaq%3Avstm" TargetMode="External" Id="rId12" /><Relationship Type="http://schemas.openxmlformats.org/officeDocument/2006/relationships/hyperlink" Target="https://www.tradingview.com/chart/Q1c5VWwD/?symbol=amex%3Ahyln" TargetMode="External" Id="rId13" /><Relationship Type="http://schemas.openxmlformats.org/officeDocument/2006/relationships/hyperlink" Target="https://www.tradingview.com/chart/Q1c5VWwD/?symbol=nyse%3Arvty" TargetMode="External" Id="rId14" /><Relationship Type="http://schemas.openxmlformats.org/officeDocument/2006/relationships/hyperlink" Target="https://www.tradingview.com/chart/Q1c5VWwD/?symbol=nasdaq%3Aaxti" TargetMode="External" Id="rId15" /><Relationship Type="http://schemas.openxmlformats.org/officeDocument/2006/relationships/hyperlink" Target="https://www.tradingview.com/chart/Q1c5VWwD/?symbol=nasdaq%3Aembc" TargetMode="External" Id="rId16" /><Relationship Type="http://schemas.openxmlformats.org/officeDocument/2006/relationships/hyperlink" Target="https://www.tradingview.com/chart/Q1c5VWwD/?symbol=nyse%3Aftk" TargetMode="External" Id="rId17" /><Relationship Type="http://schemas.openxmlformats.org/officeDocument/2006/relationships/hyperlink" Target="https://www.tradingview.com/chart/Q1c5VWwD/?symbol=nasdaq%3Aalnt" TargetMode="External" Id="rId18" /><Relationship Type="http://schemas.openxmlformats.org/officeDocument/2006/relationships/hyperlink" Target="https://www.tradingview.com/chart/Q1c5VWwD/?symbol=nasdaq%3Antsk" TargetMode="External" Id="rId19" /><Relationship Type="http://schemas.openxmlformats.org/officeDocument/2006/relationships/hyperlink" Target="https://www.tradingview.com/chart/Q1c5VWwD/?symbol=nasdaq%3Asanm" TargetMode="External" Id="rId20" /><Relationship Type="http://schemas.openxmlformats.org/officeDocument/2006/relationships/hyperlink" Target="https://www.tradingview.com/chart/Q1c5VWwD/?symbol=nyse%3Adhx" TargetMode="External" Id="rId21" /><Relationship Type="http://schemas.openxmlformats.org/officeDocument/2006/relationships/hyperlink" Target="https://www.tradingview.com/chart/Q1c5VWwD/?symbol=nasdaq%3Asmci" TargetMode="External" Id="rId22" /><Relationship Type="http://schemas.openxmlformats.org/officeDocument/2006/relationships/hyperlink" Target="https://www.tradingview.com/chart/Q1c5VWwD/?symbol=nasdaq%3Acohu" TargetMode="External" Id="rId23" /><Relationship Type="http://schemas.openxmlformats.org/officeDocument/2006/relationships/hyperlink" Target="https://www.tradingview.com/chart/Q1c5VWwD/?symbol=nasdaq%3Avlgea" TargetMode="External" Id="rId24" /><Relationship Type="http://schemas.openxmlformats.org/officeDocument/2006/relationships/hyperlink" Target="https://www.tradingview.com/chart/Q1c5VWwD/?symbol=nasdaq%3Aaehr" TargetMode="External" Id="rId25" /><Relationship Type="http://schemas.openxmlformats.org/officeDocument/2006/relationships/hyperlink" Target="https://www.tradingview.com/chart/Q1c5VWwD/?symbol=nasdaq%3Asitm" TargetMode="External" Id="rId26" /><Relationship Type="http://schemas.openxmlformats.org/officeDocument/2006/relationships/hyperlink" Target="https://www.tradingview.com/chart/Q1c5VWwD/?symbol=nyse%3Atwlo" TargetMode="External" Id="rId27" /><Relationship Type="http://schemas.openxmlformats.org/officeDocument/2006/relationships/hyperlink" Target="https://www.tradingview.com/chart/Q1c5VWwD/?symbol=nasdaq%3Agh" TargetMode="External" Id="rId28" /><Relationship Type="http://schemas.openxmlformats.org/officeDocument/2006/relationships/hyperlink" Target="https://www.tradingview.com/chart/Q1c5VWwD/?symbol=nasdaq%3Atbch" TargetMode="External" Id="rId29" /><Relationship Type="http://schemas.openxmlformats.org/officeDocument/2006/relationships/hyperlink" Target="https://www.tradingview.com/chart/Q1c5VWwD/?symbol=nasdaq%3Aalmr" TargetMode="External" Id="rId30" /><Relationship Type="http://schemas.openxmlformats.org/officeDocument/2006/relationships/hyperlink" Target="https://www.tradingview.com/chart/Q1c5VWwD/?symbol=nasdaq%3Amstr" TargetMode="External" Id="rId31" /><Relationship Type="http://schemas.openxmlformats.org/officeDocument/2006/relationships/hyperlink" Target="https://www.tradingview.com/chart/Q1c5VWwD/?symbol=nasdaq%3Atwst" TargetMode="External" Id="rId32" /><Relationship Type="http://schemas.openxmlformats.org/officeDocument/2006/relationships/hyperlink" Target="https://www.tradingview.com/chart/Q1c5VWwD/?symbol=nyse%3Agev" TargetMode="External" Id="rId33" /><Relationship Type="http://schemas.openxmlformats.org/officeDocument/2006/relationships/hyperlink" Target="https://www.tradingview.com/chart/Q1c5VWwD/?symbol=nasdaq%3Aokta" TargetMode="External" Id="rId34" /><Relationship Type="http://schemas.openxmlformats.org/officeDocument/2006/relationships/hyperlink" Target="https://www.tradingview.com/chart/Q1c5VWwD/?symbol=nyse%3Acvi" TargetMode="External" Id="rId35" /><Relationship Type="http://schemas.openxmlformats.org/officeDocument/2006/relationships/hyperlink" Target="https://www.tradingview.com/chart/Q1c5VWwD/?symbol=nyse%3Aambq" TargetMode="External" Id="rId36" /><Relationship Type="http://schemas.openxmlformats.org/officeDocument/2006/relationships/hyperlink" Target="https://www.tradingview.com/chart/Q1c5VWwD/?symbol=nasdaq%3Aalab" TargetMode="External" Id="rId37" /><Relationship Type="http://schemas.openxmlformats.org/officeDocument/2006/relationships/hyperlink" Target="https://www.tradingview.com/chart/Q1c5VWwD/?symbol=nasdaq%3Aevcm" TargetMode="External" Id="rId38" /><Relationship Type="http://schemas.openxmlformats.org/officeDocument/2006/relationships/hyperlink" Target="https://www.tradingview.com/chart/Q1c5VWwD/?symbol=nasdaq%3Afbla" TargetMode="External" Id="rId39" /><Relationship Type="http://schemas.openxmlformats.org/officeDocument/2006/relationships/hyperlink" Target="https://www.tradingview.com/chart/Q1c5VWwD/?symbol=nasdaq%3Acuri" TargetMode="External" Id="rId40" /><Relationship Type="http://schemas.openxmlformats.org/officeDocument/2006/relationships/hyperlink" Target="https://www.tradingview.com/chart/Q1c5VWwD/?symbol=nasdaq%3Arxrx" TargetMode="External" Id="rId41" /><Relationship Type="http://schemas.openxmlformats.org/officeDocument/2006/relationships/hyperlink" Target="https://www.tradingview.com/chart/Q1c5VWwD/?symbol=nyse%3Aa" TargetMode="External" Id="rId42" /><Relationship Type="http://schemas.openxmlformats.org/officeDocument/2006/relationships/hyperlink" Target="https://www.tradingview.com/chart/Q1c5VWwD/?symbol=nyse%3Arng" TargetMode="External" Id="rId43" /><Relationship Type="http://schemas.openxmlformats.org/officeDocument/2006/relationships/hyperlink" Target="https://www.tradingview.com/chart/Q1c5VWwD/?symbol=nyse%3Adocs" TargetMode="External" Id="rId44" /><Relationship Type="http://schemas.openxmlformats.org/officeDocument/2006/relationships/hyperlink" Target="https://www.tradingview.com/chart/Q1c5VWwD/?symbol=nasdaq%3Amar" TargetMode="External" Id="rId45" /><Relationship Type="http://schemas.openxmlformats.org/officeDocument/2006/relationships/hyperlink" Target="https://www.tradingview.com/chart/Q1c5VWwD/?symbol=nasdaq%3Adiod" TargetMode="External" Id="rId46" /><Relationship Type="http://schemas.openxmlformats.org/officeDocument/2006/relationships/hyperlink" Target="https://www.tradingview.com/chart/Q1c5VWwD/?symbol=nyse%3Afix" TargetMode="External" Id="rId47" /><Relationship Type="http://schemas.openxmlformats.org/officeDocument/2006/relationships/hyperlink" Target="https://www.tradingview.com/chart/Q1c5VWwD/?symbol=nyse%3Adocn" TargetMode="External" Id="rId48" /><Relationship Type="http://schemas.openxmlformats.org/officeDocument/2006/relationships/hyperlink" Target="https://www.tradingview.com/chart/Q1c5VWwD/?symbol=nyse%3Anxdr" TargetMode="External" Id="rId49" /><Relationship Type="http://schemas.openxmlformats.org/officeDocument/2006/relationships/hyperlink" Target="https://www.tradingview.com/chart/Q1c5VWwD/?symbol=nasdaq%3Aband" TargetMode="External" Id="rId50" /><Relationship Type="http://schemas.openxmlformats.org/officeDocument/2006/relationships/hyperlink" Target="https://www.tradingview.com/chart/Q1c5VWwD/?symbol=nyse%3Aprlb" TargetMode="External" Id="rId51" /><Relationship Type="http://schemas.openxmlformats.org/officeDocument/2006/relationships/hyperlink" Target="https://www.tradingview.com/chart/Q1c5VWwD/?symbol=nasdaq%3Aabsi" TargetMode="External" Id="rId52" /><Relationship Type="http://schemas.openxmlformats.org/officeDocument/2006/relationships/hyperlink" Target="https://www.tradingview.com/chart/Q1c5VWwD/?symbol=nasdaq%3Atssi" TargetMode="External" Id="rId53" /><Relationship Type="http://schemas.openxmlformats.org/officeDocument/2006/relationships/hyperlink" Target="https://www.tradingview.com/chart/Q1c5VWwD/?symbol=nasdaq%3Atem" TargetMode="External" Id="rId54" /><Relationship Type="http://schemas.openxmlformats.org/officeDocument/2006/relationships/hyperlink" Target="https://www.tradingview.com/chart/Q1c5VWwD/?symbol=nasdaq%3Aatii" TargetMode="External" Id="rId55" /><Relationship Type="http://schemas.openxmlformats.org/officeDocument/2006/relationships/hyperlink" Target="https://www.tradingview.com/chart/Q1c5VWwD/?symbol=nasdaq%3Arxt" TargetMode="External" Id="rId56" /><Relationship Type="http://schemas.openxmlformats.org/officeDocument/2006/relationships/hyperlink" Target="https://www.tradingview.com/chart/Q1c5VWwD/?symbol=nyse%3Avia" TargetMode="External" Id="rId57" /><Relationship Type="http://schemas.openxmlformats.org/officeDocument/2006/relationships/hyperlink" Target="https://www.tradingview.com/chart/Q1c5VWwD/?symbol=nasdaq%3Agemi" TargetMode="External" Id="rId58" /><Relationship Type="http://schemas.openxmlformats.org/officeDocument/2006/relationships/hyperlink" Target="https://www.tradingview.com/chart/Q1c5VWwD/?symbol=nyse%3Arbrk" TargetMode="External" Id="rId59" /><Relationship Type="http://schemas.openxmlformats.org/officeDocument/2006/relationships/hyperlink" Target="https://www.tradingview.com/chart/Q1c5VWwD/?symbol=nyse%3Akn" TargetMode="External" Id="rId60" /><Relationship Type="http://schemas.openxmlformats.org/officeDocument/2006/relationships/hyperlink" Target="https://www.tradingview.com/chart/Q1c5VWwD/?symbol=nasdaq%3Azs" TargetMode="External" Id="rId61" /><Relationship Type="http://schemas.openxmlformats.org/officeDocument/2006/relationships/hyperlink" Target="https://www.tradingview.com/chart/Q1c5VWwD/?symbol=nasdaq%3Aclmb" TargetMode="External" Id="rId62" /><Relationship Type="http://schemas.openxmlformats.org/officeDocument/2006/relationships/hyperlink" Target="https://www.tradingview.com/chart/Q1c5VWwD/?symbol=nyse%3Abhe" TargetMode="External" Id="rId63" /><Relationship Type="http://schemas.openxmlformats.org/officeDocument/2006/relationships/hyperlink" Target="https://www.tradingview.com/chart/Q1c5VWwD/?symbol=nasdaq%3Asght" TargetMode="External" Id="rId64" /><Relationship Type="http://schemas.openxmlformats.org/officeDocument/2006/relationships/hyperlink" Target="https://www.tradingview.com/chart/Q1c5VWwD/?symbol=nyse%3Avsh" TargetMode="External" Id="rId65" /><Relationship Type="http://schemas.openxmlformats.org/officeDocument/2006/relationships/hyperlink" Target="https://www.tradingview.com/chart/Q1c5VWwD/?symbol=nasdaq%3Asiga" TargetMode="External" Id="rId66" /><Relationship Type="http://schemas.openxmlformats.org/officeDocument/2006/relationships/hyperlink" Target="https://www.tradingview.com/chart/Q1c5VWwD/?symbol=nyse%3Aavtr" TargetMode="External" Id="rId67" /><Relationship Type="http://schemas.openxmlformats.org/officeDocument/2006/relationships/hyperlink" Target="https://www.tradingview.com/chart/Q1c5VWwD/?symbol=nasdaq%3Aceva" TargetMode="External" Id="rId68" /><Relationship Type="http://schemas.openxmlformats.org/officeDocument/2006/relationships/hyperlink" Target="https://www.tradingview.com/chart/Q1c5VWwD/?symbol=nasdaq%3Amsft" TargetMode="External" Id="rId69" /><Relationship Type="http://schemas.openxmlformats.org/officeDocument/2006/relationships/hyperlink" Target="https://www.tradingview.com/chart/Q1c5VWwD/?symbol=nasdaq%3Alyts" TargetMode="External" Id="rId70" /><Relationship Type="http://schemas.openxmlformats.org/officeDocument/2006/relationships/hyperlink" Target="https://www.tradingview.com/chart/Q1c5VWwD/?symbol=nyse%3Alpg" TargetMode="External" Id="rId71" /><Relationship Type="http://schemas.openxmlformats.org/officeDocument/2006/relationships/hyperlink" Target="https://www.tradingview.com/chart/Q1c5VWwD/?symbol=nasdaq%3Aplxs" TargetMode="External" Id="rId72" /><Relationship Type="http://schemas.openxmlformats.org/officeDocument/2006/relationships/hyperlink" Target="https://www.tradingview.com/chart/Q1c5VWwD/?symbol=nyse%3Avfc" TargetMode="External" Id="rId73" /><Relationship Type="http://schemas.openxmlformats.org/officeDocument/2006/relationships/hyperlink" Target="https://www.tradingview.com/chart/Q1c5VWwD/?symbol=nasdaq%3Aamkr" TargetMode="External" Id="rId74" /><Relationship Type="http://schemas.openxmlformats.org/officeDocument/2006/relationships/hyperlink" Target="https://www.tradingview.com/chart/Q1c5VWwD/?symbol=nasdaq%3Aslp" TargetMode="External" Id="rId75" /><Relationship Type="http://schemas.openxmlformats.org/officeDocument/2006/relationships/hyperlink" Target="https://www.tradingview.com/chart/Q1c5VWwD/?symbol=nasdaq%3Ashls" TargetMode="External" Id="rId76" /><Relationship Type="http://schemas.openxmlformats.org/officeDocument/2006/relationships/hyperlink" Target="https://www.tradingview.com/chart/Q1c5VWwD/?symbol=nasdaq%3Adsgr" TargetMode="External" Id="rId77" /><Relationship Type="http://schemas.openxmlformats.org/officeDocument/2006/relationships/hyperlink" Target="https://www.tradingview.com/chart/Q1c5VWwD/?symbol=nasdaq%3Apayo" TargetMode="External" Id="rId78" /><Relationship Type="http://schemas.openxmlformats.org/officeDocument/2006/relationships/hyperlink" Target="https://www.tradingview.com/chart/Q1c5VWwD/?symbol=nyse%3Amsge" TargetMode="External" Id="rId79" /><Relationship Type="http://schemas.openxmlformats.org/officeDocument/2006/relationships/hyperlink" Target="https://www.tradingview.com/chart/Q1c5VWwD/?symbol=nasdaq%3Affiv" TargetMode="External" Id="rId80" /><Relationship Type="http://schemas.openxmlformats.org/officeDocument/2006/relationships/hyperlink" Target="https://www.tradingview.com/chart/Q1c5VWwD/?symbol=nyse%3Aeme" TargetMode="External" Id="rId81" /><Relationship Type="http://schemas.openxmlformats.org/officeDocument/2006/relationships/hyperlink" Target="https://www.tradingview.com/chart/Q1c5VWwD/?symbol=nyse%3Acon" TargetMode="External" Id="rId82" /><Relationship Type="http://schemas.openxmlformats.org/officeDocument/2006/relationships/hyperlink" Target="https://www.tradingview.com/chart/Q1c5VWwD/?symbol=nasdaq%3Aflex" TargetMode="External" Id="rId83" /><Relationship Type="http://schemas.openxmlformats.org/officeDocument/2006/relationships/hyperlink" Target="https://www.tradingview.com/chart/Q1c5VWwD/?symbol=nyse%3Apeb" TargetMode="External" Id="rId84" /><Relationship Type="http://schemas.openxmlformats.org/officeDocument/2006/relationships/hyperlink" Target="https://www.tradingview.com/chart/Q1c5VWwD/?symbol=nasdaq%3Actkb" TargetMode="External" Id="rId85" /><Relationship Type="http://schemas.openxmlformats.org/officeDocument/2006/relationships/hyperlink" Target="https://www.tradingview.com/chart/Q1c5VWwD/?symbol=nyse%3Awmk" TargetMode="External" Id="rId86" /><Relationship Type="http://schemas.openxmlformats.org/officeDocument/2006/relationships/hyperlink" Target="https://www.tradingview.com/chart/Q1c5VWwD/?symbol=nasdaq%3Antgr" TargetMode="External" Id="rId87" /><Relationship Type="http://schemas.openxmlformats.org/officeDocument/2006/relationships/hyperlink" Target="https://www.tradingview.com/chart/Q1c5VWwD/?symbol=nasdaq%3Aimkta" TargetMode="External" Id="rId88" /><Relationship Type="http://schemas.openxmlformats.org/officeDocument/2006/relationships/hyperlink" Target="https://www.tradingview.com/chart/Q1c5VWwD/?symbol=nyse%3Aebf" TargetMode="External" Id="rId89" /><Relationship Type="http://schemas.openxmlformats.org/officeDocument/2006/relationships/hyperlink" Target="https://www.tradingview.com/chart/Q1c5VWwD/?symbol=nyse%3Aaes" TargetMode="External" Id="rId90" /><Relationship Type="http://schemas.openxmlformats.org/officeDocument/2006/relationships/hyperlink" Target="https://www.tradingview.com/chart/Q1c5VWwD/?symbol=nasdaq%3Ajakk" TargetMode="External" Id="rId91" /><Relationship Type="http://schemas.openxmlformats.org/officeDocument/2006/relationships/hyperlink" Target="https://www.tradingview.com/chart/Q1c5VWwD/?symbol=nasdaq%3Ahstm" TargetMode="External" Id="rId92" /><Relationship Type="http://schemas.openxmlformats.org/officeDocument/2006/relationships/hyperlink" Target="https://www.tradingview.com/chart/Q1c5VWwD/?symbol=nyse%3Awcc" TargetMode="External" Id="rId93" /><Relationship Type="http://schemas.openxmlformats.org/officeDocument/2006/relationships/hyperlink" Target="https://www.tradingview.com/chart/Q1c5VWwD/?symbol=amex%3Arlgt" TargetMode="External" Id="rId94" /><Relationship Type="http://schemas.openxmlformats.org/officeDocument/2006/relationships/hyperlink" Target="https://www.tradingview.com/chart/Q1c5VWwD/?symbol=nyse%3Ait" TargetMode="External" Id="rId95" /><Relationship Type="http://schemas.openxmlformats.org/officeDocument/2006/relationships/hyperlink" Target="https://www.tradingview.com/chart/Q1c5VWwD/?symbol=nyse%3Akr" TargetMode="External" Id="rId96" /><Relationship Type="http://schemas.openxmlformats.org/officeDocument/2006/relationships/hyperlink" Target="https://www.tradingview.com/chart/Q1c5VWwD/?symbol=nasdaq%3Amgni" TargetMode="External" Id="rId97" /><Relationship Type="http://schemas.openxmlformats.org/officeDocument/2006/relationships/hyperlink" Target="https://www.tradingview.com/chart/Q1c5VWwD/?symbol=nasdaq%3Acvco" TargetMode="External" Id="rId98" /><Relationship Type="http://schemas.openxmlformats.org/officeDocument/2006/relationships/hyperlink" Target="https://www.tradingview.com/chart/Q1c5VWwD/?symbol=nyse%3Abj" TargetMode="External" Id="rId99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Q1c5VWwD/?symbol=nyse%3Ajill" TargetMode="External" Id="rId1" /><Relationship Type="http://schemas.openxmlformats.org/officeDocument/2006/relationships/hyperlink" Target="https://www.tradingview.com/chart/Q1c5VWwD/?symbol=nasdaq%3Appih" TargetMode="External" Id="rId2" /><Relationship Type="http://schemas.openxmlformats.org/officeDocument/2006/relationships/hyperlink" Target="https://www.tradingview.com/chart/Q1c5VWwD/?symbol=nyse%3Amg" TargetMode="External" Id="rId3" /><Relationship Type="http://schemas.openxmlformats.org/officeDocument/2006/relationships/hyperlink" Target="https://www.tradingview.com/chart/Q1c5VWwD/?symbol=nyse%3Ahnge" TargetMode="External" Id="rId4" /><Relationship Type="http://schemas.openxmlformats.org/officeDocument/2006/relationships/hyperlink" Target="https://www.tradingview.com/chart/Q1c5VWwD/?symbol=nasdaq%3Attmi" TargetMode="External" Id="rId5" /><Relationship Type="http://schemas.openxmlformats.org/officeDocument/2006/relationships/hyperlink" Target="https://www.tradingview.com/chart/Q1c5VWwD/?symbol=nasdaq%3Anvax" TargetMode="External" Id="rId6" /><Relationship Type="http://schemas.openxmlformats.org/officeDocument/2006/relationships/hyperlink" Target="https://www.tradingview.com/chart/Q1c5VWwD/?symbol=nasdaq%3Afrnm" TargetMode="External" Id="rId7" /><Relationship Type="http://schemas.openxmlformats.org/officeDocument/2006/relationships/hyperlink" Target="https://www.tradingview.com/chart/Q1c5VWwD/?symbol=nyse%3Anet" TargetMode="External" Id="rId8" /><Relationship Type="http://schemas.openxmlformats.org/officeDocument/2006/relationships/hyperlink" Target="https://www.tradingview.com/chart/Q1c5VWwD/?symbol=nasdaq%3Amtsi" TargetMode="External" Id="rId9" /><Relationship Type="http://schemas.openxmlformats.org/officeDocument/2006/relationships/hyperlink" Target="https://www.tradingview.com/chart/Q1c5VWwD/?symbol=nyse%3Aacva" TargetMode="External" Id="rId10" /><Relationship Type="http://schemas.openxmlformats.org/officeDocument/2006/relationships/hyperlink" Target="https://www.tradingview.com/chart/Q1c5VWwD/?symbol=nyse%3Altc" TargetMode="External" Id="rId11" /><Relationship Type="http://schemas.openxmlformats.org/officeDocument/2006/relationships/hyperlink" Target="https://www.tradingview.com/chart/Q1c5VWwD/?symbol=nasdaq%3Apanw" TargetMode="External" Id="rId12" /><Relationship Type="http://schemas.openxmlformats.org/officeDocument/2006/relationships/hyperlink" Target="https://www.tradingview.com/chart/Q1c5VWwD/?symbol=nasdaq%3Apeng" TargetMode="External" Id="rId13" /><Relationship Type="http://schemas.openxmlformats.org/officeDocument/2006/relationships/hyperlink" Target="https://www.tradingview.com/chart/Q1c5VWwD/?symbol=nyse%3Adt" TargetMode="External" Id="rId14" /><Relationship Type="http://schemas.openxmlformats.org/officeDocument/2006/relationships/hyperlink" Target="https://www.tradingview.com/chart/Q1c5VWwD/?symbol=nasdaq%3Anutx" TargetMode="External" Id="rId15" /><Relationship Type="http://schemas.openxmlformats.org/officeDocument/2006/relationships/hyperlink" Target="https://www.tradingview.com/chart/Q1c5VWwD/?symbol=nyse%3Addd" TargetMode="External" Id="rId16" /><Relationship Type="http://schemas.openxmlformats.org/officeDocument/2006/relationships/hyperlink" Target="https://www.tradingview.com/chart/Q1c5VWwD/?symbol=nyse%3Amtw" TargetMode="External" Id="rId17" /><Relationship Type="http://schemas.openxmlformats.org/officeDocument/2006/relationships/hyperlink" Target="https://www.tradingview.com/chart/Q1c5VWwD/?symbol=nasdaq%3Aisrg" TargetMode="External" Id="rId18" /><Relationship Type="http://schemas.openxmlformats.org/officeDocument/2006/relationships/hyperlink" Target="https://www.tradingview.com/chart/Q1c5VWwD/?symbol=nyse%3Asei" TargetMode="External" Id="rId19" /><Relationship Type="http://schemas.openxmlformats.org/officeDocument/2006/relationships/hyperlink" Target="https://www.tradingview.com/chart/Q1c5VWwD/?symbol=nasdaq%3Aftnt" TargetMode="External" Id="rId20" /><Relationship Type="http://schemas.openxmlformats.org/officeDocument/2006/relationships/hyperlink" Target="https://www.tradingview.com/chart/Q1c5VWwD/?symbol=nasdaq%3Aavt" TargetMode="External" Id="rId21" /><Relationship Type="http://schemas.openxmlformats.org/officeDocument/2006/relationships/hyperlink" Target="https://www.tradingview.com/chart/Q1c5VWwD/?symbol=nasdaq%3Amrvl" TargetMode="External" Id="rId22" /><Relationship Type="http://schemas.openxmlformats.org/officeDocument/2006/relationships/hyperlink" Target="https://www.tradingview.com/chart/Q1c5VWwD/?symbol=nasdaq%3Acvlt" TargetMode="External" Id="rId23" /><Relationship Type="http://schemas.openxmlformats.org/officeDocument/2006/relationships/hyperlink" Target="https://www.tradingview.com/chart/Q1c5VWwD/?symbol=nasdaq%3Aadpt" TargetMode="External" Id="rId24" /><Relationship Type="http://schemas.openxmlformats.org/officeDocument/2006/relationships/hyperlink" Target="https://www.tradingview.com/chart/Q1c5VWwD/?symbol=nyse%3Adell" TargetMode="External" Id="rId25" /><Relationship Type="http://schemas.openxmlformats.org/officeDocument/2006/relationships/hyperlink" Target="https://www.tradingview.com/chart/Q1c5VWwD/?symbol=nasdaq%3Astx" TargetMode="External" Id="rId26" /><Relationship Type="http://schemas.openxmlformats.org/officeDocument/2006/relationships/hyperlink" Target="https://www.tradingview.com/chart/Q1c5VWwD/?symbol=nasdaq%3Aobio" TargetMode="External" Id="rId27" /><Relationship Type="http://schemas.openxmlformats.org/officeDocument/2006/relationships/hyperlink" Target="https://www.tradingview.com/chart/Q1c5VWwD/?symbol=nyse%3Aanet" TargetMode="External" Id="rId28" /><Relationship Type="http://schemas.openxmlformats.org/officeDocument/2006/relationships/hyperlink" Target="https://www.tradingview.com/chart/Q1c5VWwD/?symbol=nyse%3Aarw" TargetMode="External" Id="rId29" /><Relationship Type="http://schemas.openxmlformats.org/officeDocument/2006/relationships/hyperlink" Target="https://www.tradingview.com/chart/Q1c5VWwD/?symbol=nasdaq%3Aflgt" TargetMode="External" Id="rId30" /><Relationship Type="http://schemas.openxmlformats.org/officeDocument/2006/relationships/hyperlink" Target="https://www.tradingview.com/chart/Q1c5VWwD/?symbol=nasdaq%3Acrsr" TargetMode="External" Id="rId31" /><Relationship Type="http://schemas.openxmlformats.org/officeDocument/2006/relationships/hyperlink" Target="https://www.tradingview.com/chart/Q1c5VWwD/?symbol=nasdaq%3Auctt" TargetMode="External" Id="rId32" /><Relationship Type="http://schemas.openxmlformats.org/officeDocument/2006/relationships/hyperlink" Target="https://www.tradingview.com/chart/Q1c5VWwD/?symbol=nasdaq%3Antap" TargetMode="External" Id="rId33" /><Relationship Type="http://schemas.openxmlformats.org/officeDocument/2006/relationships/hyperlink" Target="https://www.tradingview.com/chart/Q1c5VWwD/?symbol=nasdaq%3Aospn" TargetMode="External" Id="rId34" /><Relationship Type="http://schemas.openxmlformats.org/officeDocument/2006/relationships/hyperlink" Target="https://www.tradingview.com/chart/Q1c5VWwD/?symbol=nasdaq%3Atwin" TargetMode="External" Id="rId35" /><Relationship Type="http://schemas.openxmlformats.org/officeDocument/2006/relationships/hyperlink" Target="https://www.tradingview.com/chart/Q1c5VWwD/?symbol=nyse%3Achpt" TargetMode="External" Id="rId36" /><Relationship Type="http://schemas.openxmlformats.org/officeDocument/2006/relationships/hyperlink" Target="https://www.tradingview.com/chart/Q1c5VWwD/?symbol=nasdaq%3Avrns" TargetMode="External" Id="rId37" /><Relationship Type="http://schemas.openxmlformats.org/officeDocument/2006/relationships/hyperlink" Target="https://www.tradingview.com/chart/Q1c5VWwD/?symbol=amex%3Ainfu" TargetMode="External" Id="rId38" /><Relationship Type="http://schemas.openxmlformats.org/officeDocument/2006/relationships/hyperlink" Target="https://www.tradingview.com/chart/Q1c5VWwD/?symbol=nyse%3Ahpe" TargetMode="External" Id="rId39" /><Relationship Type="http://schemas.openxmlformats.org/officeDocument/2006/relationships/hyperlink" Target="https://www.tradingview.com/chart/Q1c5VWwD/?symbol=nyse%3Angvc" TargetMode="External" Id="rId40" /><Relationship Type="http://schemas.openxmlformats.org/officeDocument/2006/relationships/hyperlink" Target="https://www.tradingview.com/chart/Q1c5VWwD/?symbol=nasdaq%3Api" TargetMode="External" Id="rId41" /><Relationship Type="http://schemas.openxmlformats.org/officeDocument/2006/relationships/hyperlink" Target="https://www.tradingview.com/chart/Q1c5VWwD/?symbol=nasdaq%3Acrwd" TargetMode="External" Id="rId42" /><Relationship Type="http://schemas.openxmlformats.org/officeDocument/2006/relationships/hyperlink" Target="https://www.tradingview.com/chart/Q1c5VWwD/?symbol=nasdaq%3Anvda" TargetMode="External" Id="rId43" /><Relationship Type="http://schemas.openxmlformats.org/officeDocument/2006/relationships/hyperlink" Target="https://www.tradingview.com/chart/Q1c5VWwD/?symbol=nasdaq%3Aftre" TargetMode="External" Id="rId44" /><Relationship Type="http://schemas.openxmlformats.org/officeDocument/2006/relationships/hyperlink" Target="https://www.tradingview.com/chart/Q1c5VWwD/?symbol=nasdaq%3Alqdt" TargetMode="External" Id="rId45" /><Relationship Type="http://schemas.openxmlformats.org/officeDocument/2006/relationships/hyperlink" Target="https://www.tradingview.com/chart/Q1c5VWwD/?symbol=nyse%3Aamn" TargetMode="External" Id="rId46" /><Relationship Type="http://schemas.openxmlformats.org/officeDocument/2006/relationships/hyperlink" Target="https://www.tradingview.com/chart/Q1c5VWwD/?symbol=nasdaq%3Acnxn" TargetMode="External" Id="rId47" /><Relationship Type="http://schemas.openxmlformats.org/officeDocument/2006/relationships/hyperlink" Target="https://www.tradingview.com/chart/Q1c5VWwD/?symbol=nyse%3Agne" TargetMode="External" Id="rId48" /><Relationship Type="http://schemas.openxmlformats.org/officeDocument/2006/relationships/hyperlink" Target="https://www.tradingview.com/chart/Q1c5VWwD/?symbol=nasdaq%3Acrus" TargetMode="External" Id="rId49" /><Relationship Type="http://schemas.openxmlformats.org/officeDocument/2006/relationships/hyperlink" Target="https://www.tradingview.com/chart/Q1c5VWwD/?symbol=nasdaq%3Amaze" TargetMode="External" Id="rId50" /><Relationship Type="http://schemas.openxmlformats.org/officeDocument/2006/relationships/hyperlink" Target="https://www.tradingview.com/chart/Q1c5VWwD/?symbol=nyse%3Akodk" TargetMode="External" Id="rId51" /><Relationship Type="http://schemas.openxmlformats.org/officeDocument/2006/relationships/hyperlink" Target="https://www.tradingview.com/chart/Q1c5VWwD/?symbol=nyse%3Aneu" TargetMode="External" Id="rId52" /><Relationship Type="http://schemas.openxmlformats.org/officeDocument/2006/relationships/hyperlink" Target="https://www.tradingview.com/chart/Q1c5VWwD/?symbol=nasdaq%3Aexel" TargetMode="External" Id="rId53" /><Relationship Type="http://schemas.openxmlformats.org/officeDocument/2006/relationships/hyperlink" Target="https://www.tradingview.com/chart/Q1c5VWwD/?symbol=nasdaq%3Aazta" TargetMode="External" Id="rId54" /><Relationship Type="http://schemas.openxmlformats.org/officeDocument/2006/relationships/hyperlink" Target="https://www.tradingview.com/chart/Q1c5VWwD/?symbol=nasdaq%3Aswbi" TargetMode="External" Id="rId55" /><Relationship Type="http://schemas.openxmlformats.org/officeDocument/2006/relationships/hyperlink" Target="https://www.tradingview.com/chart/Q1c5VWwD/?symbol=nasdaq%3Acstl" TargetMode="External" Id="rId56" /><Relationship Type="http://schemas.openxmlformats.org/officeDocument/2006/relationships/hyperlink" Target="https://www.tradingview.com/chart/Q1c5VWwD/?symbol=nasdaq%3Apbyi" TargetMode="External" Id="rId57" /><Relationship Type="http://schemas.openxmlformats.org/officeDocument/2006/relationships/hyperlink" Target="https://www.tradingview.com/chart/Q1c5VWwD/?symbol=nasdaq%3Ahwkn" TargetMode="External" Id="rId58" /><Relationship Type="http://schemas.openxmlformats.org/officeDocument/2006/relationships/hyperlink" Target="https://www.tradingview.com/chart/Q1c5VWwD/?symbol=nyse%3As" TargetMode="External" Id="rId59" /><Relationship Type="http://schemas.openxmlformats.org/officeDocument/2006/relationships/hyperlink" Target="https://www.tradingview.com/chart/Q1c5VWwD/?symbol=nasdaq%3Abrkr" TargetMode="External" Id="rId60" /><Relationship Type="http://schemas.openxmlformats.org/officeDocument/2006/relationships/hyperlink" Target="https://www.tradingview.com/chart/Q1c5VWwD/?symbol=nyse%3Abtgo" TargetMode="External" Id="rId61" /><Relationship Type="http://schemas.openxmlformats.org/officeDocument/2006/relationships/hyperlink" Target="https://www.tradingview.com/chart/Q1c5VWwD/?symbol=nasdaq%3Agfs" TargetMode="External" Id="rId62" /><Relationship Type="http://schemas.openxmlformats.org/officeDocument/2006/relationships/hyperlink" Target="https://www.tradingview.com/chart/Q1c5VWwD/?symbol=nasdaq%3Aegbn" TargetMode="External" Id="rId63" /><Relationship Type="http://schemas.openxmlformats.org/officeDocument/2006/relationships/hyperlink" Target="https://www.tradingview.com/chart/Q1c5VWwD/?symbol=nasdaq%3Adjco" TargetMode="External" Id="rId64" /><Relationship Type="http://schemas.openxmlformats.org/officeDocument/2006/relationships/hyperlink" Target="https://www.tradingview.com/chart/Q1c5VWwD/?symbol=nasdaq%3Axmtr" TargetMode="External" Id="rId65" /><Relationship Type="http://schemas.openxmlformats.org/officeDocument/2006/relationships/hyperlink" Target="https://www.tradingview.com/chart/Q1c5VWwD/?symbol=nasdaq%3Aqlys" TargetMode="External" Id="rId66" /><Relationship Type="http://schemas.openxmlformats.org/officeDocument/2006/relationships/hyperlink" Target="https://www.tradingview.com/chart/Q1c5VWwD/?symbol=nasdaq%3Abwin" TargetMode="External" Id="rId67" /><Relationship Type="http://schemas.openxmlformats.org/officeDocument/2006/relationships/hyperlink" Target="https://www.tradingview.com/chart/Q1c5VWwD/?symbol=nyse%3Acat" TargetMode="External" Id="rId68" /><Relationship Type="http://schemas.openxmlformats.org/officeDocument/2006/relationships/hyperlink" Target="https://www.tradingview.com/chart/Q1c5VWwD/?symbol=nasdaq%3Acrvl" TargetMode="External" Id="rId69" /><Relationship Type="http://schemas.openxmlformats.org/officeDocument/2006/relationships/hyperlink" Target="https://www.tradingview.com/chart/Q1c5VWwD/?symbol=nasdaq%3Autmd" TargetMode="External" Id="rId70" /><Relationship Type="http://schemas.openxmlformats.org/officeDocument/2006/relationships/hyperlink" Target="https://www.tradingview.com/chart/Q1c5VWwD/?symbol=nyse%3Awat" TargetMode="External" Id="rId71" /><Relationship Type="http://schemas.openxmlformats.org/officeDocument/2006/relationships/hyperlink" Target="https://www.tradingview.com/chart/Q1c5VWwD/?symbol=nyse%3Apwr" TargetMode="External" Id="rId72" /><Relationship Type="http://schemas.openxmlformats.org/officeDocument/2006/relationships/hyperlink" Target="https://www.tradingview.com/chart/Q1c5VWwD/?symbol=nyse%3Am" TargetMode="External" Id="rId73" /><Relationship Type="http://schemas.openxmlformats.org/officeDocument/2006/relationships/hyperlink" Target="https://www.tradingview.com/chart/Q1c5VWwD/?symbol=nyse%3Aitgr" TargetMode="External" Id="rId74" /><Relationship Type="http://schemas.openxmlformats.org/officeDocument/2006/relationships/hyperlink" Target="https://www.tradingview.com/chart/Q1c5VWwD/?symbol=nasdaq%3Agsat" TargetMode="External" Id="rId75" /><Relationship Type="http://schemas.openxmlformats.org/officeDocument/2006/relationships/hyperlink" Target="https://www.tradingview.com/chart/Q1c5VWwD/?symbol=nasdaq%3Ath" TargetMode="External" Id="rId76" /><Relationship Type="http://schemas.openxmlformats.org/officeDocument/2006/relationships/hyperlink" Target="https://www.tradingview.com/chart/Q1c5VWwD/?symbol=nyse%3Acldt" TargetMode="External" Id="rId77" /><Relationship Type="http://schemas.openxmlformats.org/officeDocument/2006/relationships/hyperlink" Target="https://www.tradingview.com/chart/Q1c5VWwD/?symbol=nasdaq%3Aamba" TargetMode="External" Id="rId78" /><Relationship Type="http://schemas.openxmlformats.org/officeDocument/2006/relationships/hyperlink" Target="https://www.tradingview.com/chart/Q1c5VWwD/?symbol=nasdaq%3Asmti" TargetMode="External" Id="rId79" /><Relationship Type="http://schemas.openxmlformats.org/officeDocument/2006/relationships/hyperlink" Target="https://www.tradingview.com/chart/Q1c5VWwD/?symbol=nasdaq%3Afast" TargetMode="External" Id="rId80" /><Relationship Type="http://schemas.openxmlformats.org/officeDocument/2006/relationships/hyperlink" Target="https://www.tradingview.com/chart/Q1c5VWwD/?symbol=nasdaq%3Abprn" TargetMode="External" Id="rId81" /><Relationship Type="http://schemas.openxmlformats.org/officeDocument/2006/relationships/hyperlink" Target="https://www.tradingview.com/chart/Q1c5VWwD/?symbol=nasdaq%3Apkoh" TargetMode="External" Id="rId82" /><Relationship Type="http://schemas.openxmlformats.org/officeDocument/2006/relationships/hyperlink" Target="https://www.tradingview.com/chart/Q1c5VWwD/?symbol=nasdaq%3Aslab" TargetMode="External" Id="rId83" /><Relationship Type="http://schemas.openxmlformats.org/officeDocument/2006/relationships/hyperlink" Target="https://www.tradingview.com/chart/Q1c5VWwD/?symbol=nyse%3Aetn" TargetMode="External" Id="rId84" /><Relationship Type="http://schemas.openxmlformats.org/officeDocument/2006/relationships/hyperlink" Target="https://www.tradingview.com/chart/Q1c5VWwD/?symbol=nasdaq%3Aaip" TargetMode="External" Id="rId85" /><Relationship Type="http://schemas.openxmlformats.org/officeDocument/2006/relationships/hyperlink" Target="https://www.tradingview.com/chart/Q1c5VWwD/?symbol=nasdaq%3Afsbw" TargetMode="External" Id="rId86" /><Relationship Type="http://schemas.openxmlformats.org/officeDocument/2006/relationships/hyperlink" Target="https://www.tradingview.com/chart/Q1c5VWwD/?symbol=nyse%3Aamg" TargetMode="External" Id="rId87" /><Relationship Type="http://schemas.openxmlformats.org/officeDocument/2006/relationships/hyperlink" Target="https://www.tradingview.com/chart/Q1c5VWwD/?symbol=nasdaq%3Afnrn" TargetMode="External" Id="rId88" /><Relationship Type="http://schemas.openxmlformats.org/officeDocument/2006/relationships/hyperlink" Target="https://www.tradingview.com/chart/Q1c5VWwD/?symbol=nasdaq%3Away" TargetMode="External" Id="rId89" /><Relationship Type="http://schemas.openxmlformats.org/officeDocument/2006/relationships/hyperlink" Target="https://www.tradingview.com/chart/Q1c5VWwD/?symbol=nyse%3Atxnm" TargetMode="External" Id="rId90" /><Relationship Type="http://schemas.openxmlformats.org/officeDocument/2006/relationships/hyperlink" Target="https://www.tradingview.com/chart/Q1c5VWwD/?symbol=nyse%3Avsts" TargetMode="External" Id="rId91" /><Relationship Type="http://schemas.openxmlformats.org/officeDocument/2006/relationships/hyperlink" Target="https://www.tradingview.com/chart/Q1c5VWwD/?symbol=nasdaq%3Amktx" TargetMode="External" Id="rId92" /><Relationship Type="http://schemas.openxmlformats.org/officeDocument/2006/relationships/hyperlink" Target="https://www.tradingview.com/chart/Q1c5VWwD/?symbol=nyse%3Apsx" TargetMode="External" Id="rId93" /><Relationship Type="http://schemas.openxmlformats.org/officeDocument/2006/relationships/hyperlink" Target="https://www.tradingview.com/chart/Q1c5VWwD/?symbol=nyse%3Aatkr" TargetMode="External" Id="rId94" /><Relationship Type="http://schemas.openxmlformats.org/officeDocument/2006/relationships/hyperlink" Target="https://www.tradingview.com/chart/Q1c5VWwD/?symbol=nasdaq%3Acolm" TargetMode="External" Id="rId95" /><Relationship Type="http://schemas.openxmlformats.org/officeDocument/2006/relationships/hyperlink" Target="https://www.tradingview.com/chart/Q1c5VWwD/?symbol=nasdaq%3Abiib" TargetMode="External" Id="rId96" /><Relationship Type="http://schemas.openxmlformats.org/officeDocument/2006/relationships/hyperlink" Target="https://www.tradingview.com/chart/Q1c5VWwD/?symbol=nasdaq%3Asaft" TargetMode="External" Id="rId97" /><Relationship Type="http://schemas.openxmlformats.org/officeDocument/2006/relationships/hyperlink" Target="https://www.tradingview.com/chart/Q1c5VWwD/?symbol=nasdaq%3Atrns" TargetMode="External" Id="rId98" /><Relationship Type="http://schemas.openxmlformats.org/officeDocument/2006/relationships/hyperlink" Target="https://www.tradingview.com/chart/Q1c5VWwD/?symbol=nasdaq%3Aapxt" TargetMode="External" Id="rId99" /><Relationship Type="http://schemas.openxmlformats.org/officeDocument/2006/relationships/hyperlink" Target="https://www.tradingview.com/chart/Q1c5VWwD/?symbol=nyse%3Aopy" TargetMode="External" Id="rId100" /><Relationship Type="http://schemas.openxmlformats.org/officeDocument/2006/relationships/hyperlink" Target="https://www.tradingview.com/chart/Q1c5VWwD/?symbol=nasdaq%3Afac" TargetMode="External" Id="rId101" /><Relationship Type="http://schemas.openxmlformats.org/officeDocument/2006/relationships/hyperlink" Target="https://www.tradingview.com/chart/Q1c5VWwD/?symbol=nasdaq%3Ameta" TargetMode="External" Id="rId102" /><Relationship Type="http://schemas.openxmlformats.org/officeDocument/2006/relationships/hyperlink" Target="https://www.tradingview.com/chart/Q1c5VWwD/?symbol=nasdaq%3Apsix" TargetMode="External" Id="rId103" /><Relationship Type="http://schemas.openxmlformats.org/officeDocument/2006/relationships/hyperlink" Target="https://www.tradingview.com/chart/Q1c5VWwD/?symbol=nasdaq%3Asndk" TargetMode="External" Id="rId104" /><Relationship Type="http://schemas.openxmlformats.org/officeDocument/2006/relationships/hyperlink" Target="https://www.tradingview.com/chart/Q1c5VWwD/?symbol=nasdaq%3Afeim" TargetMode="External" Id="rId105" /><Relationship Type="http://schemas.openxmlformats.org/officeDocument/2006/relationships/hyperlink" Target="https://www.tradingview.com/chart/Q1c5VWwD/?symbol=nyse%3Aluv" TargetMode="External" Id="rId106" /><Relationship Type="http://schemas.openxmlformats.org/officeDocument/2006/relationships/hyperlink" Target="https://www.tradingview.com/chart/Q1c5VWwD/?symbol=nyse%3Agic" TargetMode="External" Id="rId107" /><Relationship Type="http://schemas.openxmlformats.org/officeDocument/2006/relationships/hyperlink" Target="https://www.tradingview.com/chart/Q1c5VWwD/?symbol=nasdaq%3Awbtn" TargetMode="External" Id="rId108" /><Relationship Type="http://schemas.openxmlformats.org/officeDocument/2006/relationships/hyperlink" Target="https://www.tradingview.com/chart/Q1c5VWwD/?symbol=nasdaq%3Asmtc" TargetMode="External" Id="rId109" /><Relationship Type="http://schemas.openxmlformats.org/officeDocument/2006/relationships/hyperlink" Target="https://www.tradingview.com/chart/Q1c5VWwD/?symbol=nyse%3Afpi" TargetMode="External" Id="rId110" /><Relationship Type="http://schemas.openxmlformats.org/officeDocument/2006/relationships/hyperlink" Target="https://www.tradingview.com/chart/Q1c5VWwD/?symbol=nyse%3Agme" TargetMode="External" Id="rId111" /><Relationship Type="http://schemas.openxmlformats.org/officeDocument/2006/relationships/hyperlink" Target="https://www.tradingview.com/chart/Q1c5VWwD/?symbol=nasdaq%3Avstm" TargetMode="External" Id="rId112" /><Relationship Type="http://schemas.openxmlformats.org/officeDocument/2006/relationships/hyperlink" Target="https://www.tradingview.com/chart/Q1c5VWwD/?symbol=amex%3Ahyln" TargetMode="External" Id="rId113" /><Relationship Type="http://schemas.openxmlformats.org/officeDocument/2006/relationships/hyperlink" Target="https://www.tradingview.com/chart/Q1c5VWwD/?symbol=nyse%3Arvty" TargetMode="External" Id="rId114" /><Relationship Type="http://schemas.openxmlformats.org/officeDocument/2006/relationships/hyperlink" Target="https://www.tradingview.com/chart/Q1c5VWwD/?symbol=nasdaq%3Aaxti" TargetMode="External" Id="rId115" /><Relationship Type="http://schemas.openxmlformats.org/officeDocument/2006/relationships/hyperlink" Target="https://www.tradingview.com/chart/Q1c5VWwD/?symbol=nasdaq%3Aembc" TargetMode="External" Id="rId116" /><Relationship Type="http://schemas.openxmlformats.org/officeDocument/2006/relationships/hyperlink" Target="https://www.tradingview.com/chart/Q1c5VWwD/?symbol=nyse%3Aftk" TargetMode="External" Id="rId117" /><Relationship Type="http://schemas.openxmlformats.org/officeDocument/2006/relationships/hyperlink" Target="https://www.tradingview.com/chart/Q1c5VWwD/?symbol=nasdaq%3Aalnt" TargetMode="External" Id="rId118" /><Relationship Type="http://schemas.openxmlformats.org/officeDocument/2006/relationships/hyperlink" Target="https://www.tradingview.com/chart/Q1c5VWwD/?symbol=nasdaq%3Antsk" TargetMode="External" Id="rId119" /><Relationship Type="http://schemas.openxmlformats.org/officeDocument/2006/relationships/hyperlink" Target="https://www.tradingview.com/chart/Q1c5VWwD/?symbol=nasdaq%3Asanm" TargetMode="External" Id="rId120" /><Relationship Type="http://schemas.openxmlformats.org/officeDocument/2006/relationships/hyperlink" Target="https://www.tradingview.com/chart/Q1c5VWwD/?symbol=nyse%3Adhx" TargetMode="External" Id="rId121" /><Relationship Type="http://schemas.openxmlformats.org/officeDocument/2006/relationships/hyperlink" Target="https://www.tradingview.com/chart/Q1c5VWwD/?symbol=nasdaq%3Asmci" TargetMode="External" Id="rId122" /><Relationship Type="http://schemas.openxmlformats.org/officeDocument/2006/relationships/hyperlink" Target="https://www.tradingview.com/chart/Q1c5VWwD/?symbol=nasdaq%3Acohu" TargetMode="External" Id="rId123" /><Relationship Type="http://schemas.openxmlformats.org/officeDocument/2006/relationships/hyperlink" Target="https://www.tradingview.com/chart/Q1c5VWwD/?symbol=nasdaq%3Avlgea" TargetMode="External" Id="rId124" /><Relationship Type="http://schemas.openxmlformats.org/officeDocument/2006/relationships/hyperlink" Target="https://www.tradingview.com/chart/Q1c5VWwD/?symbol=nasdaq%3Aaehr" TargetMode="External" Id="rId125" /><Relationship Type="http://schemas.openxmlformats.org/officeDocument/2006/relationships/hyperlink" Target="https://www.tradingview.com/chart/Q1c5VWwD/?symbol=nasdaq%3Asitm" TargetMode="External" Id="rId126" /><Relationship Type="http://schemas.openxmlformats.org/officeDocument/2006/relationships/hyperlink" Target="https://www.tradingview.com/chart/Q1c5VWwD/?symbol=nyse%3Atwlo" TargetMode="External" Id="rId127" /><Relationship Type="http://schemas.openxmlformats.org/officeDocument/2006/relationships/hyperlink" Target="https://www.tradingview.com/chart/Q1c5VWwD/?symbol=nasdaq%3Agh" TargetMode="External" Id="rId128" /><Relationship Type="http://schemas.openxmlformats.org/officeDocument/2006/relationships/hyperlink" Target="https://www.tradingview.com/chart/Q1c5VWwD/?symbol=nasdaq%3Atbch" TargetMode="External" Id="rId129" /><Relationship Type="http://schemas.openxmlformats.org/officeDocument/2006/relationships/hyperlink" Target="https://www.tradingview.com/chart/Q1c5VWwD/?symbol=nasdaq%3Aalmr" TargetMode="External" Id="rId130" /><Relationship Type="http://schemas.openxmlformats.org/officeDocument/2006/relationships/hyperlink" Target="https://www.tradingview.com/chart/Q1c5VWwD/?symbol=nasdaq%3Amstr" TargetMode="External" Id="rId131" /><Relationship Type="http://schemas.openxmlformats.org/officeDocument/2006/relationships/hyperlink" Target="https://www.tradingview.com/chart/Q1c5VWwD/?symbol=nasdaq%3Atwst" TargetMode="External" Id="rId132" /><Relationship Type="http://schemas.openxmlformats.org/officeDocument/2006/relationships/hyperlink" Target="https://www.tradingview.com/chart/Q1c5VWwD/?symbol=nyse%3Agev" TargetMode="External" Id="rId133" /><Relationship Type="http://schemas.openxmlformats.org/officeDocument/2006/relationships/hyperlink" Target="https://www.tradingview.com/chart/Q1c5VWwD/?symbol=nasdaq%3Aokta" TargetMode="External" Id="rId134" /><Relationship Type="http://schemas.openxmlformats.org/officeDocument/2006/relationships/hyperlink" Target="https://www.tradingview.com/chart/Q1c5VWwD/?symbol=nyse%3Acvi" TargetMode="External" Id="rId135" /><Relationship Type="http://schemas.openxmlformats.org/officeDocument/2006/relationships/hyperlink" Target="https://www.tradingview.com/chart/Q1c5VWwD/?symbol=nyse%3Aambq" TargetMode="External" Id="rId136" /><Relationship Type="http://schemas.openxmlformats.org/officeDocument/2006/relationships/hyperlink" Target="https://www.tradingview.com/chart/Q1c5VWwD/?symbol=nasdaq%3Aalab" TargetMode="External" Id="rId137" /><Relationship Type="http://schemas.openxmlformats.org/officeDocument/2006/relationships/hyperlink" Target="https://www.tradingview.com/chart/Q1c5VWwD/?symbol=nasdaq%3Aevcm" TargetMode="External" Id="rId138" /><Relationship Type="http://schemas.openxmlformats.org/officeDocument/2006/relationships/hyperlink" Target="https://www.tradingview.com/chart/Q1c5VWwD/?symbol=nasdaq%3Afbla" TargetMode="External" Id="rId139" /><Relationship Type="http://schemas.openxmlformats.org/officeDocument/2006/relationships/hyperlink" Target="https://www.tradingview.com/chart/Q1c5VWwD/?symbol=nasdaq%3Acuri" TargetMode="External" Id="rId140" /><Relationship Type="http://schemas.openxmlformats.org/officeDocument/2006/relationships/hyperlink" Target="https://www.tradingview.com/chart/Q1c5VWwD/?symbol=nasdaq%3Arxrx" TargetMode="External" Id="rId141" /><Relationship Type="http://schemas.openxmlformats.org/officeDocument/2006/relationships/hyperlink" Target="https://www.tradingview.com/chart/Q1c5VWwD/?symbol=nyse%3Aa" TargetMode="External" Id="rId142" /><Relationship Type="http://schemas.openxmlformats.org/officeDocument/2006/relationships/hyperlink" Target="https://www.tradingview.com/chart/Q1c5VWwD/?symbol=nyse%3Arng" TargetMode="External" Id="rId143" /><Relationship Type="http://schemas.openxmlformats.org/officeDocument/2006/relationships/hyperlink" Target="https://www.tradingview.com/chart/Q1c5VWwD/?symbol=nyse%3Adocs" TargetMode="External" Id="rId144" /><Relationship Type="http://schemas.openxmlformats.org/officeDocument/2006/relationships/hyperlink" Target="https://www.tradingview.com/chart/Q1c5VWwD/?symbol=nasdaq%3Amar" TargetMode="External" Id="rId145" /><Relationship Type="http://schemas.openxmlformats.org/officeDocument/2006/relationships/hyperlink" Target="https://www.tradingview.com/chart/Q1c5VWwD/?symbol=nasdaq%3Adiod" TargetMode="External" Id="rId146" /><Relationship Type="http://schemas.openxmlformats.org/officeDocument/2006/relationships/hyperlink" Target="https://www.tradingview.com/chart/Q1c5VWwD/?symbol=nyse%3Afix" TargetMode="External" Id="rId147" /><Relationship Type="http://schemas.openxmlformats.org/officeDocument/2006/relationships/hyperlink" Target="https://www.tradingview.com/chart/Q1c5VWwD/?symbol=nyse%3Adocn" TargetMode="External" Id="rId148" /><Relationship Type="http://schemas.openxmlformats.org/officeDocument/2006/relationships/hyperlink" Target="https://www.tradingview.com/chart/Q1c5VWwD/?symbol=nyse%3Anxdr" TargetMode="External" Id="rId149" /><Relationship Type="http://schemas.openxmlformats.org/officeDocument/2006/relationships/hyperlink" Target="https://www.tradingview.com/chart/Q1c5VWwD/?symbol=nasdaq%3Aband" TargetMode="External" Id="rId150" /><Relationship Type="http://schemas.openxmlformats.org/officeDocument/2006/relationships/hyperlink" Target="https://www.tradingview.com/chart/Q1c5VWwD/?symbol=nyse%3Aprlb" TargetMode="External" Id="rId151" /><Relationship Type="http://schemas.openxmlformats.org/officeDocument/2006/relationships/hyperlink" Target="https://www.tradingview.com/chart/Q1c5VWwD/?symbol=nasdaq%3Aabsi" TargetMode="External" Id="rId152" /><Relationship Type="http://schemas.openxmlformats.org/officeDocument/2006/relationships/hyperlink" Target="https://www.tradingview.com/chart/Q1c5VWwD/?symbol=nasdaq%3Atssi" TargetMode="External" Id="rId153" /><Relationship Type="http://schemas.openxmlformats.org/officeDocument/2006/relationships/hyperlink" Target="https://www.tradingview.com/chart/Q1c5VWwD/?symbol=nasdaq%3Atem" TargetMode="External" Id="rId154" /><Relationship Type="http://schemas.openxmlformats.org/officeDocument/2006/relationships/hyperlink" Target="https://www.tradingview.com/chart/Q1c5VWwD/?symbol=nasdaq%3Aatii" TargetMode="External" Id="rId155" /><Relationship Type="http://schemas.openxmlformats.org/officeDocument/2006/relationships/hyperlink" Target="https://www.tradingview.com/chart/Q1c5VWwD/?symbol=nasdaq%3Arxt" TargetMode="External" Id="rId156" /><Relationship Type="http://schemas.openxmlformats.org/officeDocument/2006/relationships/hyperlink" Target="https://www.tradingview.com/chart/Q1c5VWwD/?symbol=nyse%3Avia" TargetMode="External" Id="rId157" /><Relationship Type="http://schemas.openxmlformats.org/officeDocument/2006/relationships/hyperlink" Target="https://www.tradingview.com/chart/Q1c5VWwD/?symbol=nasdaq%3Agemi" TargetMode="External" Id="rId158" /><Relationship Type="http://schemas.openxmlformats.org/officeDocument/2006/relationships/hyperlink" Target="https://www.tradingview.com/chart/Q1c5VWwD/?symbol=nyse%3Arbrk" TargetMode="External" Id="rId159" /><Relationship Type="http://schemas.openxmlformats.org/officeDocument/2006/relationships/hyperlink" Target="https://www.tradingview.com/chart/Q1c5VWwD/?symbol=nyse%3Akn" TargetMode="External" Id="rId160" /><Relationship Type="http://schemas.openxmlformats.org/officeDocument/2006/relationships/hyperlink" Target="https://www.tradingview.com/chart/Q1c5VWwD/?symbol=nasdaq%3Azs" TargetMode="External" Id="rId161" /><Relationship Type="http://schemas.openxmlformats.org/officeDocument/2006/relationships/hyperlink" Target="https://www.tradingview.com/chart/Q1c5VWwD/?symbol=nasdaq%3Aclmb" TargetMode="External" Id="rId162" /><Relationship Type="http://schemas.openxmlformats.org/officeDocument/2006/relationships/hyperlink" Target="https://www.tradingview.com/chart/Q1c5VWwD/?symbol=nyse%3Abhe" TargetMode="External" Id="rId163" /><Relationship Type="http://schemas.openxmlformats.org/officeDocument/2006/relationships/hyperlink" Target="https://www.tradingview.com/chart/Q1c5VWwD/?symbol=nasdaq%3Asght" TargetMode="External" Id="rId164" /><Relationship Type="http://schemas.openxmlformats.org/officeDocument/2006/relationships/hyperlink" Target="https://www.tradingview.com/chart/Q1c5VWwD/?symbol=nyse%3Avsh" TargetMode="External" Id="rId165" /><Relationship Type="http://schemas.openxmlformats.org/officeDocument/2006/relationships/hyperlink" Target="https://www.tradingview.com/chart/Q1c5VWwD/?symbol=nasdaq%3Asiga" TargetMode="External" Id="rId166" /><Relationship Type="http://schemas.openxmlformats.org/officeDocument/2006/relationships/hyperlink" Target="https://www.tradingview.com/chart/Q1c5VWwD/?symbol=nyse%3Aavtr" TargetMode="External" Id="rId167" /><Relationship Type="http://schemas.openxmlformats.org/officeDocument/2006/relationships/hyperlink" Target="https://www.tradingview.com/chart/Q1c5VWwD/?symbol=nasdaq%3Aceva" TargetMode="External" Id="rId168" /><Relationship Type="http://schemas.openxmlformats.org/officeDocument/2006/relationships/hyperlink" Target="https://www.tradingview.com/chart/Q1c5VWwD/?symbol=nasdaq%3Amsft" TargetMode="External" Id="rId169" /><Relationship Type="http://schemas.openxmlformats.org/officeDocument/2006/relationships/hyperlink" Target="https://www.tradingview.com/chart/Q1c5VWwD/?symbol=nasdaq%3Alyts" TargetMode="External" Id="rId170" /><Relationship Type="http://schemas.openxmlformats.org/officeDocument/2006/relationships/hyperlink" Target="https://www.tradingview.com/chart/Q1c5VWwD/?symbol=nyse%3Alpg" TargetMode="External" Id="rId171" /><Relationship Type="http://schemas.openxmlformats.org/officeDocument/2006/relationships/hyperlink" Target="https://www.tradingview.com/chart/Q1c5VWwD/?symbol=nasdaq%3Aplxs" TargetMode="External" Id="rId172" /><Relationship Type="http://schemas.openxmlformats.org/officeDocument/2006/relationships/hyperlink" Target="https://www.tradingview.com/chart/Q1c5VWwD/?symbol=nyse%3Avfc" TargetMode="External" Id="rId173" /><Relationship Type="http://schemas.openxmlformats.org/officeDocument/2006/relationships/hyperlink" Target="https://www.tradingview.com/chart/Q1c5VWwD/?symbol=nasdaq%3Aamkr" TargetMode="External" Id="rId174" /><Relationship Type="http://schemas.openxmlformats.org/officeDocument/2006/relationships/hyperlink" Target="https://www.tradingview.com/chart/Q1c5VWwD/?symbol=nasdaq%3Aslp" TargetMode="External" Id="rId175" /><Relationship Type="http://schemas.openxmlformats.org/officeDocument/2006/relationships/hyperlink" Target="https://www.tradingview.com/chart/Q1c5VWwD/?symbol=nasdaq%3Ashls" TargetMode="External" Id="rId176" /><Relationship Type="http://schemas.openxmlformats.org/officeDocument/2006/relationships/hyperlink" Target="https://www.tradingview.com/chart/Q1c5VWwD/?symbol=nasdaq%3Adsgr" TargetMode="External" Id="rId177" /><Relationship Type="http://schemas.openxmlformats.org/officeDocument/2006/relationships/hyperlink" Target="https://www.tradingview.com/chart/Q1c5VWwD/?symbol=nasdaq%3Apayo" TargetMode="External" Id="rId178" /><Relationship Type="http://schemas.openxmlformats.org/officeDocument/2006/relationships/hyperlink" Target="https://www.tradingview.com/chart/Q1c5VWwD/?symbol=nyse%3Amsge" TargetMode="External" Id="rId179" /><Relationship Type="http://schemas.openxmlformats.org/officeDocument/2006/relationships/hyperlink" Target="https://www.tradingview.com/chart/Q1c5VWwD/?symbol=nasdaq%3Affiv" TargetMode="External" Id="rId180" /><Relationship Type="http://schemas.openxmlformats.org/officeDocument/2006/relationships/hyperlink" Target="https://www.tradingview.com/chart/Q1c5VWwD/?symbol=nyse%3Aeme" TargetMode="External" Id="rId181" /><Relationship Type="http://schemas.openxmlformats.org/officeDocument/2006/relationships/hyperlink" Target="https://www.tradingview.com/chart/Q1c5VWwD/?symbol=nyse%3Acon" TargetMode="External" Id="rId182" /><Relationship Type="http://schemas.openxmlformats.org/officeDocument/2006/relationships/hyperlink" Target="https://www.tradingview.com/chart/Q1c5VWwD/?symbol=nasdaq%3Aflex" TargetMode="External" Id="rId183" /><Relationship Type="http://schemas.openxmlformats.org/officeDocument/2006/relationships/hyperlink" Target="https://www.tradingview.com/chart/Q1c5VWwD/?symbol=nyse%3Apeb" TargetMode="External" Id="rId184" /><Relationship Type="http://schemas.openxmlformats.org/officeDocument/2006/relationships/hyperlink" Target="https://www.tradingview.com/chart/Q1c5VWwD/?symbol=nasdaq%3Actkb" TargetMode="External" Id="rId185" /><Relationship Type="http://schemas.openxmlformats.org/officeDocument/2006/relationships/hyperlink" Target="https://www.tradingview.com/chart/Q1c5VWwD/?symbol=nyse%3Awmk" TargetMode="External" Id="rId186" /><Relationship Type="http://schemas.openxmlformats.org/officeDocument/2006/relationships/hyperlink" Target="https://www.tradingview.com/chart/Q1c5VWwD/?symbol=nasdaq%3Antgr" TargetMode="External" Id="rId187" /><Relationship Type="http://schemas.openxmlformats.org/officeDocument/2006/relationships/hyperlink" Target="https://www.tradingview.com/chart/Q1c5VWwD/?symbol=nasdaq%3Aimkta" TargetMode="External" Id="rId188" /><Relationship Type="http://schemas.openxmlformats.org/officeDocument/2006/relationships/hyperlink" Target="https://www.tradingview.com/chart/Q1c5VWwD/?symbol=nyse%3Aebf" TargetMode="External" Id="rId189" /><Relationship Type="http://schemas.openxmlformats.org/officeDocument/2006/relationships/hyperlink" Target="https://www.tradingview.com/chart/Q1c5VWwD/?symbol=nyse%3Aaes" TargetMode="External" Id="rId190" /><Relationship Type="http://schemas.openxmlformats.org/officeDocument/2006/relationships/hyperlink" Target="https://www.tradingview.com/chart/Q1c5VWwD/?symbol=nasdaq%3Ajakk" TargetMode="External" Id="rId191" /><Relationship Type="http://schemas.openxmlformats.org/officeDocument/2006/relationships/hyperlink" Target="https://www.tradingview.com/chart/Q1c5VWwD/?symbol=nasdaq%3Ahstm" TargetMode="External" Id="rId192" /><Relationship Type="http://schemas.openxmlformats.org/officeDocument/2006/relationships/hyperlink" Target="https://www.tradingview.com/chart/Q1c5VWwD/?symbol=nyse%3Awcc" TargetMode="External" Id="rId193" /><Relationship Type="http://schemas.openxmlformats.org/officeDocument/2006/relationships/hyperlink" Target="https://www.tradingview.com/chart/Q1c5VWwD/?symbol=amex%3Arlgt" TargetMode="External" Id="rId194" /><Relationship Type="http://schemas.openxmlformats.org/officeDocument/2006/relationships/hyperlink" Target="https://www.tradingview.com/chart/Q1c5VWwD/?symbol=nyse%3Ait" TargetMode="External" Id="rId195" /><Relationship Type="http://schemas.openxmlformats.org/officeDocument/2006/relationships/hyperlink" Target="https://www.tradingview.com/chart/Q1c5VWwD/?symbol=nyse%3Akr" TargetMode="External" Id="rId196" /><Relationship Type="http://schemas.openxmlformats.org/officeDocument/2006/relationships/hyperlink" Target="https://www.tradingview.com/chart/Q1c5VWwD/?symbol=nasdaq%3Amgni" TargetMode="External" Id="rId197" /><Relationship Type="http://schemas.openxmlformats.org/officeDocument/2006/relationships/hyperlink" Target="https://www.tradingview.com/chart/Q1c5VWwD/?symbol=nasdaq%3Acvco" TargetMode="External" Id="rId198" /><Relationship Type="http://schemas.openxmlformats.org/officeDocument/2006/relationships/hyperlink" Target="https://www.tradingview.com/chart/Q1c5VWwD/?symbol=nyse%3Abj" TargetMode="External" Id="rId199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cnbc.com/2026/09/30/stock-market-today-live-updates.html" TargetMode="External" Id="rId1" /><Relationship Type="http://schemas.openxmlformats.org/officeDocument/2006/relationships/hyperlink" Target="https://finance.yahoo.com/markets/live/stock-market-today-thursday-oct-1-dow-sp-500-nasdaq-080602402.html" TargetMode="External" Id="rId2" /><Relationship Type="http://schemas.openxmlformats.org/officeDocument/2006/relationships/hyperlink" Target="https://www.thestreet.com/stock-market-today/stock-market-today-dow-jones-sp-500-nasdaq-updates-oct-01-2026" TargetMode="External" Id="rId3" /><Relationship Type="http://schemas.openxmlformats.org/officeDocument/2006/relationships/hyperlink" Target="https://www.schwab.com/learn/story/stock-market-update-open" TargetMode="External" Id="rId4" /><Relationship Type="http://schemas.openxmlformats.org/officeDocument/2006/relationships/hyperlink" Target="https://www.siawealth.com/2026/10/01/october-opens-with-mixed-markets-as-oil-and-treasury-yields-climb/" TargetMode="External" Id="rId5" /><Relationship Type="http://schemas.openxmlformats.org/officeDocument/2006/relationships/hyperlink" Target="https://bloomberg.com/news/articles/2026-09-29/fed-s-williams-sees-one-more-interest-rate-hike-in-late-2026" TargetMode="External" Id="rId6" /><Relationship Type="http://schemas.openxmlformats.org/officeDocument/2006/relationships/hyperlink" Target="https://www.forbes.com/sites/simonmoore/2026/09/29/what-to-expect-from-interest-rates-for-the-rest-of-2026/" TargetMode="External" Id="rId7" /><Relationship Type="http://schemas.openxmlformats.org/officeDocument/2006/relationships/hyperlink" Target="https://cnbc.com/2026/09/25/kevin-warsh-fed-interest-rates-balance-sheet.html" TargetMode="External" Id="rId8" /><Relationship Type="http://schemas.openxmlformats.org/officeDocument/2006/relationships/hyperlink" Target="https://www.schwab.com/learn/story/fomc-meeting" TargetMode="External" Id="rId9" /><Relationship Type="http://schemas.openxmlformats.org/officeDocument/2006/relationships/hyperlink" Target="https://github.com/yppmatthewtw-cmd/10MA-watchlist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50" customWidth="1" min="2" max="2"/>
  </cols>
  <sheetData>
    <row r="1">
      <c r="A1" s="1" t="inlineStr">
        <is>
          <t>R2.00 更新重點</t>
        </is>
      </c>
    </row>
    <row r="2" ht="30" customHeight="1">
      <c r="A2" s="2" t="n">
        <v>1</v>
      </c>
      <c r="B2" s="3" t="inlineStr">
        <is>
          <t>R2.00：核心條件改為四項 —— ① 21EMA 向上（EMA21 高過前一日同 5 日前）② 9EMA 在 21EMA 上方 ③ 一底高於一底（樞軸底遞升、最後一底 ≤30 日前）④ 形態接近上升三角：25 日重心 ≥0.5、低位斜率 &gt;0、高位平至微升。「回到 9/21EMA」唔再係核心門檻，改為分頁條件。</t>
        </is>
      </c>
    </row>
    <row r="3" ht="30" customHeight="1">
      <c r="A3" s="2" t="n">
        <v>2</v>
      </c>
      <c r="B3" s="3" t="inlineStr">
        <is>
          <t>三個分頁（都係第一梯隊嘅子集、引用總表）：a 剛黃金交叉（5 日內金叉）15 隻；b 回到 21EMA（離 EMA21 ≤3% 兼 ≤0.75 ATR 或近 3 日觸及）10 隻；c 回到 9EMA（同樣口徑對 EMA9，離兩條都近就歸較近嗰條）76 隻。總表加咗 a／b／c 三欄 ✓。</t>
        </is>
      </c>
    </row>
    <row r="4" ht="30" customHeight="1">
      <c r="A4" s="2" t="n">
        <v>3</v>
      </c>
      <c r="B4" s="3" t="inlineStr">
        <is>
          <t>數據更新至 2026-10-01 收市（192 個交易日，2025-12-26 起；Yahoo 日線由 GitHub Actions 抓取）。</t>
        </is>
      </c>
    </row>
    <row r="5" ht="30" customHeight="1">
      <c r="A5" s="2" t="n">
        <v>4</v>
      </c>
      <c r="B5" s="3" t="inlineStr">
        <is>
          <t>合資格 2,791 隻 → C1 573 → C2 542 → C3 322 → C4 第一梯隊 100 隻（大型 26／中型 30／小型 43；平頂上升三角 30 隻）。第二梯隊（差一項）99 隻。</t>
        </is>
      </c>
    </row>
    <row r="6" ht="30" customHeight="1">
      <c r="A6" s="2" t="n">
        <v>5</v>
      </c>
      <c r="B6" s="3" t="inlineStr">
        <is>
          <t>排名：綜合分數 = 0.25 趨勢 + 0.25 回調質素 + 0.2 底部結構 + 0.3 三角形（每項 0–100，總表全部係公式）。頭五位：JILL（79）、PPIH（77）、MG（74）、HNGE（74）、TTMI（74）。</t>
        </is>
      </c>
    </row>
    <row r="7" ht="30" customHeight="1">
      <c r="A7" s="2" t="n">
        <v>6</v>
      </c>
      <c r="B7" s="3" t="inlineStr">
        <is>
          <t>市況：指數企喺高位、闊度極弱；加息周期中段，長債息 24 年新高、油價 $90 樓上 —— 偏防守，只做高 RS 嘅 9/21EMA 回調（市況頁有指數／ETF／商品／債息嘅 EMA 狀態、合資格股票池闊度、四大力量周期對標同領先指標觀察表）。</t>
        </is>
      </c>
    </row>
    <row r="8" ht="30" customHeight="1">
      <c r="A8" s="2" t="n">
        <v>7</v>
      </c>
      <c r="B8" s="3" t="inlineStr">
        <is>
          <t>頁：總表（兩個梯隊）、a 剛黃金交叉、b 回到21EMA、c 回到9EMA、大型股／中型股／小型股（引用總表）、差一項、樞軸底頂、篩選規則、市況、數據核對。所有代號連 TradingView；藍字係量度值、黑字係公式。</t>
        </is>
      </c>
    </row>
    <row r="9" ht="30" customHeight="1">
      <c r="A9" s="2" t="n">
        <v>8</v>
      </c>
      <c r="B9" s="3" t="inlineStr">
        <is>
          <t>產出：9EMA-Uptrend_Watchlist_R2.00_claudefable51xhigh_10.02_1658.xlsx（claudefable51xhigh = Claude Fable 5.1，effort xhigh；2026-10-02 16:58 香港時間）。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8" customWidth="1" min="3" max="3"/>
    <col width="26" customWidth="1" min="4" max="4"/>
    <col width="7" customWidth="1" min="5" max="5"/>
    <col width="9" customWidth="1" min="6" max="6"/>
    <col width="24" customWidth="1" min="7" max="7"/>
    <col width="9" customWidth="1" min="8" max="8"/>
    <col width="6" customWidth="1" min="9" max="9"/>
    <col width="9" customWidth="1" min="10" max="10"/>
    <col width="9" customWidth="1" min="11" max="11"/>
    <col width="7" customWidth="1" min="12" max="12"/>
    <col width="9" customWidth="1" min="13" max="13"/>
    <col width="9" customWidth="1" min="14" max="14"/>
    <col width="10" customWidth="1" min="15" max="15"/>
    <col width="10" customWidth="1" min="16" max="16"/>
    <col width="6" customWidth="1" min="17" max="17"/>
    <col width="9" customWidth="1" min="18" max="18"/>
    <col width="9" customWidth="1" min="19" max="19"/>
    <col width="9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9" customWidth="1" min="31" max="31"/>
    <col width="6" customWidth="1" min="32" max="32"/>
    <col width="7" customWidth="1" min="33" max="33"/>
    <col width="7" customWidth="1" min="34" max="34"/>
    <col width="10" customWidth="1" min="35" max="35"/>
    <col width="6" customWidth="1" min="36" max="36"/>
    <col width="6" customWidth="1" min="37" max="37"/>
    <col width="10" customWidth="1" min="38" max="38"/>
    <col width="9" customWidth="1" min="39" max="39"/>
    <col width="9" customWidth="1" min="40" max="40"/>
    <col width="7" customWidth="1" min="41" max="41"/>
    <col width="7" customWidth="1" min="42" max="42"/>
    <col width="7" customWidth="1" min="43" max="43"/>
    <col width="9" customWidth="1" min="44" max="44"/>
    <col width="7" customWidth="1" min="45" max="45"/>
    <col width="13" customWidth="1" min="46" max="46"/>
    <col width="8" customWidth="1" min="47" max="47"/>
    <col width="8" customWidth="1" min="48" max="48"/>
    <col width="9" customWidth="1" min="49" max="49"/>
    <col width="8" customWidth="1" min="50" max="50"/>
    <col width="6" customWidth="1" min="51" max="51"/>
    <col width="9" customWidth="1" min="52" max="52"/>
    <col width="9" customWidth="1" min="53" max="53"/>
    <col width="9" customWidth="1" min="54" max="54"/>
    <col width="8" customWidth="1" min="55" max="55"/>
    <col width="8" customWidth="1" min="56" max="56"/>
    <col width="8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12" customWidth="1" min="64" max="64"/>
    <col width="28" customWidth="1" min="65" max="65"/>
  </cols>
  <sheetData>
    <row r="1" ht="42" customHeight="1">
      <c r="A1" s="4" t="inlineStr">
        <is>
          <t>梯隊</t>
        </is>
      </c>
      <c r="B1" s="4" t="inlineStr">
        <is>
          <t>排名</t>
        </is>
      </c>
      <c r="C1" s="4" t="inlineStr">
        <is>
          <t>代號</t>
        </is>
      </c>
      <c r="D1" s="4" t="inlineStr">
        <is>
          <t>公司</t>
        </is>
      </c>
      <c r="E1" s="4" t="inlineStr">
        <is>
          <t>交易所</t>
        </is>
      </c>
      <c r="F1" s="4" t="inlineStr">
        <is>
          <t>板塊</t>
        </is>
      </c>
      <c r="G1" s="4" t="inlineStr">
        <is>
          <t>行業</t>
        </is>
      </c>
      <c r="H1" s="4" t="inlineStr">
        <is>
          <t>市值(十億美元)</t>
        </is>
      </c>
      <c r="I1" s="4" t="inlineStr">
        <is>
          <t>市值組</t>
        </is>
      </c>
      <c r="J1" s="4" t="inlineStr">
        <is>
          <t>收市價</t>
        </is>
      </c>
      <c r="K1" s="4" t="inlineStr">
        <is>
          <t>前收</t>
        </is>
      </c>
      <c r="L1" s="4" t="inlineStr">
        <is>
          <t>當日%</t>
        </is>
      </c>
      <c r="M1" s="4" t="inlineStr">
        <is>
          <t>當日高</t>
        </is>
      </c>
      <c r="N1" s="4" t="inlineStr">
        <is>
          <t>當日低</t>
        </is>
      </c>
      <c r="O1" s="4" t="inlineStr">
        <is>
          <t>成交量</t>
        </is>
      </c>
      <c r="P1" s="4" t="inlineStr">
        <is>
          <t>20日均量</t>
        </is>
      </c>
      <c r="Q1" s="4" t="inlineStr">
        <is>
          <t>量比</t>
        </is>
      </c>
      <c r="R1" s="4" t="inlineStr">
        <is>
          <t>EMA9</t>
        </is>
      </c>
      <c r="S1" s="4" t="inlineStr">
        <is>
          <t>EMA21</t>
        </is>
      </c>
      <c r="T1" s="4" t="inlineStr">
        <is>
          <t>EMA21（5日前）</t>
        </is>
      </c>
      <c r="U1" s="4" t="inlineStr">
        <is>
          <t>EMA21 5日斜率%</t>
        </is>
      </c>
      <c r="V1" s="4" t="inlineStr">
        <is>
          <t>EMA21 10步上升比例</t>
        </is>
      </c>
      <c r="W1" s="4" t="inlineStr">
        <is>
          <t>距EMA9%</t>
        </is>
      </c>
      <c r="X1" s="4" t="inlineStr">
        <is>
          <t>距EMA21%</t>
        </is>
      </c>
      <c r="Y1" s="4" t="inlineStr">
        <is>
          <t>ATR14</t>
        </is>
      </c>
      <c r="Z1" s="4" t="inlineStr">
        <is>
          <t>ATR14%</t>
        </is>
      </c>
      <c r="AA1" s="4" t="inlineStr">
        <is>
          <t>距EMA9（ATR倍）</t>
        </is>
      </c>
      <c r="AB1" s="4" t="inlineStr">
        <is>
          <t>距EMA21（ATR倍）</t>
        </is>
      </c>
      <c r="AC1" s="4" t="inlineStr">
        <is>
          <t>最接近</t>
        </is>
      </c>
      <c r="AD1" s="4" t="inlineStr">
        <is>
          <t>近3日低位觸及</t>
        </is>
      </c>
      <c r="AE1" s="4" t="inlineStr">
        <is>
          <t>9/21狀態</t>
        </is>
      </c>
      <c r="AF1" s="4" t="inlineStr">
        <is>
          <t>a 剛金叉</t>
        </is>
      </c>
      <c r="AG1" s="4" t="inlineStr">
        <is>
          <t>b 回到21EMA</t>
        </is>
      </c>
      <c r="AH1" s="4" t="inlineStr">
        <is>
          <t>c 回到9EMA</t>
        </is>
      </c>
      <c r="AI1" s="4" t="inlineStr">
        <is>
          <t>金叉日期</t>
        </is>
      </c>
      <c r="AJ1" s="4" t="inlineStr">
        <is>
          <t>金叉後日數</t>
        </is>
      </c>
      <c r="AK1" s="4" t="inlineStr">
        <is>
          <t>連續上升底數目</t>
        </is>
      </c>
      <c r="AL1" s="4" t="inlineStr">
        <is>
          <t>最後一底日期</t>
        </is>
      </c>
      <c r="AM1" s="4" t="inlineStr">
        <is>
          <t>最後一底價</t>
        </is>
      </c>
      <c r="AN1" s="4" t="inlineStr">
        <is>
          <t>上一底價</t>
        </is>
      </c>
      <c r="AO1" s="4" t="inlineStr">
        <is>
          <t>底較底升%</t>
        </is>
      </c>
      <c r="AP1" s="4" t="inlineStr">
        <is>
          <t>最後一底距今（日）</t>
        </is>
      </c>
      <c r="AQ1" s="4" t="inlineStr">
        <is>
          <t>距最後一底%</t>
        </is>
      </c>
      <c r="AR1" s="4" t="inlineStr">
        <is>
          <t>15日最高收市</t>
        </is>
      </c>
      <c r="AS1" s="4" t="inlineStr">
        <is>
          <t>距15日高%</t>
        </is>
      </c>
      <c r="AT1" s="4" t="inlineStr">
        <is>
          <t>形態（25日）</t>
        </is>
      </c>
      <c r="AU1" s="4" t="inlineStr">
        <is>
          <t>高位斜率（%/日）</t>
        </is>
      </c>
      <c r="AV1" s="4" t="inlineStr">
        <is>
          <t>低位斜率（%/日）</t>
        </is>
      </c>
      <c r="AW1" s="4" t="inlineStr">
        <is>
          <t>重心（VWAP在25日高低區間位置）</t>
        </is>
      </c>
      <c r="AX1" s="4" t="inlineStr">
        <is>
          <t>重心（收市範圍）</t>
        </is>
      </c>
      <c r="AY1" s="4" t="inlineStr">
        <is>
          <t>頂部觸及次數</t>
        </is>
      </c>
      <c r="AZ1" s="4" t="inlineStr">
        <is>
          <t>25日最高</t>
        </is>
      </c>
      <c r="BA1" s="4" t="inlineStr">
        <is>
          <t>25日最低</t>
        </is>
      </c>
      <c r="BB1" s="4" t="inlineStr">
        <is>
          <t>25日VWAP</t>
        </is>
      </c>
      <c r="BC1" s="4" t="inlineStr">
        <is>
          <t>跌日／升日量比（10日）</t>
        </is>
      </c>
      <c r="BD1" s="4" t="inlineStr">
        <is>
          <t>收市在當日區間位置</t>
        </is>
      </c>
      <c r="BE1" s="4" t="inlineStr">
        <is>
          <t>RS21（對全池中位數）%</t>
        </is>
      </c>
      <c r="BF1" s="4" t="inlineStr">
        <is>
          <t>21日回報%</t>
        </is>
      </c>
      <c r="BG1" s="4" t="inlineStr">
        <is>
          <t>趨勢分數</t>
        </is>
      </c>
      <c r="BH1" s="4" t="inlineStr">
        <is>
          <t>回調質素</t>
        </is>
      </c>
      <c r="BI1" s="4" t="inlineStr">
        <is>
          <t>底部結構</t>
        </is>
      </c>
      <c r="BJ1" s="4" t="inlineStr">
        <is>
          <t>三角形分數</t>
        </is>
      </c>
      <c r="BK1" s="4" t="inlineStr">
        <is>
          <t>綜合分數</t>
        </is>
      </c>
      <c r="BL1" s="4" t="inlineStr">
        <is>
          <t>唔過嘅條件</t>
        </is>
      </c>
      <c r="BM1" s="4" t="inlineStr">
        <is>
          <t>備註</t>
        </is>
      </c>
    </row>
    <row r="2">
      <c r="A2" s="5" t="n">
        <v>1</v>
      </c>
      <c r="B2" s="5" t="n">
        <v>1</v>
      </c>
      <c r="C2" s="6" t="inlineStr">
        <is>
          <t>JILL</t>
        </is>
      </c>
      <c r="D2" s="5" t="inlineStr">
        <is>
          <t>J. Jill Inc.</t>
        </is>
      </c>
      <c r="E2" s="5" t="inlineStr">
        <is>
          <t>NYSE</t>
        </is>
      </c>
      <c r="F2" s="5" t="inlineStr">
        <is>
          <t>非必需消費</t>
        </is>
      </c>
      <c r="G2" s="5" t="inlineStr">
        <is>
          <t>Apparel</t>
        </is>
      </c>
      <c r="H2" s="7" t="n">
        <v>0.362</v>
      </c>
      <c r="I2" s="5" t="inlineStr">
        <is>
          <t>小型</t>
        </is>
      </c>
      <c r="J2" s="8" t="n">
        <v>24.4</v>
      </c>
      <c r="K2" s="8" t="n">
        <v>24.37</v>
      </c>
      <c r="L2" s="9">
        <f>J2/K2-1</f>
        <v/>
      </c>
      <c r="M2" s="8" t="n">
        <v>24.77</v>
      </c>
      <c r="N2" s="8" t="n">
        <v>24.22</v>
      </c>
      <c r="O2" s="10" t="n">
        <v>390800</v>
      </c>
      <c r="P2" s="10" t="n">
        <v>248770</v>
      </c>
      <c r="Q2" s="11">
        <f>O2/P2</f>
        <v/>
      </c>
      <c r="R2" s="8" t="n">
        <v>24.1815</v>
      </c>
      <c r="S2" s="8" t="n">
        <v>23.1877</v>
      </c>
      <c r="T2" s="8" t="n">
        <v>22.4388</v>
      </c>
      <c r="U2" s="9">
        <f>S2/T2-1</f>
        <v/>
      </c>
      <c r="V2" s="12" t="n">
        <v>1</v>
      </c>
      <c r="W2" s="9">
        <f>J2/R2-1</f>
        <v/>
      </c>
      <c r="X2" s="9">
        <f>J2/S2-1</f>
        <v/>
      </c>
      <c r="Y2" s="8" t="n">
        <v>0.9668</v>
      </c>
      <c r="Z2" s="13">
        <f>Y2/J2</f>
        <v/>
      </c>
      <c r="AA2" s="11">
        <f>(J2-R2)/Y2</f>
        <v/>
      </c>
      <c r="AB2" s="11">
        <f>(J2-S2)/Y2</f>
        <v/>
      </c>
      <c r="AC2" s="5">
        <f>IF(ABS(AA2)&lt;=ABS(AB2),"9EMA","21EMA")</f>
        <v/>
      </c>
      <c r="AD2" s="5" t="inlineStr">
        <is>
          <t>9EMA</t>
        </is>
      </c>
      <c r="AE2" s="5" t="inlineStr">
        <is>
          <t>持續在上方</t>
        </is>
      </c>
      <c r="AF2" s="5" t="inlineStr"/>
      <c r="AG2" s="5" t="inlineStr"/>
      <c r="AH2" s="5" t="inlineStr">
        <is>
          <t>✓</t>
        </is>
      </c>
      <c r="AI2" s="5" t="inlineStr">
        <is>
          <t>2026-05-28</t>
        </is>
      </c>
      <c r="AJ2" s="5" t="n">
        <v>87</v>
      </c>
      <c r="AK2" s="14" t="n">
        <v>6</v>
      </c>
      <c r="AL2" s="5" t="inlineStr">
        <is>
          <t>2026-09-24</t>
        </is>
      </c>
      <c r="AM2" s="8" t="n">
        <v>22.86</v>
      </c>
      <c r="AN2" s="8" t="n">
        <v>18.49</v>
      </c>
      <c r="AO2" s="9">
        <f>IF(ISNUMBER(AN2),AM2/AN2-1,"")</f>
        <v/>
      </c>
      <c r="AP2" s="14" t="n">
        <v>5</v>
      </c>
      <c r="AQ2" s="9">
        <f>IF(ISNUMBER(AM2),J2/AM2-1,"")</f>
        <v/>
      </c>
      <c r="AR2" s="8" t="n">
        <v>24.63</v>
      </c>
      <c r="AS2" s="9">
        <f>J2/AR2-1</f>
        <v/>
      </c>
      <c r="AT2" s="5" t="inlineStr">
        <is>
          <t>上傾收窄（楔形）</t>
        </is>
      </c>
      <c r="AU2" s="15" t="n">
        <v>0.998</v>
      </c>
      <c r="AV2" s="15" t="n">
        <v>1.2793</v>
      </c>
      <c r="AW2" s="15" t="n">
        <v>0.7068</v>
      </c>
      <c r="AX2" s="15" t="n">
        <v>0.7181999999999999</v>
      </c>
      <c r="AY2" s="14" t="n">
        <v>5</v>
      </c>
      <c r="AZ2" s="8" t="n">
        <v>25</v>
      </c>
      <c r="BA2" s="8" t="n">
        <v>18.49</v>
      </c>
      <c r="BB2" s="8" t="n">
        <v>23.0913</v>
      </c>
      <c r="BC2" s="15" t="n">
        <v>0.8074</v>
      </c>
      <c r="BD2" s="11">
        <f>IF(M2=N2,0.5,(J2-N2)/(M2-N2))</f>
        <v/>
      </c>
      <c r="BE2" s="16" t="n">
        <v>30.333</v>
      </c>
      <c r="BF2" s="16" t="n">
        <v>25.579</v>
      </c>
      <c r="BG2" s="17">
        <f>100*(0.4*MIN(1,MAX(0,((U2*100)-(0.0))/((2.5)-(0.0))))+0.3*MIN(1,MAX(0,((V2)-(0.6))/((1.0)-(0.6))))+0.3*MIN(1,MAX(0,((BE2)-(0.0))/((15.0)-(0.0)))))</f>
        <v/>
      </c>
      <c r="BH2" s="17">
        <f>100*(0.4*MIN(1,MAX(0,((MIN(ABS(AA2),ABS(AB2)))-(0.75))/((0.0)-(0.75))))+0.3*MIN(1,MAX(0,((BC2)-(1.2))/((0.6)-(1.2))))+0.3*BD2)</f>
        <v/>
      </c>
      <c r="BI2" s="17">
        <f>100*(0.5*MIN(1,MAX(0,((AK2)-(1.0))/((4.0)-(1.0))))+0.3*MIN(1,MAX(0,((IF(ISNUMBER(AO2),AO2,0)*100)-(0.0))/((8.0)-(0.0))))+0.2*MIN(1,MAX(0,((IF(ISNUMBER(AP2),AP2,0))-(25.0))/((5.0)-(25.0)))))</f>
        <v/>
      </c>
      <c r="BJ2" s="17">
        <f>100*(0.35*MIN(1,MAX(0,((ABS(AU2))-(0.3))/((0.05)-(0.3))))+0.3*MIN(1,MAX(0,((AV2)-(0.0))/((0.3)-(0.0))))+0.25*MIN(1,MAX(0,((AW2)-(0.4))/((0.7)-(0.4))))+0.1*IF(AY2&gt;=2,1,0.5))</f>
        <v/>
      </c>
      <c r="BK2" s="18">
        <f>0.25*BG2+0.25*BH2+0.2*BI2+0.3*BJ2</f>
        <v/>
      </c>
      <c r="BL2" s="5" t="inlineStr">
        <is>
          <t>全部通過</t>
        </is>
      </c>
      <c r="BM2" s="5" t="inlineStr"/>
    </row>
    <row r="3">
      <c r="A3" s="5" t="n">
        <v>1</v>
      </c>
      <c r="B3" s="5" t="n">
        <v>2</v>
      </c>
      <c r="C3" s="6" t="inlineStr">
        <is>
          <t>PPIH</t>
        </is>
      </c>
      <c r="D3" s="5" t="inlineStr">
        <is>
          <t>Perma-Pipe International Holdings Inc.</t>
        </is>
      </c>
      <c r="E3" s="5" t="inlineStr">
        <is>
          <t>NASDAQ</t>
        </is>
      </c>
      <c r="F3" s="5" t="inlineStr">
        <is>
          <t>工業</t>
        </is>
      </c>
      <c r="G3" s="5" t="inlineStr">
        <is>
          <t>Pollution Control Equipment</t>
        </is>
      </c>
      <c r="H3" s="7" t="n">
        <v>0.252</v>
      </c>
      <c r="I3" s="5" t="inlineStr">
        <is>
          <t>小型</t>
        </is>
      </c>
      <c r="J3" s="8" t="n">
        <v>31.32</v>
      </c>
      <c r="K3" s="8" t="n">
        <v>30.76</v>
      </c>
      <c r="L3" s="9">
        <f>J3/K3-1</f>
        <v/>
      </c>
      <c r="M3" s="8" t="n">
        <v>32.09</v>
      </c>
      <c r="N3" s="8" t="n">
        <v>30.5</v>
      </c>
      <c r="O3" s="10" t="n">
        <v>119300</v>
      </c>
      <c r="P3" s="10" t="n">
        <v>97670</v>
      </c>
      <c r="Q3" s="11">
        <f>O3/P3</f>
        <v/>
      </c>
      <c r="R3" s="8" t="n">
        <v>30.9909</v>
      </c>
      <c r="S3" s="8" t="n">
        <v>30.0983</v>
      </c>
      <c r="T3" s="8" t="n">
        <v>29.3367</v>
      </c>
      <c r="U3" s="9">
        <f>S3/T3-1</f>
        <v/>
      </c>
      <c r="V3" s="12" t="n">
        <v>1</v>
      </c>
      <c r="W3" s="9">
        <f>J3/R3-1</f>
        <v/>
      </c>
      <c r="X3" s="9">
        <f>J3/S3-1</f>
        <v/>
      </c>
      <c r="Y3" s="8" t="n">
        <v>1.0388</v>
      </c>
      <c r="Z3" s="13">
        <f>Y3/J3</f>
        <v/>
      </c>
      <c r="AA3" s="11">
        <f>(J3-R3)/Y3</f>
        <v/>
      </c>
      <c r="AB3" s="11">
        <f>(J3-S3)/Y3</f>
        <v/>
      </c>
      <c r="AC3" s="5">
        <f>IF(ABS(AA3)&lt;=ABS(AB3),"9EMA","21EMA")</f>
        <v/>
      </c>
      <c r="AD3" s="5" t="inlineStr">
        <is>
          <t>9EMA</t>
        </is>
      </c>
      <c r="AE3" s="5" t="inlineStr">
        <is>
          <t>持續在上方</t>
        </is>
      </c>
      <c r="AF3" s="5" t="inlineStr"/>
      <c r="AG3" s="5" t="inlineStr"/>
      <c r="AH3" s="5" t="inlineStr">
        <is>
          <t>✓</t>
        </is>
      </c>
      <c r="AI3" s="5" t="inlineStr">
        <is>
          <t>2026-08-10</t>
        </is>
      </c>
      <c r="AJ3" s="5" t="n">
        <v>37</v>
      </c>
      <c r="AK3" s="14" t="n">
        <v>4</v>
      </c>
      <c r="AL3" s="5" t="inlineStr">
        <is>
          <t>2026-09-23</t>
        </is>
      </c>
      <c r="AM3" s="8" t="n">
        <v>29.77</v>
      </c>
      <c r="AN3" s="8" t="n">
        <v>26.24</v>
      </c>
      <c r="AO3" s="9">
        <f>IF(ISNUMBER(AN3),AM3/AN3-1,"")</f>
        <v/>
      </c>
      <c r="AP3" s="14" t="n">
        <v>6</v>
      </c>
      <c r="AQ3" s="9">
        <f>IF(ISNUMBER(AM3),J3/AM3-1,"")</f>
        <v/>
      </c>
      <c r="AR3" s="8" t="n">
        <v>31.88</v>
      </c>
      <c r="AS3" s="9">
        <f>J3/AR3-1</f>
        <v/>
      </c>
      <c r="AT3" s="5" t="inlineStr">
        <is>
          <t>上升通道</t>
        </is>
      </c>
      <c r="AU3" s="15" t="n">
        <v>0.6924</v>
      </c>
      <c r="AV3" s="15" t="n">
        <v>0.663</v>
      </c>
      <c r="AW3" s="15" t="n">
        <v>0.5652</v>
      </c>
      <c r="AX3" s="15" t="n">
        <v>0.5654</v>
      </c>
      <c r="AY3" s="14" t="n">
        <v>4</v>
      </c>
      <c r="AZ3" s="8" t="n">
        <v>32.19</v>
      </c>
      <c r="BA3" s="8" t="n">
        <v>26.24</v>
      </c>
      <c r="BB3" s="8" t="n">
        <v>29.6027</v>
      </c>
      <c r="BC3" s="15" t="n">
        <v>0.6571</v>
      </c>
      <c r="BD3" s="11">
        <f>IF(M3=N3,0.5,(J3-N3)/(M3-N3))</f>
        <v/>
      </c>
      <c r="BE3" s="16" t="n">
        <v>20.754</v>
      </c>
      <c r="BF3" s="16" t="n">
        <v>16</v>
      </c>
      <c r="BG3" s="17">
        <f>100*(0.4*MIN(1,MAX(0,((U3*100)-(0.0))/((2.5)-(0.0))))+0.3*MIN(1,MAX(0,((V3)-(0.6))/((1.0)-(0.6))))+0.3*MIN(1,MAX(0,((BE3)-(0.0))/((15.0)-(0.0)))))</f>
        <v/>
      </c>
      <c r="BH3" s="17">
        <f>100*(0.4*MIN(1,MAX(0,((MIN(ABS(AA3),ABS(AB3)))-(0.75))/((0.0)-(0.75))))+0.3*MIN(1,MAX(0,((BC3)-(1.2))/((0.6)-(1.2))))+0.3*BD3)</f>
        <v/>
      </c>
      <c r="BI3" s="17">
        <f>100*(0.5*MIN(1,MAX(0,((AK3)-(1.0))/((4.0)-(1.0))))+0.3*MIN(1,MAX(0,((IF(ISNUMBER(AO3),AO3,0)*100)-(0.0))/((8.0)-(0.0))))+0.2*MIN(1,MAX(0,((IF(ISNUMBER(AP3),AP3,0))-(25.0))/((5.0)-(25.0)))))</f>
        <v/>
      </c>
      <c r="BJ3" s="17">
        <f>100*(0.35*MIN(1,MAX(0,((ABS(AU3))-(0.3))/((0.05)-(0.3))))+0.3*MIN(1,MAX(0,((AV3)-(0.0))/((0.3)-(0.0))))+0.25*MIN(1,MAX(0,((AW3)-(0.4))/((0.7)-(0.4))))+0.1*IF(AY3&gt;=2,1,0.5))</f>
        <v/>
      </c>
      <c r="BK3" s="18">
        <f>0.25*BG3+0.25*BH3+0.2*BI3+0.3*BJ3</f>
        <v/>
      </c>
      <c r="BL3" s="5" t="inlineStr">
        <is>
          <t>全部通過</t>
        </is>
      </c>
      <c r="BM3" s="5" t="inlineStr"/>
    </row>
    <row r="4">
      <c r="A4" s="5" t="n">
        <v>1</v>
      </c>
      <c r="B4" s="5" t="n">
        <v>3</v>
      </c>
      <c r="C4" s="6" t="inlineStr">
        <is>
          <t>MG</t>
        </is>
      </c>
      <c r="D4" s="5" t="inlineStr">
        <is>
          <t>Mistras Group Inc</t>
        </is>
      </c>
      <c r="E4" s="5" t="inlineStr">
        <is>
          <t>NYSE</t>
        </is>
      </c>
      <c r="F4" s="5" t="inlineStr">
        <is>
          <t>非必需消費</t>
        </is>
      </c>
      <c r="G4" s="5" t="inlineStr">
        <is>
          <t>Military/Government/Technical</t>
        </is>
      </c>
      <c r="H4" s="7" t="n">
        <v>0.671</v>
      </c>
      <c r="I4" s="5" t="inlineStr">
        <is>
          <t>小型</t>
        </is>
      </c>
      <c r="J4" s="8" t="n">
        <v>20.63</v>
      </c>
      <c r="K4" s="8" t="n">
        <v>21.06</v>
      </c>
      <c r="L4" s="9">
        <f>J4/K4-1</f>
        <v/>
      </c>
      <c r="M4" s="8" t="n">
        <v>21.37</v>
      </c>
      <c r="N4" s="8" t="n">
        <v>20.5</v>
      </c>
      <c r="O4" s="10" t="n">
        <v>483000</v>
      </c>
      <c r="P4" s="10" t="n">
        <v>513160</v>
      </c>
      <c r="Q4" s="11">
        <f>O4/P4</f>
        <v/>
      </c>
      <c r="R4" s="8" t="n">
        <v>20.9314</v>
      </c>
      <c r="S4" s="8" t="n">
        <v>20.319</v>
      </c>
      <c r="T4" s="8" t="n">
        <v>19.7914</v>
      </c>
      <c r="U4" s="9">
        <f>S4/T4-1</f>
        <v/>
      </c>
      <c r="V4" s="12" t="n">
        <v>1</v>
      </c>
      <c r="W4" s="9">
        <f>J4/R4-1</f>
        <v/>
      </c>
      <c r="X4" s="9">
        <f>J4/S4-1</f>
        <v/>
      </c>
      <c r="Y4" s="8" t="n">
        <v>0.6681</v>
      </c>
      <c r="Z4" s="13">
        <f>Y4/J4</f>
        <v/>
      </c>
      <c r="AA4" s="11">
        <f>(J4-R4)/Y4</f>
        <v/>
      </c>
      <c r="AB4" s="11">
        <f>(J4-S4)/Y4</f>
        <v/>
      </c>
      <c r="AC4" s="5">
        <f>IF(ABS(AA4)&lt;=ABS(AB4),"9EMA","21EMA")</f>
        <v/>
      </c>
      <c r="AD4" s="5" t="inlineStr">
        <is>
          <t>9EMA</t>
        </is>
      </c>
      <c r="AE4" s="5" t="inlineStr">
        <is>
          <t>持續在上方</t>
        </is>
      </c>
      <c r="AF4" s="5" t="inlineStr"/>
      <c r="AG4" s="5" t="inlineStr"/>
      <c r="AH4" s="5" t="inlineStr">
        <is>
          <t>✓</t>
        </is>
      </c>
      <c r="AI4" s="5" t="inlineStr">
        <is>
          <t>2026-08-11</t>
        </is>
      </c>
      <c r="AJ4" s="5" t="n">
        <v>36</v>
      </c>
      <c r="AK4" s="14" t="n">
        <v>4</v>
      </c>
      <c r="AL4" s="5" t="inlineStr">
        <is>
          <t>2026-09-23</t>
        </is>
      </c>
      <c r="AM4" s="8" t="n">
        <v>20.51</v>
      </c>
      <c r="AN4" s="8" t="n">
        <v>19.15</v>
      </c>
      <c r="AO4" s="9">
        <f>IF(ISNUMBER(AN4),AM4/AN4-1,"")</f>
        <v/>
      </c>
      <c r="AP4" s="14" t="n">
        <v>6</v>
      </c>
      <c r="AQ4" s="9">
        <f>IF(ISNUMBER(AM4),J4/AM4-1,"")</f>
        <v/>
      </c>
      <c r="AR4" s="8" t="n">
        <v>21.59</v>
      </c>
      <c r="AS4" s="9">
        <f>J4/AR4-1</f>
        <v/>
      </c>
      <c r="AT4" s="5" t="inlineStr">
        <is>
          <t>上升通道</t>
        </is>
      </c>
      <c r="AU4" s="15" t="n">
        <v>0.6921</v>
      </c>
      <c r="AV4" s="15" t="n">
        <v>0.7005</v>
      </c>
      <c r="AW4" s="15" t="n">
        <v>0.6205000000000001</v>
      </c>
      <c r="AX4" s="15" t="n">
        <v>0.6173</v>
      </c>
      <c r="AY4" s="14" t="n">
        <v>4</v>
      </c>
      <c r="AZ4" s="8" t="n">
        <v>21.77</v>
      </c>
      <c r="BA4" s="8" t="n">
        <v>18.17</v>
      </c>
      <c r="BB4" s="8" t="n">
        <v>20.4037</v>
      </c>
      <c r="BC4" s="15" t="n">
        <v>0.5202</v>
      </c>
      <c r="BD4" s="11">
        <f>IF(M4=N4,0.5,(J4-N4)/(M4-N4))</f>
        <v/>
      </c>
      <c r="BE4" s="16" t="n">
        <v>15.907</v>
      </c>
      <c r="BF4" s="16" t="n">
        <v>11.153</v>
      </c>
      <c r="BG4" s="17">
        <f>100*(0.4*MIN(1,MAX(0,((U4*100)-(0.0))/((2.5)-(0.0))))+0.3*MIN(1,MAX(0,((V4)-(0.6))/((1.0)-(0.6))))+0.3*MIN(1,MAX(0,((BE4)-(0.0))/((15.0)-(0.0)))))</f>
        <v/>
      </c>
      <c r="BH4" s="17">
        <f>100*(0.4*MIN(1,MAX(0,((MIN(ABS(AA4),ABS(AB4)))-(0.75))/((0.0)-(0.75))))+0.3*MIN(1,MAX(0,((BC4)-(1.2))/((0.6)-(1.2))))+0.3*BD4)</f>
        <v/>
      </c>
      <c r="BI4" s="17">
        <f>100*(0.5*MIN(1,MAX(0,((AK4)-(1.0))/((4.0)-(1.0))))+0.3*MIN(1,MAX(0,((IF(ISNUMBER(AO4),AO4,0)*100)-(0.0))/((8.0)-(0.0))))+0.2*MIN(1,MAX(0,((IF(ISNUMBER(AP4),AP4,0))-(25.0))/((5.0)-(25.0)))))</f>
        <v/>
      </c>
      <c r="BJ4" s="17">
        <f>100*(0.35*MIN(1,MAX(0,((ABS(AU4))-(0.3))/((0.05)-(0.3))))+0.3*MIN(1,MAX(0,((AV4)-(0.0))/((0.3)-(0.0))))+0.25*MIN(1,MAX(0,((AW4)-(0.4))/((0.7)-(0.4))))+0.1*IF(AY4&gt;=2,1,0.5))</f>
        <v/>
      </c>
      <c r="BK4" s="18">
        <f>0.25*BG4+0.25*BH4+0.2*BI4+0.3*BJ4</f>
        <v/>
      </c>
      <c r="BL4" s="5" t="inlineStr">
        <is>
          <t>全部通過</t>
        </is>
      </c>
      <c r="BM4" s="5" t="inlineStr"/>
    </row>
    <row r="5">
      <c r="A5" s="5" t="n">
        <v>1</v>
      </c>
      <c r="B5" s="5" t="n">
        <v>4</v>
      </c>
      <c r="C5" s="6" t="inlineStr">
        <is>
          <t>HNGE</t>
        </is>
      </c>
      <c r="D5" s="5" t="inlineStr">
        <is>
          <t>Hinge Health Inc.</t>
        </is>
      </c>
      <c r="E5" s="5" t="inlineStr">
        <is>
          <t>NYSE</t>
        </is>
      </c>
      <c r="F5" s="5" t="inlineStr">
        <is>
          <t>科技</t>
        </is>
      </c>
      <c r="G5" s="5" t="inlineStr">
        <is>
          <t>EDP Services</t>
        </is>
      </c>
      <c r="H5" s="7" t="n">
        <v>7.847</v>
      </c>
      <c r="I5" s="5" t="inlineStr">
        <is>
          <t>中型</t>
        </is>
      </c>
      <c r="J5" s="8" t="n">
        <v>97.94</v>
      </c>
      <c r="K5" s="8" t="n">
        <v>97.23999999999999</v>
      </c>
      <c r="L5" s="9">
        <f>J5/K5-1</f>
        <v/>
      </c>
      <c r="M5" s="8" t="n">
        <v>98.45999999999999</v>
      </c>
      <c r="N5" s="8" t="n">
        <v>96.325</v>
      </c>
      <c r="O5" s="10" t="n">
        <v>1415700</v>
      </c>
      <c r="P5" s="10" t="n">
        <v>1814210</v>
      </c>
      <c r="Q5" s="11">
        <f>O5/P5</f>
        <v/>
      </c>
      <c r="R5" s="8" t="n">
        <v>95.0834</v>
      </c>
      <c r="S5" s="8" t="n">
        <v>93.25700000000001</v>
      </c>
      <c r="T5" s="8" t="n">
        <v>91.66240000000001</v>
      </c>
      <c r="U5" s="9">
        <f>S5/T5-1</f>
        <v/>
      </c>
      <c r="V5" s="12" t="n">
        <v>1</v>
      </c>
      <c r="W5" s="9">
        <f>J5/R5-1</f>
        <v/>
      </c>
      <c r="X5" s="9">
        <f>J5/S5-1</f>
        <v/>
      </c>
      <c r="Y5" s="8" t="n">
        <v>4.1291</v>
      </c>
      <c r="Z5" s="13">
        <f>Y5/J5</f>
        <v/>
      </c>
      <c r="AA5" s="11">
        <f>(J5-R5)/Y5</f>
        <v/>
      </c>
      <c r="AB5" s="11">
        <f>(J5-S5)/Y5</f>
        <v/>
      </c>
      <c r="AC5" s="5">
        <f>IF(ABS(AA5)&lt;=ABS(AB5),"9EMA","21EMA")</f>
        <v/>
      </c>
      <c r="AD5" s="5" t="inlineStr">
        <is>
          <t>9+21EMA</t>
        </is>
      </c>
      <c r="AE5" s="5" t="inlineStr">
        <is>
          <t>持續在上方</t>
        </is>
      </c>
      <c r="AF5" s="5" t="inlineStr"/>
      <c r="AG5" s="5" t="inlineStr"/>
      <c r="AH5" s="5" t="inlineStr"/>
      <c r="AI5" s="5" t="inlineStr">
        <is>
          <t>2026-08-07</t>
        </is>
      </c>
      <c r="AJ5" s="5" t="n">
        <v>38</v>
      </c>
      <c r="AK5" s="14" t="n">
        <v>5</v>
      </c>
      <c r="AL5" s="5" t="inlineStr">
        <is>
          <t>2026-09-23</t>
        </is>
      </c>
      <c r="AM5" s="8" t="n">
        <v>89.75</v>
      </c>
      <c r="AN5" s="8" t="n">
        <v>86.29000000000001</v>
      </c>
      <c r="AO5" s="9">
        <f>IF(ISNUMBER(AN5),AM5/AN5-1,"")</f>
        <v/>
      </c>
      <c r="AP5" s="14" t="n">
        <v>6</v>
      </c>
      <c r="AQ5" s="9">
        <f>IF(ISNUMBER(AM5),J5/AM5-1,"")</f>
        <v/>
      </c>
      <c r="AR5" s="8" t="n">
        <v>97.94</v>
      </c>
      <c r="AS5" s="9">
        <f>J5/AR5-1</f>
        <v/>
      </c>
      <c r="AT5" s="5" t="inlineStr">
        <is>
          <t>上升三角（平頂）</t>
        </is>
      </c>
      <c r="AU5" s="15" t="n">
        <v>0.0795</v>
      </c>
      <c r="AV5" s="15" t="n">
        <v>0.2553</v>
      </c>
      <c r="AW5" s="15" t="n">
        <v>0.5456</v>
      </c>
      <c r="AX5" s="15" t="n">
        <v>0.5037</v>
      </c>
      <c r="AY5" s="14" t="n">
        <v>3</v>
      </c>
      <c r="AZ5" s="8" t="n">
        <v>98.45999999999999</v>
      </c>
      <c r="BA5" s="8" t="n">
        <v>85.75</v>
      </c>
      <c r="BB5" s="8" t="n">
        <v>92.68470000000001</v>
      </c>
      <c r="BC5" s="15" t="n">
        <v>0.721</v>
      </c>
      <c r="BD5" s="11">
        <f>IF(M5=N5,0.5,(J5-N5)/(M5-N5))</f>
        <v/>
      </c>
      <c r="BE5" s="16" t="n">
        <v>13.552</v>
      </c>
      <c r="BF5" s="16" t="n">
        <v>8.798</v>
      </c>
      <c r="BG5" s="17">
        <f>100*(0.4*MIN(1,MAX(0,((U5*100)-(0.0))/((2.5)-(0.0))))+0.3*MIN(1,MAX(0,((V5)-(0.6))/((1.0)-(0.6))))+0.3*MIN(1,MAX(0,((BE5)-(0.0))/((15.0)-(0.0)))))</f>
        <v/>
      </c>
      <c r="BH5" s="17">
        <f>100*(0.4*MIN(1,MAX(0,((MIN(ABS(AA5),ABS(AB5)))-(0.75))/((0.0)-(0.75))))+0.3*MIN(1,MAX(0,((BC5)-(1.2))/((0.6)-(1.2))))+0.3*BD5)</f>
        <v/>
      </c>
      <c r="BI5" s="17">
        <f>100*(0.5*MIN(1,MAX(0,((AK5)-(1.0))/((4.0)-(1.0))))+0.3*MIN(1,MAX(0,((IF(ISNUMBER(AO5),AO5,0)*100)-(0.0))/((8.0)-(0.0))))+0.2*MIN(1,MAX(0,((IF(ISNUMBER(AP5),AP5,0))-(25.0))/((5.0)-(25.0)))))</f>
        <v/>
      </c>
      <c r="BJ5" s="17">
        <f>100*(0.35*MIN(1,MAX(0,((ABS(AU5))-(0.3))/((0.05)-(0.3))))+0.3*MIN(1,MAX(0,((AV5)-(0.0))/((0.3)-(0.0))))+0.25*MIN(1,MAX(0,((AW5)-(0.4))/((0.7)-(0.4))))+0.1*IF(AY5&gt;=2,1,0.5))</f>
        <v/>
      </c>
      <c r="BK5" s="18">
        <f>0.25*BG5+0.25*BH5+0.2*BI5+0.3*BJ5</f>
        <v/>
      </c>
      <c r="BL5" s="5" t="inlineStr">
        <is>
          <t>全部通過</t>
        </is>
      </c>
      <c r="BM5" s="5" t="inlineStr"/>
    </row>
    <row r="6">
      <c r="A6" s="5" t="n">
        <v>1</v>
      </c>
      <c r="B6" s="5" t="n">
        <v>5</v>
      </c>
      <c r="C6" s="6" t="inlineStr">
        <is>
          <t>TTMI</t>
        </is>
      </c>
      <c r="D6" s="5" t="inlineStr">
        <is>
          <t>TTM Technologies Inc.</t>
        </is>
      </c>
      <c r="E6" s="5" t="inlineStr">
        <is>
          <t>NASDAQ</t>
        </is>
      </c>
      <c r="F6" s="5" t="inlineStr">
        <is>
          <t>科技</t>
        </is>
      </c>
      <c r="G6" s="5" t="inlineStr">
        <is>
          <t>Electrical Products</t>
        </is>
      </c>
      <c r="H6" s="7" t="n">
        <v>12.941</v>
      </c>
      <c r="I6" s="5" t="inlineStr">
        <is>
          <t>大型</t>
        </is>
      </c>
      <c r="J6" s="8" t="n">
        <v>126.5</v>
      </c>
      <c r="K6" s="8" t="n">
        <v>122.84</v>
      </c>
      <c r="L6" s="9">
        <f>J6/K6-1</f>
        <v/>
      </c>
      <c r="M6" s="8" t="n">
        <v>127.31</v>
      </c>
      <c r="N6" s="8" t="n">
        <v>119.77</v>
      </c>
      <c r="O6" s="10" t="n">
        <v>1783400</v>
      </c>
      <c r="P6" s="10" t="n">
        <v>1904120</v>
      </c>
      <c r="Q6" s="11">
        <f>O6/P6</f>
        <v/>
      </c>
      <c r="R6" s="8" t="n">
        <v>124.182</v>
      </c>
      <c r="S6" s="8" t="n">
        <v>123.1791</v>
      </c>
      <c r="T6" s="8" t="n">
        <v>122.0737</v>
      </c>
      <c r="U6" s="9">
        <f>S6/T6-1</f>
        <v/>
      </c>
      <c r="V6" s="12" t="n">
        <v>0.7</v>
      </c>
      <c r="W6" s="9">
        <f>J6/R6-1</f>
        <v/>
      </c>
      <c r="X6" s="9">
        <f>J6/S6-1</f>
        <v/>
      </c>
      <c r="Y6" s="8" t="n">
        <v>7.73</v>
      </c>
      <c r="Z6" s="13">
        <f>Y6/J6</f>
        <v/>
      </c>
      <c r="AA6" s="11">
        <f>(J6-R6)/Y6</f>
        <v/>
      </c>
      <c r="AB6" s="11">
        <f>(J6-S6)/Y6</f>
        <v/>
      </c>
      <c r="AC6" s="5">
        <f>IF(ABS(AA6)&lt;=ABS(AB6),"9EMA","21EMA")</f>
        <v/>
      </c>
      <c r="AD6" s="5" t="inlineStr">
        <is>
          <t>9+21EMA</t>
        </is>
      </c>
      <c r="AE6" s="5" t="inlineStr">
        <is>
          <t>持續在上方</t>
        </is>
      </c>
      <c r="AF6" s="5" t="inlineStr"/>
      <c r="AG6" s="5" t="inlineStr"/>
      <c r="AH6" s="5" t="inlineStr">
        <is>
          <t>✓</t>
        </is>
      </c>
      <c r="AI6" s="5" t="inlineStr">
        <is>
          <t>2026-09-23</t>
        </is>
      </c>
      <c r="AJ6" s="5" t="n">
        <v>6</v>
      </c>
      <c r="AK6" s="14" t="n">
        <v>5</v>
      </c>
      <c r="AL6" s="5" t="inlineStr">
        <is>
          <t>2026-09-28</t>
        </is>
      </c>
      <c r="AM6" s="8" t="n">
        <v>119.02</v>
      </c>
      <c r="AN6" s="8" t="n">
        <v>109.94</v>
      </c>
      <c r="AO6" s="9">
        <f>IF(ISNUMBER(AN6),AM6/AN6-1,"")</f>
        <v/>
      </c>
      <c r="AP6" s="14" t="n">
        <v>3</v>
      </c>
      <c r="AQ6" s="9">
        <f>IF(ISNUMBER(AM6),J6/AM6-1,"")</f>
        <v/>
      </c>
      <c r="AR6" s="8" t="n">
        <v>129.17</v>
      </c>
      <c r="AS6" s="9">
        <f>J6/AR6-1</f>
        <v/>
      </c>
      <c r="AT6" s="5" t="inlineStr">
        <is>
          <t>上升三角（平頂）</t>
        </is>
      </c>
      <c r="AU6" s="15" t="n">
        <v>0.0437</v>
      </c>
      <c r="AV6" s="15" t="n">
        <v>0.4842</v>
      </c>
      <c r="AW6" s="15" t="n">
        <v>0.5077</v>
      </c>
      <c r="AX6" s="15" t="n">
        <v>0.5551</v>
      </c>
      <c r="AY6" s="14" t="n">
        <v>1</v>
      </c>
      <c r="AZ6" s="8" t="n">
        <v>133.77</v>
      </c>
      <c r="BA6" s="8" t="n">
        <v>109.53</v>
      </c>
      <c r="BB6" s="8" t="n">
        <v>121.8359</v>
      </c>
      <c r="BC6" s="15" t="n">
        <v>0.8119</v>
      </c>
      <c r="BD6" s="11">
        <f>IF(M6=N6,0.5,(J6-N6)/(M6-N6))</f>
        <v/>
      </c>
      <c r="BE6" s="16" t="n">
        <v>14.439</v>
      </c>
      <c r="BF6" s="16" t="n">
        <v>9.685</v>
      </c>
      <c r="BG6" s="17">
        <f>100*(0.4*MIN(1,MAX(0,((U6*100)-(0.0))/((2.5)-(0.0))))+0.3*MIN(1,MAX(0,((V6)-(0.6))/((1.0)-(0.6))))+0.3*MIN(1,MAX(0,((BE6)-(0.0))/((15.0)-(0.0)))))</f>
        <v/>
      </c>
      <c r="BH6" s="17">
        <f>100*(0.4*MIN(1,MAX(0,((MIN(ABS(AA6),ABS(AB6)))-(0.75))/((0.0)-(0.75))))+0.3*MIN(1,MAX(0,((BC6)-(1.2))/((0.6)-(1.2))))+0.3*BD6)</f>
        <v/>
      </c>
      <c r="BI6" s="17">
        <f>100*(0.5*MIN(1,MAX(0,((AK6)-(1.0))/((4.0)-(1.0))))+0.3*MIN(1,MAX(0,((IF(ISNUMBER(AO6),AO6,0)*100)-(0.0))/((8.0)-(0.0))))+0.2*MIN(1,MAX(0,((IF(ISNUMBER(AP6),AP6,0))-(25.0))/((5.0)-(25.0)))))</f>
        <v/>
      </c>
      <c r="BJ6" s="17">
        <f>100*(0.35*MIN(1,MAX(0,((ABS(AU6))-(0.3))/((0.05)-(0.3))))+0.3*MIN(1,MAX(0,((AV6)-(0.0))/((0.3)-(0.0))))+0.25*MIN(1,MAX(0,((AW6)-(0.4))/((0.7)-(0.4))))+0.1*IF(AY6&gt;=2,1,0.5))</f>
        <v/>
      </c>
      <c r="BK6" s="18">
        <f>0.25*BG6+0.25*BH6+0.2*BI6+0.3*BJ6</f>
        <v/>
      </c>
      <c r="BL6" s="5" t="inlineStr">
        <is>
          <t>全部通過</t>
        </is>
      </c>
      <c r="BM6" s="5" t="inlineStr"/>
    </row>
    <row r="7">
      <c r="A7" s="5" t="n">
        <v>1</v>
      </c>
      <c r="B7" s="5" t="n">
        <v>6</v>
      </c>
      <c r="C7" s="6" t="inlineStr">
        <is>
          <t>NVAX</t>
        </is>
      </c>
      <c r="D7" s="5" t="inlineStr">
        <is>
          <t>Novavax Inc.</t>
        </is>
      </c>
      <c r="E7" s="5" t="inlineStr">
        <is>
          <t>NASDAQ</t>
        </is>
      </c>
      <c r="F7" s="5" t="inlineStr">
        <is>
          <t>醫療保健</t>
        </is>
      </c>
      <c r="G7" s="5" t="inlineStr">
        <is>
          <t>Biotechnology: Biological Products (No Diagnostic Substances)</t>
        </is>
      </c>
      <c r="H7" s="7" t="n">
        <v>1.783</v>
      </c>
      <c r="I7" s="5" t="inlineStr">
        <is>
          <t>小型</t>
        </is>
      </c>
      <c r="J7" s="8" t="n">
        <v>10.6</v>
      </c>
      <c r="K7" s="8" t="n">
        <v>10.81</v>
      </c>
      <c r="L7" s="9">
        <f>J7/K7-1</f>
        <v/>
      </c>
      <c r="M7" s="8" t="n">
        <v>10.98</v>
      </c>
      <c r="N7" s="8" t="n">
        <v>10.55</v>
      </c>
      <c r="O7" s="10" t="n">
        <v>3147200</v>
      </c>
      <c r="P7" s="10" t="n">
        <v>5277710</v>
      </c>
      <c r="Q7" s="11">
        <f>O7/P7</f>
        <v/>
      </c>
      <c r="R7" s="8" t="n">
        <v>10.5668</v>
      </c>
      <c r="S7" s="8" t="n">
        <v>10.1617</v>
      </c>
      <c r="T7" s="8" t="n">
        <v>9.814500000000001</v>
      </c>
      <c r="U7" s="9">
        <f>S7/T7-1</f>
        <v/>
      </c>
      <c r="V7" s="12" t="n">
        <v>1</v>
      </c>
      <c r="W7" s="9">
        <f>J7/R7-1</f>
        <v/>
      </c>
      <c r="X7" s="9">
        <f>J7/S7-1</f>
        <v/>
      </c>
      <c r="Y7" s="8" t="n">
        <v>0.5687</v>
      </c>
      <c r="Z7" s="13">
        <f>Y7/J7</f>
        <v/>
      </c>
      <c r="AA7" s="11">
        <f>(J7-R7)/Y7</f>
        <v/>
      </c>
      <c r="AB7" s="11">
        <f>(J7-S7)/Y7</f>
        <v/>
      </c>
      <c r="AC7" s="5">
        <f>IF(ABS(AA7)&lt;=ABS(AB7),"9EMA","21EMA")</f>
        <v/>
      </c>
      <c r="AD7" s="5" t="inlineStr">
        <is>
          <t>9EMA</t>
        </is>
      </c>
      <c r="AE7" s="5" t="inlineStr">
        <is>
          <t>持續在上方</t>
        </is>
      </c>
      <c r="AF7" s="5" t="inlineStr"/>
      <c r="AG7" s="5" t="inlineStr"/>
      <c r="AH7" s="5" t="inlineStr">
        <is>
          <t>✓</t>
        </is>
      </c>
      <c r="AI7" s="5" t="inlineStr">
        <is>
          <t>2026-08-19</t>
        </is>
      </c>
      <c r="AJ7" s="5" t="n">
        <v>30</v>
      </c>
      <c r="AK7" s="14" t="n">
        <v>5</v>
      </c>
      <c r="AL7" s="5" t="inlineStr">
        <is>
          <t>2026-09-28</t>
        </is>
      </c>
      <c r="AM7" s="8" t="n">
        <v>10.26</v>
      </c>
      <c r="AN7" s="8" t="n">
        <v>9.109999999999999</v>
      </c>
      <c r="AO7" s="9">
        <f>IF(ISNUMBER(AN7),AM7/AN7-1,"")</f>
        <v/>
      </c>
      <c r="AP7" s="14" t="n">
        <v>3</v>
      </c>
      <c r="AQ7" s="9">
        <f>IF(ISNUMBER(AM7),J7/AM7-1,"")</f>
        <v/>
      </c>
      <c r="AR7" s="8" t="n">
        <v>10.83</v>
      </c>
      <c r="AS7" s="9">
        <f>J7/AR7-1</f>
        <v/>
      </c>
      <c r="AT7" s="5" t="inlineStr">
        <is>
          <t>上傾收窄（楔形）</t>
        </is>
      </c>
      <c r="AU7" s="15" t="n">
        <v>0.2916</v>
      </c>
      <c r="AV7" s="15" t="n">
        <v>0.6666</v>
      </c>
      <c r="AW7" s="15" t="n">
        <v>0.5422</v>
      </c>
      <c r="AX7" s="15" t="n">
        <v>0.5863</v>
      </c>
      <c r="AY7" s="14" t="n">
        <v>6</v>
      </c>
      <c r="AZ7" s="8" t="n">
        <v>11.11</v>
      </c>
      <c r="BA7" s="8" t="n">
        <v>8.890000000000001</v>
      </c>
      <c r="BB7" s="8" t="n">
        <v>10.0936</v>
      </c>
      <c r="BC7" s="15" t="n">
        <v>0.7553</v>
      </c>
      <c r="BD7" s="11">
        <f>IF(M7=N7,0.5,(J7-N7)/(M7-N7))</f>
        <v/>
      </c>
      <c r="BE7" s="16" t="n">
        <v>9.497</v>
      </c>
      <c r="BF7" s="16" t="n">
        <v>4.743</v>
      </c>
      <c r="BG7" s="17">
        <f>100*(0.4*MIN(1,MAX(0,((U7*100)-(0.0))/((2.5)-(0.0))))+0.3*MIN(1,MAX(0,((V7)-(0.6))/((1.0)-(0.6))))+0.3*MIN(1,MAX(0,((BE7)-(0.0))/((15.0)-(0.0)))))</f>
        <v/>
      </c>
      <c r="BH7" s="17">
        <f>100*(0.4*MIN(1,MAX(0,((MIN(ABS(AA7),ABS(AB7)))-(0.75))/((0.0)-(0.75))))+0.3*MIN(1,MAX(0,((BC7)-(1.2))/((0.6)-(1.2))))+0.3*BD7)</f>
        <v/>
      </c>
      <c r="BI7" s="17">
        <f>100*(0.5*MIN(1,MAX(0,((AK7)-(1.0))/((4.0)-(1.0))))+0.3*MIN(1,MAX(0,((IF(ISNUMBER(AO7),AO7,0)*100)-(0.0))/((8.0)-(0.0))))+0.2*MIN(1,MAX(0,((IF(ISNUMBER(AP7),AP7,0))-(25.0))/((5.0)-(25.0)))))</f>
        <v/>
      </c>
      <c r="BJ7" s="17">
        <f>100*(0.35*MIN(1,MAX(0,((ABS(AU7))-(0.3))/((0.05)-(0.3))))+0.3*MIN(1,MAX(0,((AV7)-(0.0))/((0.3)-(0.0))))+0.25*MIN(1,MAX(0,((AW7)-(0.4))/((0.7)-(0.4))))+0.1*IF(AY7&gt;=2,1,0.5))</f>
        <v/>
      </c>
      <c r="BK7" s="18">
        <f>0.25*BG7+0.25*BH7+0.2*BI7+0.3*BJ7</f>
        <v/>
      </c>
      <c r="BL7" s="5" t="inlineStr">
        <is>
          <t>全部通過</t>
        </is>
      </c>
      <c r="BM7" s="5" t="inlineStr"/>
    </row>
    <row r="8">
      <c r="A8" s="5" t="n">
        <v>1</v>
      </c>
      <c r="B8" s="5" t="n">
        <v>7</v>
      </c>
      <c r="C8" s="6" t="inlineStr">
        <is>
          <t>FRNM</t>
        </is>
      </c>
      <c r="D8" s="5" t="inlineStr">
        <is>
          <t>Freenome Inc. Common stock</t>
        </is>
      </c>
      <c r="E8" s="5" t="inlineStr">
        <is>
          <t>NASDAQ</t>
        </is>
      </c>
      <c r="F8" s="5" t="inlineStr">
        <is>
          <t>醫療保健</t>
        </is>
      </c>
      <c r="G8" s="5" t="inlineStr">
        <is>
          <t>Medical Specialities</t>
        </is>
      </c>
      <c r="H8" s="7" t="n">
        <v>1.692</v>
      </c>
      <c r="I8" s="5" t="inlineStr">
        <is>
          <t>小型</t>
        </is>
      </c>
      <c r="J8" s="8" t="n">
        <v>15.64</v>
      </c>
      <c r="K8" s="8" t="n">
        <v>15.75</v>
      </c>
      <c r="L8" s="9">
        <f>J8/K8-1</f>
        <v/>
      </c>
      <c r="M8" s="8" t="n">
        <v>16.4</v>
      </c>
      <c r="N8" s="8" t="n">
        <v>15.6</v>
      </c>
      <c r="O8" s="10" t="n">
        <v>586000</v>
      </c>
      <c r="P8" s="10" t="n">
        <v>861365</v>
      </c>
      <c r="Q8" s="11">
        <f>O8/P8</f>
        <v/>
      </c>
      <c r="R8" s="8" t="n">
        <v>15.8676</v>
      </c>
      <c r="S8" s="8" t="n">
        <v>15.5117</v>
      </c>
      <c r="T8" s="8" t="n">
        <v>15.2893</v>
      </c>
      <c r="U8" s="9">
        <f>S8/T8-1</f>
        <v/>
      </c>
      <c r="V8" s="12" t="n">
        <v>1</v>
      </c>
      <c r="W8" s="9">
        <f>J8/R8-1</f>
        <v/>
      </c>
      <c r="X8" s="9">
        <f>J8/S8-1</f>
        <v/>
      </c>
      <c r="Y8" s="8" t="n">
        <v>0.8875</v>
      </c>
      <c r="Z8" s="13">
        <f>Y8/J8</f>
        <v/>
      </c>
      <c r="AA8" s="11">
        <f>(J8-R8)/Y8</f>
        <v/>
      </c>
      <c r="AB8" s="11">
        <f>(J8-S8)/Y8</f>
        <v/>
      </c>
      <c r="AC8" s="5">
        <f>IF(ABS(AA8)&lt;=ABS(AB8),"9EMA","21EMA")</f>
        <v/>
      </c>
      <c r="AD8" s="5" t="inlineStr">
        <is>
          <t>9+21EMA</t>
        </is>
      </c>
      <c r="AE8" s="5" t="inlineStr">
        <is>
          <t>持續在上方</t>
        </is>
      </c>
      <c r="AF8" s="5" t="inlineStr"/>
      <c r="AG8" s="5" t="inlineStr">
        <is>
          <t>✓</t>
        </is>
      </c>
      <c r="AH8" s="5" t="inlineStr"/>
      <c r="AI8" s="5" t="inlineStr">
        <is>
          <t>2026-08-11</t>
        </is>
      </c>
      <c r="AJ8" s="5" t="n">
        <v>36</v>
      </c>
      <c r="AK8" s="14" t="n">
        <v>4</v>
      </c>
      <c r="AL8" s="5" t="inlineStr">
        <is>
          <t>2026-09-24</t>
        </is>
      </c>
      <c r="AM8" s="8" t="n">
        <v>15.28</v>
      </c>
      <c r="AN8" s="8" t="n">
        <v>14.25</v>
      </c>
      <c r="AO8" s="9">
        <f>IF(ISNUMBER(AN8),AM8/AN8-1,"")</f>
        <v/>
      </c>
      <c r="AP8" s="14" t="n">
        <v>5</v>
      </c>
      <c r="AQ8" s="9">
        <f>IF(ISNUMBER(AM8),J8/AM8-1,"")</f>
        <v/>
      </c>
      <c r="AR8" s="8" t="n">
        <v>17.11</v>
      </c>
      <c r="AS8" s="9">
        <f>J8/AR8-1</f>
        <v/>
      </c>
      <c r="AT8" s="5" t="inlineStr">
        <is>
          <t>上傾收窄（楔形）</t>
        </is>
      </c>
      <c r="AU8" s="15" t="n">
        <v>0.2078</v>
      </c>
      <c r="AV8" s="15" t="n">
        <v>0.8232</v>
      </c>
      <c r="AW8" s="15" t="n">
        <v>0.588</v>
      </c>
      <c r="AX8" s="15" t="n">
        <v>0.637</v>
      </c>
      <c r="AY8" s="14" t="n">
        <v>2</v>
      </c>
      <c r="AZ8" s="8" t="n">
        <v>17.5</v>
      </c>
      <c r="BA8" s="8" t="n">
        <v>13.76</v>
      </c>
      <c r="BB8" s="8" t="n">
        <v>15.9592</v>
      </c>
      <c r="BC8" s="15" t="n">
        <v>0.237</v>
      </c>
      <c r="BD8" s="11">
        <f>IF(M8=N8,0.5,(J8-N8)/(M8-N8))</f>
        <v/>
      </c>
      <c r="BE8" s="16" t="n">
        <v>7.312</v>
      </c>
      <c r="BF8" s="16" t="n">
        <v>2.557</v>
      </c>
      <c r="BG8" s="17">
        <f>100*(0.4*MIN(1,MAX(0,((U8*100)-(0.0))/((2.5)-(0.0))))+0.3*MIN(1,MAX(0,((V8)-(0.6))/((1.0)-(0.6))))+0.3*MIN(1,MAX(0,((BE8)-(0.0))/((15.0)-(0.0)))))</f>
        <v/>
      </c>
      <c r="BH8" s="17">
        <f>100*(0.4*MIN(1,MAX(0,((MIN(ABS(AA8),ABS(AB8)))-(0.75))/((0.0)-(0.75))))+0.3*MIN(1,MAX(0,((BC8)-(1.2))/((0.6)-(1.2))))+0.3*BD8)</f>
        <v/>
      </c>
      <c r="BI8" s="17">
        <f>100*(0.5*MIN(1,MAX(0,((AK8)-(1.0))/((4.0)-(1.0))))+0.3*MIN(1,MAX(0,((IF(ISNUMBER(AO8),AO8,0)*100)-(0.0))/((8.0)-(0.0))))+0.2*MIN(1,MAX(0,((IF(ISNUMBER(AP8),AP8,0))-(25.0))/((5.0)-(25.0)))))</f>
        <v/>
      </c>
      <c r="BJ8" s="17">
        <f>100*(0.35*MIN(1,MAX(0,((ABS(AU8))-(0.3))/((0.05)-(0.3))))+0.3*MIN(1,MAX(0,((AV8)-(0.0))/((0.3)-(0.0))))+0.25*MIN(1,MAX(0,((AW8)-(0.4))/((0.7)-(0.4))))+0.1*IF(AY8&gt;=2,1,0.5))</f>
        <v/>
      </c>
      <c r="BK8" s="18">
        <f>0.25*BG8+0.25*BH8+0.2*BI8+0.3*BJ8</f>
        <v/>
      </c>
      <c r="BL8" s="5" t="inlineStr">
        <is>
          <t>全部通過</t>
        </is>
      </c>
      <c r="BM8" s="5" t="inlineStr"/>
    </row>
    <row r="9">
      <c r="A9" s="5" t="n">
        <v>1</v>
      </c>
      <c r="B9" s="5" t="n">
        <v>8</v>
      </c>
      <c r="C9" s="6" t="inlineStr">
        <is>
          <t>NET</t>
        </is>
      </c>
      <c r="D9" s="5" t="inlineStr">
        <is>
          <t>Cloudflare Inc.</t>
        </is>
      </c>
      <c r="E9" s="5" t="inlineStr">
        <is>
          <t>NYSE</t>
        </is>
      </c>
      <c r="F9" s="5" t="inlineStr">
        <is>
          <t>科技</t>
        </is>
      </c>
      <c r="G9" s="5" t="inlineStr">
        <is>
          <t>Computer Software: Prepackaged Software</t>
        </is>
      </c>
      <c r="H9" s="7" t="n">
        <v>123.659</v>
      </c>
      <c r="I9" s="5" t="inlineStr">
        <is>
          <t>大型</t>
        </is>
      </c>
      <c r="J9" s="8" t="n">
        <v>351</v>
      </c>
      <c r="K9" s="8" t="n">
        <v>347.28</v>
      </c>
      <c r="L9" s="9">
        <f>J9/K9-1</f>
        <v/>
      </c>
      <c r="M9" s="8" t="n">
        <v>353.84</v>
      </c>
      <c r="N9" s="8" t="n">
        <v>342.11</v>
      </c>
      <c r="O9" s="10" t="n">
        <v>2774300</v>
      </c>
      <c r="P9" s="10" t="n">
        <v>3118820</v>
      </c>
      <c r="Q9" s="11">
        <f>O9/P9</f>
        <v/>
      </c>
      <c r="R9" s="8" t="n">
        <v>346.9575</v>
      </c>
      <c r="S9" s="8" t="n">
        <v>332.7633</v>
      </c>
      <c r="T9" s="8" t="n">
        <v>321.8414</v>
      </c>
      <c r="U9" s="9">
        <f>S9/T9-1</f>
        <v/>
      </c>
      <c r="V9" s="12" t="n">
        <v>1</v>
      </c>
      <c r="W9" s="9">
        <f>J9/R9-1</f>
        <v/>
      </c>
      <c r="X9" s="9">
        <f>J9/S9-1</f>
        <v/>
      </c>
      <c r="Y9" s="8" t="n">
        <v>16.4744</v>
      </c>
      <c r="Z9" s="13">
        <f>Y9/J9</f>
        <v/>
      </c>
      <c r="AA9" s="11">
        <f>(J9-R9)/Y9</f>
        <v/>
      </c>
      <c r="AB9" s="11">
        <f>(J9-S9)/Y9</f>
        <v/>
      </c>
      <c r="AC9" s="5">
        <f>IF(ABS(AA9)&lt;=ABS(AB9),"9EMA","21EMA")</f>
        <v/>
      </c>
      <c r="AD9" s="5" t="inlineStr">
        <is>
          <t>9EMA</t>
        </is>
      </c>
      <c r="AE9" s="5" t="inlineStr">
        <is>
          <t>持續在上方</t>
        </is>
      </c>
      <c r="AF9" s="5" t="inlineStr"/>
      <c r="AG9" s="5" t="inlineStr"/>
      <c r="AH9" s="5" t="inlineStr">
        <is>
          <t>✓</t>
        </is>
      </c>
      <c r="AI9" s="5" t="inlineStr">
        <is>
          <t>2026-09-09</t>
        </is>
      </c>
      <c r="AJ9" s="5" t="n">
        <v>16</v>
      </c>
      <c r="AK9" s="14" t="n">
        <v>3</v>
      </c>
      <c r="AL9" s="5" t="inlineStr">
        <is>
          <t>2026-09-28</t>
        </is>
      </c>
      <c r="AM9" s="8" t="n">
        <v>338.67</v>
      </c>
      <c r="AN9" s="8" t="n">
        <v>313.5</v>
      </c>
      <c r="AO9" s="9">
        <f>IF(ISNUMBER(AN9),AM9/AN9-1,"")</f>
        <v/>
      </c>
      <c r="AP9" s="14" t="n">
        <v>3</v>
      </c>
      <c r="AQ9" s="9">
        <f>IF(ISNUMBER(AM9),J9/AM9-1,"")</f>
        <v/>
      </c>
      <c r="AR9" s="8" t="n">
        <v>358.82</v>
      </c>
      <c r="AS9" s="9">
        <f>J9/AR9-1</f>
        <v/>
      </c>
      <c r="AT9" s="5" t="inlineStr">
        <is>
          <t>上傾收窄（楔形）</t>
        </is>
      </c>
      <c r="AU9" s="15" t="n">
        <v>0.8682</v>
      </c>
      <c r="AV9" s="15" t="n">
        <v>1.1604</v>
      </c>
      <c r="AW9" s="15" t="n">
        <v>0.5481</v>
      </c>
      <c r="AX9" s="15" t="n">
        <v>0.5848</v>
      </c>
      <c r="AY9" s="14" t="n">
        <v>3</v>
      </c>
      <c r="AZ9" s="8" t="n">
        <v>367.43</v>
      </c>
      <c r="BA9" s="8" t="n">
        <v>269.3</v>
      </c>
      <c r="BB9" s="8" t="n">
        <v>323.0821</v>
      </c>
      <c r="BC9" s="15" t="n">
        <v>0.9639</v>
      </c>
      <c r="BD9" s="11">
        <f>IF(M9=N9,0.5,(J9-N9)/(M9-N9))</f>
        <v/>
      </c>
      <c r="BE9" s="16" t="n">
        <v>27.692</v>
      </c>
      <c r="BF9" s="16" t="n">
        <v>22.938</v>
      </c>
      <c r="BG9" s="17">
        <f>100*(0.4*MIN(1,MAX(0,((U9*100)-(0.0))/((2.5)-(0.0))))+0.3*MIN(1,MAX(0,((V9)-(0.6))/((1.0)-(0.6))))+0.3*MIN(1,MAX(0,((BE9)-(0.0))/((15.0)-(0.0)))))</f>
        <v/>
      </c>
      <c r="BH9" s="17">
        <f>100*(0.4*MIN(1,MAX(0,((MIN(ABS(AA9),ABS(AB9)))-(0.75))/((0.0)-(0.75))))+0.3*MIN(1,MAX(0,((BC9)-(1.2))/((0.6)-(1.2))))+0.3*BD9)</f>
        <v/>
      </c>
      <c r="BI9" s="17">
        <f>100*(0.5*MIN(1,MAX(0,((AK9)-(1.0))/((4.0)-(1.0))))+0.3*MIN(1,MAX(0,((IF(ISNUMBER(AO9),AO9,0)*100)-(0.0))/((8.0)-(0.0))))+0.2*MIN(1,MAX(0,((IF(ISNUMBER(AP9),AP9,0))-(25.0))/((5.0)-(25.0)))))</f>
        <v/>
      </c>
      <c r="BJ9" s="17">
        <f>100*(0.35*MIN(1,MAX(0,((ABS(AU9))-(0.3))/((0.05)-(0.3))))+0.3*MIN(1,MAX(0,((AV9)-(0.0))/((0.3)-(0.0))))+0.25*MIN(1,MAX(0,((AW9)-(0.4))/((0.7)-(0.4))))+0.1*IF(AY9&gt;=2,1,0.5))</f>
        <v/>
      </c>
      <c r="BK9" s="18">
        <f>0.25*BG9+0.25*BH9+0.2*BI9+0.3*BJ9</f>
        <v/>
      </c>
      <c r="BL9" s="5" t="inlineStr">
        <is>
          <t>全部通過</t>
        </is>
      </c>
      <c r="BM9" s="5" t="inlineStr"/>
    </row>
    <row r="10">
      <c r="A10" s="5" t="n">
        <v>1</v>
      </c>
      <c r="B10" s="5" t="n">
        <v>9</v>
      </c>
      <c r="C10" s="6" t="inlineStr">
        <is>
          <t>MTSI</t>
        </is>
      </c>
      <c r="D10" s="5" t="inlineStr">
        <is>
          <t>MACOM Technology Solutions Holdings Inc.</t>
        </is>
      </c>
      <c r="E10" s="5" t="inlineStr">
        <is>
          <t>NASDAQ</t>
        </is>
      </c>
      <c r="F10" s="5" t="inlineStr">
        <is>
          <t>科技</t>
        </is>
      </c>
      <c r="G10" s="5" t="inlineStr">
        <is>
          <t>Semiconductors</t>
        </is>
      </c>
      <c r="H10" s="7" t="n">
        <v>21.752</v>
      </c>
      <c r="I10" s="5" t="inlineStr">
        <is>
          <t>大型</t>
        </is>
      </c>
      <c r="J10" s="8" t="n">
        <v>301.63</v>
      </c>
      <c r="K10" s="8" t="n">
        <v>284.82</v>
      </c>
      <c r="L10" s="9">
        <f>J10/K10-1</f>
        <v/>
      </c>
      <c r="M10" s="8" t="n">
        <v>304.29</v>
      </c>
      <c r="N10" s="8" t="n">
        <v>283.59</v>
      </c>
      <c r="O10" s="10" t="n">
        <v>1174700</v>
      </c>
      <c r="P10" s="10" t="n">
        <v>1335305</v>
      </c>
      <c r="Q10" s="11">
        <f>O10/P10</f>
        <v/>
      </c>
      <c r="R10" s="8" t="n">
        <v>283.7348</v>
      </c>
      <c r="S10" s="8" t="n">
        <v>277.7225</v>
      </c>
      <c r="T10" s="8" t="n">
        <v>271.6084</v>
      </c>
      <c r="U10" s="9">
        <f>S10/T10-1</f>
        <v/>
      </c>
      <c r="V10" s="12" t="n">
        <v>1</v>
      </c>
      <c r="W10" s="9">
        <f>J10/R10-1</f>
        <v/>
      </c>
      <c r="X10" s="9">
        <f>J10/S10-1</f>
        <v/>
      </c>
      <c r="Y10" s="8" t="n">
        <v>14.0183</v>
      </c>
      <c r="Z10" s="13">
        <f>Y10/J10</f>
        <v/>
      </c>
      <c r="AA10" s="11">
        <f>(J10-R10)/Y10</f>
        <v/>
      </c>
      <c r="AB10" s="11">
        <f>(J10-S10)/Y10</f>
        <v/>
      </c>
      <c r="AC10" s="5">
        <f>IF(ABS(AA10)&lt;=ABS(AB10),"9EMA","21EMA")</f>
        <v/>
      </c>
      <c r="AD10" s="5" t="inlineStr">
        <is>
          <t>9EMA</t>
        </is>
      </c>
      <c r="AE10" s="5" t="inlineStr">
        <is>
          <t>持續在上方</t>
        </is>
      </c>
      <c r="AF10" s="5" t="inlineStr"/>
      <c r="AG10" s="5" t="inlineStr"/>
      <c r="AH10" s="5" t="inlineStr"/>
      <c r="AI10" s="5" t="inlineStr">
        <is>
          <t>2026-09-23</t>
        </is>
      </c>
      <c r="AJ10" s="5" t="n">
        <v>6</v>
      </c>
      <c r="AK10" s="14" t="n">
        <v>2</v>
      </c>
      <c r="AL10" s="5" t="inlineStr">
        <is>
          <t>2026-09-24</t>
        </is>
      </c>
      <c r="AM10" s="8" t="n">
        <v>266.42</v>
      </c>
      <c r="AN10" s="8" t="n">
        <v>235.63</v>
      </c>
      <c r="AO10" s="9">
        <f>IF(ISNUMBER(AN10),AM10/AN10-1,"")</f>
        <v/>
      </c>
      <c r="AP10" s="14" t="n">
        <v>5</v>
      </c>
      <c r="AQ10" s="9">
        <f>IF(ISNUMBER(AM10),J10/AM10-1,"")</f>
        <v/>
      </c>
      <c r="AR10" s="8" t="n">
        <v>301.63</v>
      </c>
      <c r="AS10" s="9">
        <f>J10/AR10-1</f>
        <v/>
      </c>
      <c r="AT10" s="5" t="inlineStr">
        <is>
          <t>上升三角（平頂）</t>
        </is>
      </c>
      <c r="AU10" s="15" t="n">
        <v>0.0303</v>
      </c>
      <c r="AV10" s="15" t="n">
        <v>0.5106000000000001</v>
      </c>
      <c r="AW10" s="15" t="n">
        <v>0.5158</v>
      </c>
      <c r="AX10" s="15" t="n">
        <v>0.5068</v>
      </c>
      <c r="AY10" s="14" t="n">
        <v>1</v>
      </c>
      <c r="AZ10" s="8" t="n">
        <v>304.29</v>
      </c>
      <c r="BA10" s="8" t="n">
        <v>235.63</v>
      </c>
      <c r="BB10" s="8" t="n">
        <v>271.0477</v>
      </c>
      <c r="BC10" s="15" t="n">
        <v>0.8119</v>
      </c>
      <c r="BD10" s="11">
        <f>IF(M10=N10,0.5,(J10-N10)/(M10-N10))</f>
        <v/>
      </c>
      <c r="BE10" s="16" t="n">
        <v>19.876</v>
      </c>
      <c r="BF10" s="16" t="n">
        <v>15.122</v>
      </c>
      <c r="BG10" s="17">
        <f>100*(0.4*MIN(1,MAX(0,((U10*100)-(0.0))/((2.5)-(0.0))))+0.3*MIN(1,MAX(0,((V10)-(0.6))/((1.0)-(0.6))))+0.3*MIN(1,MAX(0,((BE10)-(0.0))/((15.0)-(0.0)))))</f>
        <v/>
      </c>
      <c r="BH10" s="17">
        <f>100*(0.4*MIN(1,MAX(0,((MIN(ABS(AA10),ABS(AB10)))-(0.75))/((0.0)-(0.75))))+0.3*MIN(1,MAX(0,((BC10)-(1.2))/((0.6)-(1.2))))+0.3*BD10)</f>
        <v/>
      </c>
      <c r="BI10" s="17">
        <f>100*(0.5*MIN(1,MAX(0,((AK10)-(1.0))/((4.0)-(1.0))))+0.3*MIN(1,MAX(0,((IF(ISNUMBER(AO10),AO10,0)*100)-(0.0))/((8.0)-(0.0))))+0.2*MIN(1,MAX(0,((IF(ISNUMBER(AP10),AP10,0))-(25.0))/((5.0)-(25.0)))))</f>
        <v/>
      </c>
      <c r="BJ10" s="17">
        <f>100*(0.35*MIN(1,MAX(0,((ABS(AU10))-(0.3))/((0.05)-(0.3))))+0.3*MIN(1,MAX(0,((AV10)-(0.0))/((0.3)-(0.0))))+0.25*MIN(1,MAX(0,((AW10)-(0.4))/((0.7)-(0.4))))+0.1*IF(AY10&gt;=2,1,0.5))</f>
        <v/>
      </c>
      <c r="BK10" s="18">
        <f>0.25*BG10+0.25*BH10+0.2*BI10+0.3*BJ10</f>
        <v/>
      </c>
      <c r="BL10" s="5" t="inlineStr">
        <is>
          <t>全部通過</t>
        </is>
      </c>
      <c r="BM10" s="5" t="inlineStr"/>
    </row>
    <row r="11">
      <c r="A11" s="5" t="n">
        <v>1</v>
      </c>
      <c r="B11" s="5" t="n">
        <v>10</v>
      </c>
      <c r="C11" s="6" t="inlineStr">
        <is>
          <t>ACVA</t>
        </is>
      </c>
      <c r="D11" s="5" t="inlineStr">
        <is>
          <t>ACV Auctions Inc.</t>
        </is>
      </c>
      <c r="E11" s="5" t="inlineStr">
        <is>
          <t>NYSE</t>
        </is>
      </c>
      <c r="F11" s="5" t="inlineStr">
        <is>
          <t>非必需消費</t>
        </is>
      </c>
      <c r="G11" s="5" t="inlineStr">
        <is>
          <t>Business Services</t>
        </is>
      </c>
      <c r="H11" s="7" t="n">
        <v>1.771</v>
      </c>
      <c r="I11" s="5" t="inlineStr">
        <is>
          <t>小型</t>
        </is>
      </c>
      <c r="J11" s="8" t="n">
        <v>10.45</v>
      </c>
      <c r="K11" s="8" t="n">
        <v>10.43</v>
      </c>
      <c r="L11" s="9">
        <f>J11/K11-1</f>
        <v/>
      </c>
      <c r="M11" s="8" t="n">
        <v>10.47</v>
      </c>
      <c r="N11" s="8" t="n">
        <v>10.44</v>
      </c>
      <c r="O11" s="10" t="n">
        <v>6423300</v>
      </c>
      <c r="P11" s="10" t="n">
        <v>15693280</v>
      </c>
      <c r="Q11" s="11">
        <f>O11/P11</f>
        <v/>
      </c>
      <c r="R11" s="8" t="n">
        <v>10.3306</v>
      </c>
      <c r="S11" s="8" t="n">
        <v>9.6783</v>
      </c>
      <c r="T11" s="8" t="n">
        <v>9.2089</v>
      </c>
      <c r="U11" s="9">
        <f>S11/T11-1</f>
        <v/>
      </c>
      <c r="V11" s="12" t="n">
        <v>1</v>
      </c>
      <c r="W11" s="9">
        <f>J11/R11-1</f>
        <v/>
      </c>
      <c r="X11" s="9">
        <f>J11/S11-1</f>
        <v/>
      </c>
      <c r="Y11" s="8" t="n">
        <v>0.2471</v>
      </c>
      <c r="Z11" s="13">
        <f>Y11/J11</f>
        <v/>
      </c>
      <c r="AA11" s="11">
        <f>(J11-R11)/Y11</f>
        <v/>
      </c>
      <c r="AB11" s="11">
        <f>(J11-S11)/Y11</f>
        <v/>
      </c>
      <c r="AC11" s="5">
        <f>IF(ABS(AA11)&lt;=ABS(AB11),"9EMA","21EMA")</f>
        <v/>
      </c>
      <c r="AD11" s="5" t="inlineStr">
        <is>
          <t>—</t>
        </is>
      </c>
      <c r="AE11" s="5" t="inlineStr">
        <is>
          <t>持續在上方</t>
        </is>
      </c>
      <c r="AF11" s="5" t="inlineStr"/>
      <c r="AG11" s="5" t="inlineStr"/>
      <c r="AH11" s="5" t="inlineStr">
        <is>
          <t>✓</t>
        </is>
      </c>
      <c r="AI11" s="5" t="inlineStr">
        <is>
          <t>2026-09-11</t>
        </is>
      </c>
      <c r="AJ11" s="5" t="n">
        <v>14</v>
      </c>
      <c r="AK11" s="14" t="n">
        <v>2</v>
      </c>
      <c r="AL11" s="5" t="inlineStr">
        <is>
          <t>2026-09-23</t>
        </is>
      </c>
      <c r="AM11" s="8" t="n">
        <v>10.41</v>
      </c>
      <c r="AN11" s="8" t="n">
        <v>6.6</v>
      </c>
      <c r="AO11" s="9">
        <f>IF(ISNUMBER(AN11),AM11/AN11-1,"")</f>
        <v/>
      </c>
      <c r="AP11" s="14" t="n">
        <v>6</v>
      </c>
      <c r="AQ11" s="9">
        <f>IF(ISNUMBER(AM11),J11/AM11-1,"")</f>
        <v/>
      </c>
      <c r="AR11" s="8" t="n">
        <v>10.48</v>
      </c>
      <c r="AS11" s="9">
        <f>J11/AR11-1</f>
        <v/>
      </c>
      <c r="AT11" s="5" t="inlineStr">
        <is>
          <t>上升三角（平頂）</t>
        </is>
      </c>
      <c r="AU11" s="15" t="n">
        <v>0.09569999999999999</v>
      </c>
      <c r="AV11" s="15" t="n">
        <v>3.0383</v>
      </c>
      <c r="AW11" s="15" t="n">
        <v>0.8595</v>
      </c>
      <c r="AX11" s="15" t="n">
        <v>0.8604000000000001</v>
      </c>
      <c r="AY11" s="14" t="n">
        <v>15</v>
      </c>
      <c r="AZ11" s="8" t="n">
        <v>10.5</v>
      </c>
      <c r="BA11" s="8" t="n">
        <v>6.6</v>
      </c>
      <c r="BB11" s="8" t="n">
        <v>9.952199999999999</v>
      </c>
      <c r="BC11" s="15" t="n">
        <v>2.1707</v>
      </c>
      <c r="BD11" s="11">
        <f>IF(M11=N11,0.5,(J11-N11)/(M11-N11))</f>
        <v/>
      </c>
      <c r="BE11" s="16" t="n">
        <v>59.34</v>
      </c>
      <c r="BF11" s="16" t="n">
        <v>54.586</v>
      </c>
      <c r="BG11" s="17">
        <f>100*(0.4*MIN(1,MAX(0,((U11*100)-(0.0))/((2.5)-(0.0))))+0.3*MIN(1,MAX(0,((V11)-(0.6))/((1.0)-(0.6))))+0.3*MIN(1,MAX(0,((BE11)-(0.0))/((15.0)-(0.0)))))</f>
        <v/>
      </c>
      <c r="BH11" s="17">
        <f>100*(0.4*MIN(1,MAX(0,((MIN(ABS(AA11),ABS(AB11)))-(0.75))/((0.0)-(0.75))))+0.3*MIN(1,MAX(0,((BC11)-(1.2))/((0.6)-(1.2))))+0.3*BD11)</f>
        <v/>
      </c>
      <c r="BI11" s="17">
        <f>100*(0.5*MIN(1,MAX(0,((AK11)-(1.0))/((4.0)-(1.0))))+0.3*MIN(1,MAX(0,((IF(ISNUMBER(AO11),AO11,0)*100)-(0.0))/((8.0)-(0.0))))+0.2*MIN(1,MAX(0,((IF(ISNUMBER(AP11),AP11,0))-(25.0))/((5.0)-(25.0)))))</f>
        <v/>
      </c>
      <c r="BJ11" s="17">
        <f>100*(0.35*MIN(1,MAX(0,((ABS(AU11))-(0.3))/((0.05)-(0.3))))+0.3*MIN(1,MAX(0,((AV11)-(0.0))/((0.3)-(0.0))))+0.25*MIN(1,MAX(0,((AW11)-(0.4))/((0.7)-(0.4))))+0.1*IF(AY11&gt;=2,1,0.5))</f>
        <v/>
      </c>
      <c r="BK11" s="18">
        <f>0.25*BG11+0.25*BH11+0.2*BI11+0.3*BJ11</f>
        <v/>
      </c>
      <c r="BL11" s="5" t="inlineStr">
        <is>
          <t>全部通過</t>
        </is>
      </c>
      <c r="BM11" s="5" t="inlineStr"/>
    </row>
    <row r="12">
      <c r="A12" s="5" t="n">
        <v>1</v>
      </c>
      <c r="B12" s="5" t="n">
        <v>11</v>
      </c>
      <c r="C12" s="6" t="inlineStr">
        <is>
          <t>LTC</t>
        </is>
      </c>
      <c r="D12" s="5" t="inlineStr">
        <is>
          <t>LTC Properties Inc.</t>
        </is>
      </c>
      <c r="E12" s="5" t="inlineStr">
        <is>
          <t>NYSE</t>
        </is>
      </c>
      <c r="F12" s="5" t="inlineStr">
        <is>
          <t>房地產</t>
        </is>
      </c>
      <c r="G12" s="5" t="inlineStr">
        <is>
          <t>Real Estate Investment Trusts</t>
        </is>
      </c>
      <c r="H12" s="7" t="n">
        <v>2.311</v>
      </c>
      <c r="I12" s="5" t="inlineStr">
        <is>
          <t>中型</t>
        </is>
      </c>
      <c r="J12" s="8" t="n">
        <v>42.67</v>
      </c>
      <c r="K12" s="8" t="n">
        <v>42.87</v>
      </c>
      <c r="L12" s="9">
        <f>J12/K12-1</f>
        <v/>
      </c>
      <c r="M12" s="8" t="n">
        <v>42.81</v>
      </c>
      <c r="N12" s="8" t="n">
        <v>42.08</v>
      </c>
      <c r="O12" s="10" t="n">
        <v>633200</v>
      </c>
      <c r="P12" s="10" t="n">
        <v>654050</v>
      </c>
      <c r="Q12" s="11">
        <f>O12/P12</f>
        <v/>
      </c>
      <c r="R12" s="8" t="n">
        <v>42.8522</v>
      </c>
      <c r="S12" s="8" t="n">
        <v>42.4586</v>
      </c>
      <c r="T12" s="8" t="n">
        <v>42.1776</v>
      </c>
      <c r="U12" s="9">
        <f>S12/T12-1</f>
        <v/>
      </c>
      <c r="V12" s="12" t="n">
        <v>1</v>
      </c>
      <c r="W12" s="9">
        <f>J12/R12-1</f>
        <v/>
      </c>
      <c r="X12" s="9">
        <f>J12/S12-1</f>
        <v/>
      </c>
      <c r="Y12" s="8" t="n">
        <v>0.8352000000000001</v>
      </c>
      <c r="Z12" s="13">
        <f>Y12/J12</f>
        <v/>
      </c>
      <c r="AA12" s="11">
        <f>(J12-R12)/Y12</f>
        <v/>
      </c>
      <c r="AB12" s="11">
        <f>(J12-S12)/Y12</f>
        <v/>
      </c>
      <c r="AC12" s="5">
        <f>IF(ABS(AA12)&lt;=ABS(AB12),"9EMA","21EMA")</f>
        <v/>
      </c>
      <c r="AD12" s="5" t="inlineStr">
        <is>
          <t>9+21EMA</t>
        </is>
      </c>
      <c r="AE12" s="5" t="inlineStr">
        <is>
          <t>持續在上方</t>
        </is>
      </c>
      <c r="AF12" s="5" t="inlineStr"/>
      <c r="AG12" s="5" t="inlineStr"/>
      <c r="AH12" s="5" t="inlineStr">
        <is>
          <t>✓</t>
        </is>
      </c>
      <c r="AI12" s="5" t="inlineStr">
        <is>
          <t>2026-08-20</t>
        </is>
      </c>
      <c r="AJ12" s="5" t="n">
        <v>29</v>
      </c>
      <c r="AK12" s="14" t="n">
        <v>5</v>
      </c>
      <c r="AL12" s="5" t="inlineStr">
        <is>
          <t>2026-09-21</t>
        </is>
      </c>
      <c r="AM12" s="8" t="n">
        <v>42.06</v>
      </c>
      <c r="AN12" s="8" t="n">
        <v>40.82</v>
      </c>
      <c r="AO12" s="9">
        <f>IF(ISNUMBER(AN12),AM12/AN12-1,"")</f>
        <v/>
      </c>
      <c r="AP12" s="14" t="n">
        <v>8</v>
      </c>
      <c r="AQ12" s="9">
        <f>IF(ISNUMBER(AM12),J12/AM12-1,"")</f>
        <v/>
      </c>
      <c r="AR12" s="8" t="n">
        <v>43.5</v>
      </c>
      <c r="AS12" s="9">
        <f>J12/AR12-1</f>
        <v/>
      </c>
      <c r="AT12" s="5" t="inlineStr">
        <is>
          <t>上升三角（平頂）</t>
        </is>
      </c>
      <c r="AU12" s="15" t="n">
        <v>-0.0146</v>
      </c>
      <c r="AV12" s="15" t="n">
        <v>0.3172</v>
      </c>
      <c r="AW12" s="15" t="n">
        <v>0.6696</v>
      </c>
      <c r="AX12" s="15" t="n">
        <v>0.6751</v>
      </c>
      <c r="AY12" s="14" t="n">
        <v>12</v>
      </c>
      <c r="AZ12" s="8" t="n">
        <v>43.6</v>
      </c>
      <c r="BA12" s="8" t="n">
        <v>40.17</v>
      </c>
      <c r="BB12" s="8" t="n">
        <v>42.4667</v>
      </c>
      <c r="BC12" s="15" t="n">
        <v>1.2972</v>
      </c>
      <c r="BD12" s="11">
        <f>IF(M12=N12,0.5,(J12-N12)/(M12-N12))</f>
        <v/>
      </c>
      <c r="BE12" s="16" t="n">
        <v>7.822</v>
      </c>
      <c r="BF12" s="16" t="n">
        <v>3.068</v>
      </c>
      <c r="BG12" s="17">
        <f>100*(0.4*MIN(1,MAX(0,((U12*100)-(0.0))/((2.5)-(0.0))))+0.3*MIN(1,MAX(0,((V12)-(0.6))/((1.0)-(0.6))))+0.3*MIN(1,MAX(0,((BE12)-(0.0))/((15.0)-(0.0)))))</f>
        <v/>
      </c>
      <c r="BH12" s="17">
        <f>100*(0.4*MIN(1,MAX(0,((MIN(ABS(AA12),ABS(AB12)))-(0.75))/((0.0)-(0.75))))+0.3*MIN(1,MAX(0,((BC12)-(1.2))/((0.6)-(1.2))))+0.3*BD12)</f>
        <v/>
      </c>
      <c r="BI12" s="17">
        <f>100*(0.5*MIN(1,MAX(0,((AK12)-(1.0))/((4.0)-(1.0))))+0.3*MIN(1,MAX(0,((IF(ISNUMBER(AO12),AO12,0)*100)-(0.0))/((8.0)-(0.0))))+0.2*MIN(1,MAX(0,((IF(ISNUMBER(AP12),AP12,0))-(25.0))/((5.0)-(25.0)))))</f>
        <v/>
      </c>
      <c r="BJ12" s="17">
        <f>100*(0.35*MIN(1,MAX(0,((ABS(AU12))-(0.3))/((0.05)-(0.3))))+0.3*MIN(1,MAX(0,((AV12)-(0.0))/((0.3)-(0.0))))+0.25*MIN(1,MAX(0,((AW12)-(0.4))/((0.7)-(0.4))))+0.1*IF(AY12&gt;=2,1,0.5))</f>
        <v/>
      </c>
      <c r="BK12" s="18">
        <f>0.25*BG12+0.25*BH12+0.2*BI12+0.3*BJ12</f>
        <v/>
      </c>
      <c r="BL12" s="5" t="inlineStr">
        <is>
          <t>全部通過</t>
        </is>
      </c>
      <c r="BM12" s="5" t="inlineStr"/>
    </row>
    <row r="13">
      <c r="A13" s="5" t="n">
        <v>1</v>
      </c>
      <c r="B13" s="5" t="n">
        <v>12</v>
      </c>
      <c r="C13" s="6" t="inlineStr">
        <is>
          <t>PANW</t>
        </is>
      </c>
      <c r="D13" s="5" t="inlineStr">
        <is>
          <t>Palo Alto Networks Inc.</t>
        </is>
      </c>
      <c r="E13" s="5" t="inlineStr">
        <is>
          <t>NASDAQ</t>
        </is>
      </c>
      <c r="F13" s="5" t="inlineStr">
        <is>
          <t>科技</t>
        </is>
      </c>
      <c r="G13" s="5" t="inlineStr">
        <is>
          <t>Computer peripheral equipment</t>
        </is>
      </c>
      <c r="H13" s="7" t="n">
        <v>325</v>
      </c>
      <c r="I13" s="5" t="inlineStr">
        <is>
          <t>大型</t>
        </is>
      </c>
      <c r="J13" s="8" t="n">
        <v>396.25</v>
      </c>
      <c r="K13" s="8" t="n">
        <v>397.31</v>
      </c>
      <c r="L13" s="9">
        <f>J13/K13-1</f>
        <v/>
      </c>
      <c r="M13" s="8" t="n">
        <v>398.58</v>
      </c>
      <c r="N13" s="8" t="n">
        <v>387.02</v>
      </c>
      <c r="O13" s="10" t="n">
        <v>5309000</v>
      </c>
      <c r="P13" s="10" t="n">
        <v>6369485</v>
      </c>
      <c r="Q13" s="11">
        <f>O13/P13</f>
        <v/>
      </c>
      <c r="R13" s="8" t="n">
        <v>386.2583</v>
      </c>
      <c r="S13" s="8" t="n">
        <v>374.9784</v>
      </c>
      <c r="T13" s="8" t="n">
        <v>365.4081</v>
      </c>
      <c r="U13" s="9">
        <f>S13/T13-1</f>
        <v/>
      </c>
      <c r="V13" s="12" t="n">
        <v>1</v>
      </c>
      <c r="W13" s="9">
        <f>J13/R13-1</f>
        <v/>
      </c>
      <c r="X13" s="9">
        <f>J13/S13-1</f>
        <v/>
      </c>
      <c r="Y13" s="8" t="n">
        <v>17.56</v>
      </c>
      <c r="Z13" s="13">
        <f>Y13/J13</f>
        <v/>
      </c>
      <c r="AA13" s="11">
        <f>(J13-R13)/Y13</f>
        <v/>
      </c>
      <c r="AB13" s="11">
        <f>(J13-S13)/Y13</f>
        <v/>
      </c>
      <c r="AC13" s="5">
        <f>IF(ABS(AA13)&lt;=ABS(AB13),"9EMA","21EMA")</f>
        <v/>
      </c>
      <c r="AD13" s="5" t="inlineStr">
        <is>
          <t>9EMA</t>
        </is>
      </c>
      <c r="AE13" s="5" t="inlineStr">
        <is>
          <t>持續在上方</t>
        </is>
      </c>
      <c r="AF13" s="5" t="inlineStr"/>
      <c r="AG13" s="5" t="inlineStr"/>
      <c r="AH13" s="5" t="inlineStr">
        <is>
          <t>✓</t>
        </is>
      </c>
      <c r="AI13" s="5" t="inlineStr">
        <is>
          <t>2026-09-15</t>
        </is>
      </c>
      <c r="AJ13" s="5" t="n">
        <v>12</v>
      </c>
      <c r="AK13" s="14" t="n">
        <v>3</v>
      </c>
      <c r="AL13" s="5" t="inlineStr">
        <is>
          <t>2026-09-28</t>
        </is>
      </c>
      <c r="AM13" s="8" t="n">
        <v>367.27</v>
      </c>
      <c r="AN13" s="8" t="n">
        <v>356</v>
      </c>
      <c r="AO13" s="9">
        <f>IF(ISNUMBER(AN13),AM13/AN13-1,"")</f>
        <v/>
      </c>
      <c r="AP13" s="14" t="n">
        <v>3</v>
      </c>
      <c r="AQ13" s="9">
        <f>IF(ISNUMBER(AM13),J13/AM13-1,"")</f>
        <v/>
      </c>
      <c r="AR13" s="8" t="n">
        <v>397.31</v>
      </c>
      <c r="AS13" s="9">
        <f>J13/AR13-1</f>
        <v/>
      </c>
      <c r="AT13" s="5" t="inlineStr">
        <is>
          <t>上升三角（平頂）</t>
        </is>
      </c>
      <c r="AU13" s="15" t="n">
        <v>0.0769</v>
      </c>
      <c r="AV13" s="15" t="n">
        <v>0.695</v>
      </c>
      <c r="AW13" s="15" t="n">
        <v>0.5354</v>
      </c>
      <c r="AX13" s="15" t="n">
        <v>0.545</v>
      </c>
      <c r="AY13" s="14" t="n">
        <v>1</v>
      </c>
      <c r="AZ13" s="8" t="n">
        <v>404.69</v>
      </c>
      <c r="BA13" s="8" t="n">
        <v>321.39</v>
      </c>
      <c r="BB13" s="8" t="n">
        <v>365.992</v>
      </c>
      <c r="BC13" s="15" t="n">
        <v>1.0372</v>
      </c>
      <c r="BD13" s="11">
        <f>IF(M13=N13,0.5,(J13-N13)/(M13-N13))</f>
        <v/>
      </c>
      <c r="BE13" s="16" t="n">
        <v>14.188</v>
      </c>
      <c r="BF13" s="16" t="n">
        <v>9.433999999999999</v>
      </c>
      <c r="BG13" s="17">
        <f>100*(0.4*MIN(1,MAX(0,((U13*100)-(0.0))/((2.5)-(0.0))))+0.3*MIN(1,MAX(0,((V13)-(0.6))/((1.0)-(0.6))))+0.3*MIN(1,MAX(0,((BE13)-(0.0))/((15.0)-(0.0)))))</f>
        <v/>
      </c>
      <c r="BH13" s="17">
        <f>100*(0.4*MIN(1,MAX(0,((MIN(ABS(AA13),ABS(AB13)))-(0.75))/((0.0)-(0.75))))+0.3*MIN(1,MAX(0,((BC13)-(1.2))/((0.6)-(1.2))))+0.3*BD13)</f>
        <v/>
      </c>
      <c r="BI13" s="17">
        <f>100*(0.5*MIN(1,MAX(0,((AK13)-(1.0))/((4.0)-(1.0))))+0.3*MIN(1,MAX(0,((IF(ISNUMBER(AO13),AO13,0)*100)-(0.0))/((8.0)-(0.0))))+0.2*MIN(1,MAX(0,((IF(ISNUMBER(AP13),AP13,0))-(25.0))/((5.0)-(25.0)))))</f>
        <v/>
      </c>
      <c r="BJ13" s="17">
        <f>100*(0.35*MIN(1,MAX(0,((ABS(AU13))-(0.3))/((0.05)-(0.3))))+0.3*MIN(1,MAX(0,((AV13)-(0.0))/((0.3)-(0.0))))+0.25*MIN(1,MAX(0,((AW13)-(0.4))/((0.7)-(0.4))))+0.1*IF(AY13&gt;=2,1,0.5))</f>
        <v/>
      </c>
      <c r="BK13" s="18">
        <f>0.25*BG13+0.25*BH13+0.2*BI13+0.3*BJ13</f>
        <v/>
      </c>
      <c r="BL13" s="5" t="inlineStr">
        <is>
          <t>全部通過</t>
        </is>
      </c>
      <c r="BM13" s="5" t="inlineStr"/>
    </row>
    <row r="14">
      <c r="A14" s="5" t="n">
        <v>1</v>
      </c>
      <c r="B14" s="5" t="n">
        <v>13</v>
      </c>
      <c r="C14" s="6" t="inlineStr">
        <is>
          <t>PENG</t>
        </is>
      </c>
      <c r="D14" s="5" t="inlineStr">
        <is>
          <t>Penguin Solutions Inc.</t>
        </is>
      </c>
      <c r="E14" s="5" t="inlineStr">
        <is>
          <t>NASDAQ</t>
        </is>
      </c>
      <c r="F14" s="5" t="inlineStr">
        <is>
          <t>科技</t>
        </is>
      </c>
      <c r="G14" s="5" t="inlineStr">
        <is>
          <t>Semiconductors</t>
        </is>
      </c>
      <c r="H14" s="7" t="n">
        <v>2.802</v>
      </c>
      <c r="I14" s="5" t="inlineStr">
        <is>
          <t>中型</t>
        </is>
      </c>
      <c r="J14" s="8" t="n">
        <v>54.98</v>
      </c>
      <c r="K14" s="8" t="n">
        <v>54.69</v>
      </c>
      <c r="L14" s="9">
        <f>J14/K14-1</f>
        <v/>
      </c>
      <c r="M14" s="8" t="n">
        <v>55.67</v>
      </c>
      <c r="N14" s="8" t="n">
        <v>53.44</v>
      </c>
      <c r="O14" s="10" t="n">
        <v>1157400</v>
      </c>
      <c r="P14" s="10" t="n">
        <v>1358460</v>
      </c>
      <c r="Q14" s="11">
        <f>O14/P14</f>
        <v/>
      </c>
      <c r="R14" s="8" t="n">
        <v>54.4126</v>
      </c>
      <c r="S14" s="8" t="n">
        <v>53.4053</v>
      </c>
      <c r="T14" s="8" t="n">
        <v>52.2605</v>
      </c>
      <c r="U14" s="9">
        <f>S14/T14-1</f>
        <v/>
      </c>
      <c r="V14" s="12" t="n">
        <v>1</v>
      </c>
      <c r="W14" s="9">
        <f>J14/R14-1</f>
        <v/>
      </c>
      <c r="X14" s="9">
        <f>J14/S14-1</f>
        <v/>
      </c>
      <c r="Y14" s="8" t="n">
        <v>3.0785</v>
      </c>
      <c r="Z14" s="13">
        <f>Y14/J14</f>
        <v/>
      </c>
      <c r="AA14" s="11">
        <f>(J14-R14)/Y14</f>
        <v/>
      </c>
      <c r="AB14" s="11">
        <f>(J14-S14)/Y14</f>
        <v/>
      </c>
      <c r="AC14" s="5">
        <f>IF(ABS(AA14)&lt;=ABS(AB14),"9EMA","21EMA")</f>
        <v/>
      </c>
      <c r="AD14" s="5" t="inlineStr">
        <is>
          <t>9+21EMA</t>
        </is>
      </c>
      <c r="AE14" s="5" t="inlineStr">
        <is>
          <t>持續在上方</t>
        </is>
      </c>
      <c r="AF14" s="5" t="inlineStr"/>
      <c r="AG14" s="5" t="inlineStr"/>
      <c r="AH14" s="5" t="inlineStr">
        <is>
          <t>✓</t>
        </is>
      </c>
      <c r="AI14" s="5" t="inlineStr">
        <is>
          <t>2026-09-22</t>
        </is>
      </c>
      <c r="AJ14" s="5" t="n">
        <v>7</v>
      </c>
      <c r="AK14" s="14" t="n">
        <v>3</v>
      </c>
      <c r="AL14" s="5" t="inlineStr">
        <is>
          <t>2026-09-24</t>
        </is>
      </c>
      <c r="AM14" s="8" t="n">
        <v>51.31</v>
      </c>
      <c r="AN14" s="8" t="n">
        <v>46.19</v>
      </c>
      <c r="AO14" s="9">
        <f>IF(ISNUMBER(AN14),AM14/AN14-1,"")</f>
        <v/>
      </c>
      <c r="AP14" s="14" t="n">
        <v>5</v>
      </c>
      <c r="AQ14" s="9">
        <f>IF(ISNUMBER(AM14),J14/AM14-1,"")</f>
        <v/>
      </c>
      <c r="AR14" s="8" t="n">
        <v>56.58</v>
      </c>
      <c r="AS14" s="9">
        <f>J14/AR14-1</f>
        <v/>
      </c>
      <c r="AT14" s="5" t="inlineStr">
        <is>
          <t>上傾收窄（楔形）</t>
        </is>
      </c>
      <c r="AU14" s="15" t="n">
        <v>0.3647</v>
      </c>
      <c r="AV14" s="15" t="n">
        <v>0.7392</v>
      </c>
      <c r="AW14" s="15" t="n">
        <v>0.514</v>
      </c>
      <c r="AX14" s="15" t="n">
        <v>0.5141</v>
      </c>
      <c r="AY14" s="14" t="n">
        <v>3</v>
      </c>
      <c r="AZ14" s="8" t="n">
        <v>57.5</v>
      </c>
      <c r="BA14" s="8" t="n">
        <v>45.62</v>
      </c>
      <c r="BB14" s="8" t="n">
        <v>51.7262</v>
      </c>
      <c r="BC14" s="15" t="n">
        <v>0.9476</v>
      </c>
      <c r="BD14" s="11">
        <f>IF(M14=N14,0.5,(J14-N14)/(M14-N14))</f>
        <v/>
      </c>
      <c r="BE14" s="16" t="n">
        <v>20.283</v>
      </c>
      <c r="BF14" s="16" t="n">
        <v>15.528</v>
      </c>
      <c r="BG14" s="17">
        <f>100*(0.4*MIN(1,MAX(0,((U14*100)-(0.0))/((2.5)-(0.0))))+0.3*MIN(1,MAX(0,((V14)-(0.6))/((1.0)-(0.6))))+0.3*MIN(1,MAX(0,((BE14)-(0.0))/((15.0)-(0.0)))))</f>
        <v/>
      </c>
      <c r="BH14" s="17">
        <f>100*(0.4*MIN(1,MAX(0,((MIN(ABS(AA14),ABS(AB14)))-(0.75))/((0.0)-(0.75))))+0.3*MIN(1,MAX(0,((BC14)-(1.2))/((0.6)-(1.2))))+0.3*BD14)</f>
        <v/>
      </c>
      <c r="BI14" s="17">
        <f>100*(0.5*MIN(1,MAX(0,((AK14)-(1.0))/((4.0)-(1.0))))+0.3*MIN(1,MAX(0,((IF(ISNUMBER(AO14),AO14,0)*100)-(0.0))/((8.0)-(0.0))))+0.2*MIN(1,MAX(0,((IF(ISNUMBER(AP14),AP14,0))-(25.0))/((5.0)-(25.0)))))</f>
        <v/>
      </c>
      <c r="BJ14" s="17">
        <f>100*(0.35*MIN(1,MAX(0,((ABS(AU14))-(0.3))/((0.05)-(0.3))))+0.3*MIN(1,MAX(0,((AV14)-(0.0))/((0.3)-(0.0))))+0.25*MIN(1,MAX(0,((AW14)-(0.4))/((0.7)-(0.4))))+0.1*IF(AY14&gt;=2,1,0.5))</f>
        <v/>
      </c>
      <c r="BK14" s="18">
        <f>0.25*BG14+0.25*BH14+0.2*BI14+0.3*BJ14</f>
        <v/>
      </c>
      <c r="BL14" s="5" t="inlineStr">
        <is>
          <t>全部通過</t>
        </is>
      </c>
      <c r="BM14" s="5" t="inlineStr"/>
    </row>
    <row r="15">
      <c r="A15" s="5" t="n">
        <v>1</v>
      </c>
      <c r="B15" s="5" t="n">
        <v>14</v>
      </c>
      <c r="C15" s="6" t="inlineStr">
        <is>
          <t>DT</t>
        </is>
      </c>
      <c r="D15" s="5" t="inlineStr">
        <is>
          <t>Dynatrace Inc.</t>
        </is>
      </c>
      <c r="E15" s="5" t="inlineStr">
        <is>
          <t>NYSE</t>
        </is>
      </c>
      <c r="F15" s="5" t="inlineStr">
        <is>
          <t>科技</t>
        </is>
      </c>
      <c r="G15" s="5" t="inlineStr">
        <is>
          <t>Computer Software: Prepackaged Software</t>
        </is>
      </c>
      <c r="H15" s="7" t="n">
        <v>16.687</v>
      </c>
      <c r="I15" s="5" t="inlineStr">
        <is>
          <t>大型</t>
        </is>
      </c>
      <c r="J15" s="8" t="n">
        <v>59.26</v>
      </c>
      <c r="K15" s="8" t="n">
        <v>57.74</v>
      </c>
      <c r="L15" s="9">
        <f>J15/K15-1</f>
        <v/>
      </c>
      <c r="M15" s="8" t="n">
        <v>59.42</v>
      </c>
      <c r="N15" s="8" t="n">
        <v>58.26</v>
      </c>
      <c r="O15" s="10" t="n">
        <v>5248200</v>
      </c>
      <c r="P15" s="10" t="n">
        <v>6901235</v>
      </c>
      <c r="Q15" s="11">
        <f>O15/P15</f>
        <v/>
      </c>
      <c r="R15" s="8" t="n">
        <v>57.5596</v>
      </c>
      <c r="S15" s="8" t="n">
        <v>55.5806</v>
      </c>
      <c r="T15" s="8" t="n">
        <v>54.0331</v>
      </c>
      <c r="U15" s="9">
        <f>S15/T15-1</f>
        <v/>
      </c>
      <c r="V15" s="12" t="n">
        <v>1</v>
      </c>
      <c r="W15" s="9">
        <f>J15/R15-1</f>
        <v/>
      </c>
      <c r="X15" s="9">
        <f>J15/S15-1</f>
        <v/>
      </c>
      <c r="Y15" s="8" t="n">
        <v>1.7535</v>
      </c>
      <c r="Z15" s="13">
        <f>Y15/J15</f>
        <v/>
      </c>
      <c r="AA15" s="11">
        <f>(J15-R15)/Y15</f>
        <v/>
      </c>
      <c r="AB15" s="11">
        <f>(J15-S15)/Y15</f>
        <v/>
      </c>
      <c r="AC15" s="5">
        <f>IF(ABS(AA15)&lt;=ABS(AB15),"9EMA","21EMA")</f>
        <v/>
      </c>
      <c r="AD15" s="5" t="inlineStr">
        <is>
          <t>9EMA</t>
        </is>
      </c>
      <c r="AE15" s="5" t="inlineStr">
        <is>
          <t>持續在上方</t>
        </is>
      </c>
      <c r="AF15" s="5" t="inlineStr"/>
      <c r="AG15" s="5" t="inlineStr"/>
      <c r="AH15" s="5" t="inlineStr">
        <is>
          <t>✓</t>
        </is>
      </c>
      <c r="AI15" s="5" t="inlineStr">
        <is>
          <t>2026-07-29</t>
        </is>
      </c>
      <c r="AJ15" s="5" t="n">
        <v>45</v>
      </c>
      <c r="AK15" s="14" t="n">
        <v>4</v>
      </c>
      <c r="AL15" s="5" t="inlineStr">
        <is>
          <t>2026-09-28</t>
        </is>
      </c>
      <c r="AM15" s="8" t="n">
        <v>55.644</v>
      </c>
      <c r="AN15" s="8" t="n">
        <v>49.56</v>
      </c>
      <c r="AO15" s="9">
        <f>IF(ISNUMBER(AN15),AM15/AN15-1,"")</f>
        <v/>
      </c>
      <c r="AP15" s="14" t="n">
        <v>3</v>
      </c>
      <c r="AQ15" s="9">
        <f>IF(ISNUMBER(AM15),J15/AM15-1,"")</f>
        <v/>
      </c>
      <c r="AR15" s="8" t="n">
        <v>59.26</v>
      </c>
      <c r="AS15" s="9">
        <f>J15/AR15-1</f>
        <v/>
      </c>
      <c r="AT15" s="5" t="inlineStr">
        <is>
          <t>上傾收窄（楔形）</t>
        </is>
      </c>
      <c r="AU15" s="15" t="n">
        <v>0.4541</v>
      </c>
      <c r="AV15" s="15" t="n">
        <v>0.7897</v>
      </c>
      <c r="AW15" s="15" t="n">
        <v>0.5627</v>
      </c>
      <c r="AX15" s="15" t="n">
        <v>0.5372</v>
      </c>
      <c r="AY15" s="14" t="n">
        <v>5</v>
      </c>
      <c r="AZ15" s="8" t="n">
        <v>59.42</v>
      </c>
      <c r="BA15" s="8" t="n">
        <v>49.56</v>
      </c>
      <c r="BB15" s="8" t="n">
        <v>55.1085</v>
      </c>
      <c r="BC15" s="15" t="n">
        <v>0.9147999999999999</v>
      </c>
      <c r="BD15" s="11">
        <f>IF(M15=N15,0.5,(J15-N15)/(M15-N15))</f>
        <v/>
      </c>
      <c r="BE15" s="16" t="n">
        <v>16.862</v>
      </c>
      <c r="BF15" s="16" t="n">
        <v>12.107</v>
      </c>
      <c r="BG15" s="17">
        <f>100*(0.4*MIN(1,MAX(0,((U15*100)-(0.0))/((2.5)-(0.0))))+0.3*MIN(1,MAX(0,((V15)-(0.6))/((1.0)-(0.6))))+0.3*MIN(1,MAX(0,((BE15)-(0.0))/((15.0)-(0.0)))))</f>
        <v/>
      </c>
      <c r="BH15" s="17">
        <f>100*(0.4*MIN(1,MAX(0,((MIN(ABS(AA15),ABS(AB15)))-(0.75))/((0.0)-(0.75))))+0.3*MIN(1,MAX(0,((BC15)-(1.2))/((0.6)-(1.2))))+0.3*BD15)</f>
        <v/>
      </c>
      <c r="BI15" s="17">
        <f>100*(0.5*MIN(1,MAX(0,((AK15)-(1.0))/((4.0)-(1.0))))+0.3*MIN(1,MAX(0,((IF(ISNUMBER(AO15),AO15,0)*100)-(0.0))/((8.0)-(0.0))))+0.2*MIN(1,MAX(0,((IF(ISNUMBER(AP15),AP15,0))-(25.0))/((5.0)-(25.0)))))</f>
        <v/>
      </c>
      <c r="BJ15" s="17">
        <f>100*(0.35*MIN(1,MAX(0,((ABS(AU15))-(0.3))/((0.05)-(0.3))))+0.3*MIN(1,MAX(0,((AV15)-(0.0))/((0.3)-(0.0))))+0.25*MIN(1,MAX(0,((AW15)-(0.4))/((0.7)-(0.4))))+0.1*IF(AY15&gt;=2,1,0.5))</f>
        <v/>
      </c>
      <c r="BK15" s="18">
        <f>0.25*BG15+0.25*BH15+0.2*BI15+0.3*BJ15</f>
        <v/>
      </c>
      <c r="BL15" s="5" t="inlineStr">
        <is>
          <t>全部通過</t>
        </is>
      </c>
      <c r="BM15" s="5" t="inlineStr"/>
    </row>
    <row r="16">
      <c r="A16" s="5" t="n">
        <v>1</v>
      </c>
      <c r="B16" s="5" t="n">
        <v>15</v>
      </c>
      <c r="C16" s="6" t="inlineStr">
        <is>
          <t>NUTX</t>
        </is>
      </c>
      <c r="D16" s="5" t="inlineStr">
        <is>
          <t>Nutex Health Inc.</t>
        </is>
      </c>
      <c r="E16" s="5" t="inlineStr">
        <is>
          <t>NASDAQ</t>
        </is>
      </c>
      <c r="F16" s="5" t="inlineStr">
        <is>
          <t>非必需消費</t>
        </is>
      </c>
      <c r="G16" s="5" t="inlineStr">
        <is>
          <t>Business Services</t>
        </is>
      </c>
      <c r="H16" s="7" t="n">
        <v>1.449</v>
      </c>
      <c r="I16" s="5" t="inlineStr">
        <is>
          <t>小型</t>
        </is>
      </c>
      <c r="J16" s="8" t="n">
        <v>212.31</v>
      </c>
      <c r="K16" s="8" t="n">
        <v>211.66</v>
      </c>
      <c r="L16" s="9">
        <f>J16/K16-1</f>
        <v/>
      </c>
      <c r="M16" s="8" t="n">
        <v>219.94</v>
      </c>
      <c r="N16" s="8" t="n">
        <v>210.195</v>
      </c>
      <c r="O16" s="10" t="n">
        <v>122500</v>
      </c>
      <c r="P16" s="10" t="n">
        <v>155030</v>
      </c>
      <c r="Q16" s="11">
        <f>O16/P16</f>
        <v/>
      </c>
      <c r="R16" s="8" t="n">
        <v>210.3854</v>
      </c>
      <c r="S16" s="8" t="n">
        <v>205.1014</v>
      </c>
      <c r="T16" s="8" t="n">
        <v>200.2276</v>
      </c>
      <c r="U16" s="9">
        <f>S16/T16-1</f>
        <v/>
      </c>
      <c r="V16" s="12" t="n">
        <v>1</v>
      </c>
      <c r="W16" s="9">
        <f>J16/R16-1</f>
        <v/>
      </c>
      <c r="X16" s="9">
        <f>J16/S16-1</f>
        <v/>
      </c>
      <c r="Y16" s="8" t="n">
        <v>10.5554</v>
      </c>
      <c r="Z16" s="13">
        <f>Y16/J16</f>
        <v/>
      </c>
      <c r="AA16" s="11">
        <f>(J16-R16)/Y16</f>
        <v/>
      </c>
      <c r="AB16" s="11">
        <f>(J16-S16)/Y16</f>
        <v/>
      </c>
      <c r="AC16" s="5">
        <f>IF(ABS(AA16)&lt;=ABS(AB16),"9EMA","21EMA")</f>
        <v/>
      </c>
      <c r="AD16" s="5" t="inlineStr">
        <is>
          <t>9EMA</t>
        </is>
      </c>
      <c r="AE16" s="5" t="inlineStr">
        <is>
          <t>持續在上方</t>
        </is>
      </c>
      <c r="AF16" s="5" t="inlineStr"/>
      <c r="AG16" s="5" t="inlineStr"/>
      <c r="AH16" s="5" t="inlineStr">
        <is>
          <t>✓</t>
        </is>
      </c>
      <c r="AI16" s="5" t="inlineStr">
        <is>
          <t>2026-08-10</t>
        </is>
      </c>
      <c r="AJ16" s="5" t="n">
        <v>37</v>
      </c>
      <c r="AK16" s="14" t="n">
        <v>5</v>
      </c>
      <c r="AL16" s="5" t="inlineStr">
        <is>
          <t>2026-09-24</t>
        </is>
      </c>
      <c r="AM16" s="8" t="n">
        <v>198.25</v>
      </c>
      <c r="AN16" s="8" t="n">
        <v>184</v>
      </c>
      <c r="AO16" s="9">
        <f>IF(ISNUMBER(AN16),AM16/AN16-1,"")</f>
        <v/>
      </c>
      <c r="AP16" s="14" t="n">
        <v>5</v>
      </c>
      <c r="AQ16" s="9">
        <f>IF(ISNUMBER(AM16),J16/AM16-1,"")</f>
        <v/>
      </c>
      <c r="AR16" s="8" t="n">
        <v>220.11</v>
      </c>
      <c r="AS16" s="9">
        <f>J16/AR16-1</f>
        <v/>
      </c>
      <c r="AT16" s="5" t="inlineStr">
        <is>
          <t>上傾擴張</t>
        </is>
      </c>
      <c r="AU16" s="15" t="n">
        <v>0.6755</v>
      </c>
      <c r="AV16" s="15" t="n">
        <v>0.4838</v>
      </c>
      <c r="AW16" s="15" t="n">
        <v>0.5032</v>
      </c>
      <c r="AX16" s="15" t="n">
        <v>0.4963</v>
      </c>
      <c r="AY16" s="14" t="n">
        <v>4</v>
      </c>
      <c r="AZ16" s="8" t="n">
        <v>224.28</v>
      </c>
      <c r="BA16" s="8" t="n">
        <v>182.66</v>
      </c>
      <c r="BB16" s="8" t="n">
        <v>203.6045</v>
      </c>
      <c r="BC16" s="15" t="n">
        <v>1.0121</v>
      </c>
      <c r="BD16" s="11">
        <f>IF(M16=N16,0.5,(J16-N16)/(M16-N16))</f>
        <v/>
      </c>
      <c r="BE16" s="16" t="n">
        <v>18.083</v>
      </c>
      <c r="BF16" s="16" t="n">
        <v>13.329</v>
      </c>
      <c r="BG16" s="17">
        <f>100*(0.4*MIN(1,MAX(0,((U16*100)-(0.0))/((2.5)-(0.0))))+0.3*MIN(1,MAX(0,((V16)-(0.6))/((1.0)-(0.6))))+0.3*MIN(1,MAX(0,((BE16)-(0.0))/((15.0)-(0.0)))))</f>
        <v/>
      </c>
      <c r="BH16" s="17">
        <f>100*(0.4*MIN(1,MAX(0,((MIN(ABS(AA16),ABS(AB16)))-(0.75))/((0.0)-(0.75))))+0.3*MIN(1,MAX(0,((BC16)-(1.2))/((0.6)-(1.2))))+0.3*BD16)</f>
        <v/>
      </c>
      <c r="BI16" s="17">
        <f>100*(0.5*MIN(1,MAX(0,((AK16)-(1.0))/((4.0)-(1.0))))+0.3*MIN(1,MAX(0,((IF(ISNUMBER(AO16),AO16,0)*100)-(0.0))/((8.0)-(0.0))))+0.2*MIN(1,MAX(0,((IF(ISNUMBER(AP16),AP16,0))-(25.0))/((5.0)-(25.0)))))</f>
        <v/>
      </c>
      <c r="BJ16" s="17">
        <f>100*(0.35*MIN(1,MAX(0,((ABS(AU16))-(0.3))/((0.05)-(0.3))))+0.3*MIN(1,MAX(0,((AV16)-(0.0))/((0.3)-(0.0))))+0.25*MIN(1,MAX(0,((AW16)-(0.4))/((0.7)-(0.4))))+0.1*IF(AY16&gt;=2,1,0.5))</f>
        <v/>
      </c>
      <c r="BK16" s="18">
        <f>0.25*BG16+0.25*BH16+0.2*BI16+0.3*BJ16</f>
        <v/>
      </c>
      <c r="BL16" s="5" t="inlineStr">
        <is>
          <t>全部通過</t>
        </is>
      </c>
      <c r="BM16" s="5" t="inlineStr"/>
    </row>
    <row r="17">
      <c r="A17" s="5" t="n">
        <v>1</v>
      </c>
      <c r="B17" s="5" t="n">
        <v>16</v>
      </c>
      <c r="C17" s="6" t="inlineStr">
        <is>
          <t>DDD</t>
        </is>
      </c>
      <c r="D17" s="5" t="inlineStr">
        <is>
          <t>3D Systems Corporation</t>
        </is>
      </c>
      <c r="E17" s="5" t="inlineStr">
        <is>
          <t>NYSE</t>
        </is>
      </c>
      <c r="F17" s="5" t="inlineStr">
        <is>
          <t>科技</t>
        </is>
      </c>
      <c r="G17" s="5" t="inlineStr">
        <is>
          <t>Computer Software: Prepackaged Software</t>
        </is>
      </c>
      <c r="H17" s="7" t="n">
        <v>0.598</v>
      </c>
      <c r="I17" s="5" t="inlineStr">
        <is>
          <t>小型</t>
        </is>
      </c>
      <c r="J17" s="8" t="n">
        <v>3.54</v>
      </c>
      <c r="K17" s="8" t="n">
        <v>3.6</v>
      </c>
      <c r="L17" s="9">
        <f>J17/K17-1</f>
        <v/>
      </c>
      <c r="M17" s="8" t="n">
        <v>3.57</v>
      </c>
      <c r="N17" s="8" t="n">
        <v>3.44</v>
      </c>
      <c r="O17" s="10" t="n">
        <v>2659000</v>
      </c>
      <c r="P17" s="10" t="n">
        <v>2217730</v>
      </c>
      <c r="Q17" s="11">
        <f>O17/P17</f>
        <v/>
      </c>
      <c r="R17" s="8" t="n">
        <v>3.5163</v>
      </c>
      <c r="S17" s="8" t="n">
        <v>3.449</v>
      </c>
      <c r="T17" s="8" t="n">
        <v>3.3871</v>
      </c>
      <c r="U17" s="9">
        <f>S17/T17-1</f>
        <v/>
      </c>
      <c r="V17" s="12" t="n">
        <v>1</v>
      </c>
      <c r="W17" s="9">
        <f>J17/R17-1</f>
        <v/>
      </c>
      <c r="X17" s="9">
        <f>J17/S17-1</f>
        <v/>
      </c>
      <c r="Y17" s="8" t="n">
        <v>0.2003</v>
      </c>
      <c r="Z17" s="13">
        <f>Y17/J17</f>
        <v/>
      </c>
      <c r="AA17" s="11">
        <f>(J17-R17)/Y17</f>
        <v/>
      </c>
      <c r="AB17" s="11">
        <f>(J17-S17)/Y17</f>
        <v/>
      </c>
      <c r="AC17" s="5">
        <f>IF(ABS(AA17)&lt;=ABS(AB17),"9EMA","21EMA")</f>
        <v/>
      </c>
      <c r="AD17" s="5" t="inlineStr">
        <is>
          <t>9+21EMA</t>
        </is>
      </c>
      <c r="AE17" s="5" t="inlineStr">
        <is>
          <t>持續在上方</t>
        </is>
      </c>
      <c r="AF17" s="5" t="inlineStr"/>
      <c r="AG17" s="5" t="inlineStr"/>
      <c r="AH17" s="5" t="inlineStr">
        <is>
          <t>✓</t>
        </is>
      </c>
      <c r="AI17" s="5" t="inlineStr">
        <is>
          <t>2026-09-17</t>
        </is>
      </c>
      <c r="AJ17" s="5" t="n">
        <v>10</v>
      </c>
      <c r="AK17" s="14" t="n">
        <v>2</v>
      </c>
      <c r="AL17" s="5" t="inlineStr">
        <is>
          <t>2026-09-25</t>
        </is>
      </c>
      <c r="AM17" s="8" t="n">
        <v>3.35</v>
      </c>
      <c r="AN17" s="8" t="n">
        <v>3.1</v>
      </c>
      <c r="AO17" s="9">
        <f>IF(ISNUMBER(AN17),AM17/AN17-1,"")</f>
        <v/>
      </c>
      <c r="AP17" s="14" t="n">
        <v>4</v>
      </c>
      <c r="AQ17" s="9">
        <f>IF(ISNUMBER(AM17),J17/AM17-1,"")</f>
        <v/>
      </c>
      <c r="AR17" s="8" t="n">
        <v>3.63</v>
      </c>
      <c r="AS17" s="9">
        <f>J17/AR17-1</f>
        <v/>
      </c>
      <c r="AT17" s="5" t="inlineStr">
        <is>
          <t>上傾收窄（楔形）</t>
        </is>
      </c>
      <c r="AU17" s="15" t="n">
        <v>0.3329</v>
      </c>
      <c r="AV17" s="15" t="n">
        <v>1.0089</v>
      </c>
      <c r="AW17" s="15" t="n">
        <v>0.5249</v>
      </c>
      <c r="AX17" s="15" t="n">
        <v>0.6039</v>
      </c>
      <c r="AY17" s="14" t="n">
        <v>3</v>
      </c>
      <c r="AZ17" s="8" t="n">
        <v>3.74</v>
      </c>
      <c r="BA17" s="8" t="n">
        <v>3.1</v>
      </c>
      <c r="BB17" s="8" t="n">
        <v>3.4359</v>
      </c>
      <c r="BC17" s="15" t="n">
        <v>0.6653</v>
      </c>
      <c r="BD17" s="11">
        <f>IF(M17=N17,0.5,(J17-N17)/(M17-N17))</f>
        <v/>
      </c>
      <c r="BE17" s="16" t="n">
        <v>12.353</v>
      </c>
      <c r="BF17" s="16" t="n">
        <v>7.599</v>
      </c>
      <c r="BG17" s="17">
        <f>100*(0.4*MIN(1,MAX(0,((U17*100)-(0.0))/((2.5)-(0.0))))+0.3*MIN(1,MAX(0,((V17)-(0.6))/((1.0)-(0.6))))+0.3*MIN(1,MAX(0,((BE17)-(0.0))/((15.0)-(0.0)))))</f>
        <v/>
      </c>
      <c r="BH17" s="17">
        <f>100*(0.4*MIN(1,MAX(0,((MIN(ABS(AA17),ABS(AB17)))-(0.75))/((0.0)-(0.75))))+0.3*MIN(1,MAX(0,((BC17)-(1.2))/((0.6)-(1.2))))+0.3*BD17)</f>
        <v/>
      </c>
      <c r="BI17" s="17">
        <f>100*(0.5*MIN(1,MAX(0,((AK17)-(1.0))/((4.0)-(1.0))))+0.3*MIN(1,MAX(0,((IF(ISNUMBER(AO17),AO17,0)*100)-(0.0))/((8.0)-(0.0))))+0.2*MIN(1,MAX(0,((IF(ISNUMBER(AP17),AP17,0))-(25.0))/((5.0)-(25.0)))))</f>
        <v/>
      </c>
      <c r="BJ17" s="17">
        <f>100*(0.35*MIN(1,MAX(0,((ABS(AU17))-(0.3))/((0.05)-(0.3))))+0.3*MIN(1,MAX(0,((AV17)-(0.0))/((0.3)-(0.0))))+0.25*MIN(1,MAX(0,((AW17)-(0.4))/((0.7)-(0.4))))+0.1*IF(AY17&gt;=2,1,0.5))</f>
        <v/>
      </c>
      <c r="BK17" s="18">
        <f>0.25*BG17+0.25*BH17+0.2*BI17+0.3*BJ17</f>
        <v/>
      </c>
      <c r="BL17" s="5" t="inlineStr">
        <is>
          <t>全部通過</t>
        </is>
      </c>
      <c r="BM17" s="5" t="inlineStr"/>
    </row>
    <row r="18">
      <c r="A18" s="5" t="n">
        <v>1</v>
      </c>
      <c r="B18" s="5" t="n">
        <v>17</v>
      </c>
      <c r="C18" s="6" t="inlineStr">
        <is>
          <t>MTW</t>
        </is>
      </c>
      <c r="D18" s="5" t="inlineStr">
        <is>
          <t>Manitowoc Company Inc. (The)</t>
        </is>
      </c>
      <c r="E18" s="5" t="inlineStr">
        <is>
          <t>NYSE</t>
        </is>
      </c>
      <c r="F18" s="5" t="inlineStr">
        <is>
          <t>工業</t>
        </is>
      </c>
      <c r="G18" s="5" t="inlineStr">
        <is>
          <t>Construction/Ag Equipment/Trucks</t>
        </is>
      </c>
      <c r="H18" s="7" t="n">
        <v>0.774</v>
      </c>
      <c r="I18" s="5" t="inlineStr">
        <is>
          <t>小型</t>
        </is>
      </c>
      <c r="J18" s="8" t="n">
        <v>22.4</v>
      </c>
      <c r="K18" s="8" t="n">
        <v>21.46</v>
      </c>
      <c r="L18" s="9">
        <f>J18/K18-1</f>
        <v/>
      </c>
      <c r="M18" s="8" t="n">
        <v>22.7</v>
      </c>
      <c r="N18" s="8" t="n">
        <v>21.14</v>
      </c>
      <c r="O18" s="10" t="n">
        <v>551400</v>
      </c>
      <c r="P18" s="10" t="n">
        <v>498695</v>
      </c>
      <c r="Q18" s="11">
        <f>O18/P18</f>
        <v/>
      </c>
      <c r="R18" s="8" t="n">
        <v>21.9569</v>
      </c>
      <c r="S18" s="8" t="n">
        <v>21.3218</v>
      </c>
      <c r="T18" s="8" t="n">
        <v>20.8739</v>
      </c>
      <c r="U18" s="9">
        <f>S18/T18-1</f>
        <v/>
      </c>
      <c r="V18" s="12" t="n">
        <v>1</v>
      </c>
      <c r="W18" s="9">
        <f>J18/R18-1</f>
        <v/>
      </c>
      <c r="X18" s="9">
        <f>J18/S18-1</f>
        <v/>
      </c>
      <c r="Y18" s="8" t="n">
        <v>0.9582000000000001</v>
      </c>
      <c r="Z18" s="13">
        <f>Y18/J18</f>
        <v/>
      </c>
      <c r="AA18" s="11">
        <f>(J18-R18)/Y18</f>
        <v/>
      </c>
      <c r="AB18" s="11">
        <f>(J18-S18)/Y18</f>
        <v/>
      </c>
      <c r="AC18" s="5">
        <f>IF(ABS(AA18)&lt;=ABS(AB18),"9EMA","21EMA")</f>
        <v/>
      </c>
      <c r="AD18" s="5" t="inlineStr">
        <is>
          <t>9+21EMA</t>
        </is>
      </c>
      <c r="AE18" s="5" t="inlineStr">
        <is>
          <t>持續在上方</t>
        </is>
      </c>
      <c r="AF18" s="5" t="inlineStr"/>
      <c r="AG18" s="5" t="inlineStr"/>
      <c r="AH18" s="5" t="inlineStr">
        <is>
          <t>✓</t>
        </is>
      </c>
      <c r="AI18" s="5" t="inlineStr">
        <is>
          <t>2026-07-16</t>
        </is>
      </c>
      <c r="AJ18" s="5" t="n">
        <v>54</v>
      </c>
      <c r="AK18" s="14" t="n">
        <v>5</v>
      </c>
      <c r="AL18" s="5" t="inlineStr">
        <is>
          <t>2026-09-24</t>
        </is>
      </c>
      <c r="AM18" s="8" t="n">
        <v>21.19</v>
      </c>
      <c r="AN18" s="8" t="n">
        <v>19.63</v>
      </c>
      <c r="AO18" s="9">
        <f>IF(ISNUMBER(AN18),AM18/AN18-1,"")</f>
        <v/>
      </c>
      <c r="AP18" s="14" t="n">
        <v>5</v>
      </c>
      <c r="AQ18" s="9">
        <f>IF(ISNUMBER(AM18),J18/AM18-1,"")</f>
        <v/>
      </c>
      <c r="AR18" s="8" t="n">
        <v>22.76</v>
      </c>
      <c r="AS18" s="9">
        <f>J18/AR18-1</f>
        <v/>
      </c>
      <c r="AT18" s="5" t="inlineStr">
        <is>
          <t>上升通道</t>
        </is>
      </c>
      <c r="AU18" s="15" t="n">
        <v>0.6778</v>
      </c>
      <c r="AV18" s="15" t="n">
        <v>0.6864</v>
      </c>
      <c r="AW18" s="15" t="n">
        <v>0.5851</v>
      </c>
      <c r="AX18" s="15" t="n">
        <v>0.6232</v>
      </c>
      <c r="AY18" s="14" t="n">
        <v>3</v>
      </c>
      <c r="AZ18" s="8" t="n">
        <v>23.17</v>
      </c>
      <c r="BA18" s="8" t="n">
        <v>18.73</v>
      </c>
      <c r="BB18" s="8" t="n">
        <v>21.3281</v>
      </c>
      <c r="BC18" s="15" t="n">
        <v>1.292</v>
      </c>
      <c r="BD18" s="11">
        <f>IF(M18=N18,0.5,(J18-N18)/(M18-N18))</f>
        <v/>
      </c>
      <c r="BE18" s="16" t="n">
        <v>22.898</v>
      </c>
      <c r="BF18" s="16" t="n">
        <v>18.143</v>
      </c>
      <c r="BG18" s="17">
        <f>100*(0.4*MIN(1,MAX(0,((U18*100)-(0.0))/((2.5)-(0.0))))+0.3*MIN(1,MAX(0,((V18)-(0.6))/((1.0)-(0.6))))+0.3*MIN(1,MAX(0,((BE18)-(0.0))/((15.0)-(0.0)))))</f>
        <v/>
      </c>
      <c r="BH18" s="17">
        <f>100*(0.4*MIN(1,MAX(0,((MIN(ABS(AA18),ABS(AB18)))-(0.75))/((0.0)-(0.75))))+0.3*MIN(1,MAX(0,((BC18)-(1.2))/((0.6)-(1.2))))+0.3*BD18)</f>
        <v/>
      </c>
      <c r="BI18" s="17">
        <f>100*(0.5*MIN(1,MAX(0,((AK18)-(1.0))/((4.0)-(1.0))))+0.3*MIN(1,MAX(0,((IF(ISNUMBER(AO18),AO18,0)*100)-(0.0))/((8.0)-(0.0))))+0.2*MIN(1,MAX(0,((IF(ISNUMBER(AP18),AP18,0))-(25.0))/((5.0)-(25.0)))))</f>
        <v/>
      </c>
      <c r="BJ18" s="17">
        <f>100*(0.35*MIN(1,MAX(0,((ABS(AU18))-(0.3))/((0.05)-(0.3))))+0.3*MIN(1,MAX(0,((AV18)-(0.0))/((0.3)-(0.0))))+0.25*MIN(1,MAX(0,((AW18)-(0.4))/((0.7)-(0.4))))+0.1*IF(AY18&gt;=2,1,0.5))</f>
        <v/>
      </c>
      <c r="BK18" s="18">
        <f>0.25*BG18+0.25*BH18+0.2*BI18+0.3*BJ18</f>
        <v/>
      </c>
      <c r="BL18" s="5" t="inlineStr">
        <is>
          <t>全部通過</t>
        </is>
      </c>
      <c r="BM18" s="5" t="inlineStr"/>
    </row>
    <row r="19">
      <c r="A19" s="5" t="n">
        <v>1</v>
      </c>
      <c r="B19" s="5" t="n">
        <v>18</v>
      </c>
      <c r="C19" s="6" t="inlineStr">
        <is>
          <t>ISRG</t>
        </is>
      </c>
      <c r="D19" s="5" t="inlineStr">
        <is>
          <t>Intuitive Surgical Inc.</t>
        </is>
      </c>
      <c r="E19" s="5" t="inlineStr">
        <is>
          <t>NASDAQ</t>
        </is>
      </c>
      <c r="F19" s="5" t="inlineStr">
        <is>
          <t>醫療保健</t>
        </is>
      </c>
      <c r="G19" s="5" t="inlineStr">
        <is>
          <t>Industrial Specialties</t>
        </is>
      </c>
      <c r="H19" s="7" t="n">
        <v>143.653</v>
      </c>
      <c r="I19" s="5" t="inlineStr">
        <is>
          <t>大型</t>
        </is>
      </c>
      <c r="J19" s="8" t="n">
        <v>401.24</v>
      </c>
      <c r="K19" s="8" t="n">
        <v>406.63</v>
      </c>
      <c r="L19" s="9">
        <f>J19/K19-1</f>
        <v/>
      </c>
      <c r="M19" s="8" t="n">
        <v>410.52</v>
      </c>
      <c r="N19" s="8" t="n">
        <v>399.25</v>
      </c>
      <c r="O19" s="10" t="n">
        <v>1511300</v>
      </c>
      <c r="P19" s="10" t="n">
        <v>2411950</v>
      </c>
      <c r="Q19" s="11">
        <f>O19/P19</f>
        <v/>
      </c>
      <c r="R19" s="8" t="n">
        <v>401.8931</v>
      </c>
      <c r="S19" s="8" t="n">
        <v>392.5062</v>
      </c>
      <c r="T19" s="8" t="n">
        <v>383.2484</v>
      </c>
      <c r="U19" s="9">
        <f>S19/T19-1</f>
        <v/>
      </c>
      <c r="V19" s="12" t="n">
        <v>1</v>
      </c>
      <c r="W19" s="9">
        <f>J19/R19-1</f>
        <v/>
      </c>
      <c r="X19" s="9">
        <f>J19/S19-1</f>
        <v/>
      </c>
      <c r="Y19" s="8" t="n">
        <v>10.9654</v>
      </c>
      <c r="Z19" s="13">
        <f>Y19/J19</f>
        <v/>
      </c>
      <c r="AA19" s="11">
        <f>(J19-R19)/Y19</f>
        <v/>
      </c>
      <c r="AB19" s="11">
        <f>(J19-S19)/Y19</f>
        <v/>
      </c>
      <c r="AC19" s="5">
        <f>IF(ABS(AA19)&lt;=ABS(AB19),"9EMA","21EMA")</f>
        <v/>
      </c>
      <c r="AD19" s="5" t="inlineStr">
        <is>
          <t>9EMA</t>
        </is>
      </c>
      <c r="AE19" s="5" t="inlineStr">
        <is>
          <t>持續在上方</t>
        </is>
      </c>
      <c r="AF19" s="5" t="inlineStr"/>
      <c r="AG19" s="5" t="inlineStr"/>
      <c r="AH19" s="5" t="inlineStr">
        <is>
          <t>✓</t>
        </is>
      </c>
      <c r="AI19" s="5" t="inlineStr">
        <is>
          <t>2026-09-17</t>
        </is>
      </c>
      <c r="AJ19" s="5" t="n">
        <v>10</v>
      </c>
      <c r="AK19" s="14" t="n">
        <v>2</v>
      </c>
      <c r="AL19" s="5" t="inlineStr">
        <is>
          <t>2026-09-25</t>
        </is>
      </c>
      <c r="AM19" s="8" t="n">
        <v>391.92</v>
      </c>
      <c r="AN19" s="8" t="n">
        <v>345.25</v>
      </c>
      <c r="AO19" s="9">
        <f>IF(ISNUMBER(AN19),AM19/AN19-1,"")</f>
        <v/>
      </c>
      <c r="AP19" s="14" t="n">
        <v>4</v>
      </c>
      <c r="AQ19" s="9">
        <f>IF(ISNUMBER(AM19),J19/AM19-1,"")</f>
        <v/>
      </c>
      <c r="AR19" s="8" t="n">
        <v>414.79</v>
      </c>
      <c r="AS19" s="9">
        <f>J19/AR19-1</f>
        <v/>
      </c>
      <c r="AT19" s="5" t="inlineStr">
        <is>
          <t>上升通道</t>
        </is>
      </c>
      <c r="AU19" s="15" t="n">
        <v>0.4999</v>
      </c>
      <c r="AV19" s="15" t="n">
        <v>0.4297</v>
      </c>
      <c r="AW19" s="15" t="n">
        <v>0.5212</v>
      </c>
      <c r="AX19" s="15" t="n">
        <v>0.4986</v>
      </c>
      <c r="AY19" s="14" t="n">
        <v>4</v>
      </c>
      <c r="AZ19" s="8" t="n">
        <v>416.51</v>
      </c>
      <c r="BA19" s="8" t="n">
        <v>345.25</v>
      </c>
      <c r="BB19" s="8" t="n">
        <v>382.3872</v>
      </c>
      <c r="BC19" s="15" t="n">
        <v>0.6169</v>
      </c>
      <c r="BD19" s="11">
        <f>IF(M19=N19,0.5,(J19-N19)/(M19-N19))</f>
        <v/>
      </c>
      <c r="BE19" s="16" t="n">
        <v>13.418</v>
      </c>
      <c r="BF19" s="16" t="n">
        <v>8.664</v>
      </c>
      <c r="BG19" s="17">
        <f>100*(0.4*MIN(1,MAX(0,((U19*100)-(0.0))/((2.5)-(0.0))))+0.3*MIN(1,MAX(0,((V19)-(0.6))/((1.0)-(0.6))))+0.3*MIN(1,MAX(0,((BE19)-(0.0))/((15.0)-(0.0)))))</f>
        <v/>
      </c>
      <c r="BH19" s="17">
        <f>100*(0.4*MIN(1,MAX(0,((MIN(ABS(AA19),ABS(AB19)))-(0.75))/((0.0)-(0.75))))+0.3*MIN(1,MAX(0,((BC19)-(1.2))/((0.6)-(1.2))))+0.3*BD19)</f>
        <v/>
      </c>
      <c r="BI19" s="17">
        <f>100*(0.5*MIN(1,MAX(0,((AK19)-(1.0))/((4.0)-(1.0))))+0.3*MIN(1,MAX(0,((IF(ISNUMBER(AO19),AO19,0)*100)-(0.0))/((8.0)-(0.0))))+0.2*MIN(1,MAX(0,((IF(ISNUMBER(AP19),AP19,0))-(25.0))/((5.0)-(25.0)))))</f>
        <v/>
      </c>
      <c r="BJ19" s="17">
        <f>100*(0.35*MIN(1,MAX(0,((ABS(AU19))-(0.3))/((0.05)-(0.3))))+0.3*MIN(1,MAX(0,((AV19)-(0.0))/((0.3)-(0.0))))+0.25*MIN(1,MAX(0,((AW19)-(0.4))/((0.7)-(0.4))))+0.1*IF(AY19&gt;=2,1,0.5))</f>
        <v/>
      </c>
      <c r="BK19" s="18">
        <f>0.25*BG19+0.25*BH19+0.2*BI19+0.3*BJ19</f>
        <v/>
      </c>
      <c r="BL19" s="5" t="inlineStr">
        <is>
          <t>全部通過</t>
        </is>
      </c>
      <c r="BM19" s="5" t="inlineStr"/>
    </row>
    <row r="20">
      <c r="A20" s="5" t="n">
        <v>1</v>
      </c>
      <c r="B20" s="5" t="n">
        <v>19</v>
      </c>
      <c r="C20" s="6" t="inlineStr">
        <is>
          <t>SEI</t>
        </is>
      </c>
      <c r="D20" s="5" t="inlineStr">
        <is>
          <t>Solaris Energy Infrastructure Inc.</t>
        </is>
      </c>
      <c r="E20" s="5" t="inlineStr">
        <is>
          <t>NYSE</t>
        </is>
      </c>
      <c r="F20" s="5" t="inlineStr">
        <is>
          <t>非必需消費</t>
        </is>
      </c>
      <c r="G20" s="5" t="inlineStr">
        <is>
          <t>Oil and Gas Field Machinery</t>
        </is>
      </c>
      <c r="H20" s="7" t="n">
        <v>5.45</v>
      </c>
      <c r="I20" s="5" t="inlineStr">
        <is>
          <t>中型</t>
        </is>
      </c>
      <c r="J20" s="8" t="n">
        <v>71.38</v>
      </c>
      <c r="K20" s="8" t="n">
        <v>71.18000000000001</v>
      </c>
      <c r="L20" s="9">
        <f>J20/K20-1</f>
        <v/>
      </c>
      <c r="M20" s="8" t="n">
        <v>72.5</v>
      </c>
      <c r="N20" s="8" t="n">
        <v>70.23</v>
      </c>
      <c r="O20" s="10" t="n">
        <v>1718800</v>
      </c>
      <c r="P20" s="10" t="n">
        <v>2796590</v>
      </c>
      <c r="Q20" s="11">
        <f>O20/P20</f>
        <v/>
      </c>
      <c r="R20" s="8" t="n">
        <v>69.1653</v>
      </c>
      <c r="S20" s="8" t="n">
        <v>65.9819</v>
      </c>
      <c r="T20" s="8" t="n">
        <v>63.367</v>
      </c>
      <c r="U20" s="9">
        <f>S20/T20-1</f>
        <v/>
      </c>
      <c r="V20" s="12" t="n">
        <v>1</v>
      </c>
      <c r="W20" s="9">
        <f>J20/R20-1</f>
        <v/>
      </c>
      <c r="X20" s="9">
        <f>J20/S20-1</f>
        <v/>
      </c>
      <c r="Y20" s="8" t="n">
        <v>4.0993</v>
      </c>
      <c r="Z20" s="13">
        <f>Y20/J20</f>
        <v/>
      </c>
      <c r="AA20" s="11">
        <f>(J20-R20)/Y20</f>
        <v/>
      </c>
      <c r="AB20" s="11">
        <f>(J20-S20)/Y20</f>
        <v/>
      </c>
      <c r="AC20" s="5">
        <f>IF(ABS(AA20)&lt;=ABS(AB20),"9EMA","21EMA")</f>
        <v/>
      </c>
      <c r="AD20" s="5" t="inlineStr">
        <is>
          <t>9EMA</t>
        </is>
      </c>
      <c r="AE20" s="5" t="inlineStr">
        <is>
          <t>持續在上方</t>
        </is>
      </c>
      <c r="AF20" s="5" t="inlineStr"/>
      <c r="AG20" s="5" t="inlineStr"/>
      <c r="AH20" s="5" t="inlineStr"/>
      <c r="AI20" s="5" t="inlineStr">
        <is>
          <t>2026-09-09</t>
        </is>
      </c>
      <c r="AJ20" s="5" t="n">
        <v>16</v>
      </c>
      <c r="AK20" s="14" t="n">
        <v>3</v>
      </c>
      <c r="AL20" s="5" t="inlineStr">
        <is>
          <t>2026-09-23</t>
        </is>
      </c>
      <c r="AM20" s="8" t="n">
        <v>64.23</v>
      </c>
      <c r="AN20" s="8" t="n">
        <v>60.59</v>
      </c>
      <c r="AO20" s="9">
        <f>IF(ISNUMBER(AN20),AM20/AN20-1,"")</f>
        <v/>
      </c>
      <c r="AP20" s="14" t="n">
        <v>6</v>
      </c>
      <c r="AQ20" s="9">
        <f>IF(ISNUMBER(AM20),J20/AM20-1,"")</f>
        <v/>
      </c>
      <c r="AR20" s="8" t="n">
        <v>71.38</v>
      </c>
      <c r="AS20" s="9">
        <f>J20/AR20-1</f>
        <v/>
      </c>
      <c r="AT20" s="5" t="inlineStr">
        <is>
          <t>上傾收窄（楔形）</t>
        </is>
      </c>
      <c r="AU20" s="15" t="n">
        <v>0.2498</v>
      </c>
      <c r="AV20" s="15" t="n">
        <v>1.6431</v>
      </c>
      <c r="AW20" s="15" t="n">
        <v>0.6585</v>
      </c>
      <c r="AX20" s="15" t="n">
        <v>0.6637</v>
      </c>
      <c r="AY20" s="14" t="n">
        <v>5</v>
      </c>
      <c r="AZ20" s="8" t="n">
        <v>72.5</v>
      </c>
      <c r="BA20" s="8" t="n">
        <v>47.81</v>
      </c>
      <c r="BB20" s="8" t="n">
        <v>64.0693</v>
      </c>
      <c r="BC20" s="15" t="n">
        <v>0.9737</v>
      </c>
      <c r="BD20" s="11">
        <f>IF(M20=N20,0.5,(J20-N20)/(M20-N20))</f>
        <v/>
      </c>
      <c r="BE20" s="16" t="n">
        <v>48.549</v>
      </c>
      <c r="BF20" s="16" t="n">
        <v>43.795</v>
      </c>
      <c r="BG20" s="17">
        <f>100*(0.4*MIN(1,MAX(0,((U20*100)-(0.0))/((2.5)-(0.0))))+0.3*MIN(1,MAX(0,((V20)-(0.6))/((1.0)-(0.6))))+0.3*MIN(1,MAX(0,((BE20)-(0.0))/((15.0)-(0.0)))))</f>
        <v/>
      </c>
      <c r="BH20" s="17">
        <f>100*(0.4*MIN(1,MAX(0,((MIN(ABS(AA20),ABS(AB20)))-(0.75))/((0.0)-(0.75))))+0.3*MIN(1,MAX(0,((BC20)-(1.2))/((0.6)-(1.2))))+0.3*BD20)</f>
        <v/>
      </c>
      <c r="BI20" s="17">
        <f>100*(0.5*MIN(1,MAX(0,((AK20)-(1.0))/((4.0)-(1.0))))+0.3*MIN(1,MAX(0,((IF(ISNUMBER(AO20),AO20,0)*100)-(0.0))/((8.0)-(0.0))))+0.2*MIN(1,MAX(0,((IF(ISNUMBER(AP20),AP20,0))-(25.0))/((5.0)-(25.0)))))</f>
        <v/>
      </c>
      <c r="BJ20" s="17">
        <f>100*(0.35*MIN(1,MAX(0,((ABS(AU20))-(0.3))/((0.05)-(0.3))))+0.3*MIN(1,MAX(0,((AV20)-(0.0))/((0.3)-(0.0))))+0.25*MIN(1,MAX(0,((AW20)-(0.4))/((0.7)-(0.4))))+0.1*IF(AY20&gt;=2,1,0.5))</f>
        <v/>
      </c>
      <c r="BK20" s="18">
        <f>0.25*BG20+0.25*BH20+0.2*BI20+0.3*BJ20</f>
        <v/>
      </c>
      <c r="BL20" s="5" t="inlineStr">
        <is>
          <t>全部通過</t>
        </is>
      </c>
      <c r="BM20" s="5" t="inlineStr"/>
    </row>
    <row r="21">
      <c r="A21" s="5" t="n">
        <v>1</v>
      </c>
      <c r="B21" s="5" t="n">
        <v>20</v>
      </c>
      <c r="C21" s="6" t="inlineStr">
        <is>
          <t>FTNT</t>
        </is>
      </c>
      <c r="D21" s="5" t="inlineStr">
        <is>
          <t>Fortinet Inc.</t>
        </is>
      </c>
      <c r="E21" s="5" t="inlineStr">
        <is>
          <t>NASDAQ</t>
        </is>
      </c>
      <c r="F21" s="5" t="inlineStr">
        <is>
          <t>科技</t>
        </is>
      </c>
      <c r="G21" s="5" t="inlineStr">
        <is>
          <t>Computer peripheral equipment</t>
        </is>
      </c>
      <c r="H21" s="7" t="n">
        <v>131.159</v>
      </c>
      <c r="I21" s="5" t="inlineStr">
        <is>
          <t>大型</t>
        </is>
      </c>
      <c r="J21" s="8" t="n">
        <v>178.72</v>
      </c>
      <c r="K21" s="8" t="n">
        <v>178.76</v>
      </c>
      <c r="L21" s="9">
        <f>J21/K21-1</f>
        <v/>
      </c>
      <c r="M21" s="8" t="n">
        <v>180</v>
      </c>
      <c r="N21" s="8" t="n">
        <v>175.02</v>
      </c>
      <c r="O21" s="10" t="n">
        <v>2962800</v>
      </c>
      <c r="P21" s="10" t="n">
        <v>3961810</v>
      </c>
      <c r="Q21" s="11">
        <f>O21/P21</f>
        <v/>
      </c>
      <c r="R21" s="8" t="n">
        <v>175.8128</v>
      </c>
      <c r="S21" s="8" t="n">
        <v>171.1716</v>
      </c>
      <c r="T21" s="8" t="n">
        <v>167.6807</v>
      </c>
      <c r="U21" s="9">
        <f>S21/T21-1</f>
        <v/>
      </c>
      <c r="V21" s="12" t="n">
        <v>1</v>
      </c>
      <c r="W21" s="9">
        <f>J21/R21-1</f>
        <v/>
      </c>
      <c r="X21" s="9">
        <f>J21/S21-1</f>
        <v/>
      </c>
      <c r="Y21" s="8" t="n">
        <v>6.4558</v>
      </c>
      <c r="Z21" s="13">
        <f>Y21/J21</f>
        <v/>
      </c>
      <c r="AA21" s="11">
        <f>(J21-R21)/Y21</f>
        <v/>
      </c>
      <c r="AB21" s="11">
        <f>(J21-S21)/Y21</f>
        <v/>
      </c>
      <c r="AC21" s="5">
        <f>IF(ABS(AA21)&lt;=ABS(AB21),"9EMA","21EMA")</f>
        <v/>
      </c>
      <c r="AD21" s="5" t="inlineStr">
        <is>
          <t>9EMA</t>
        </is>
      </c>
      <c r="AE21" s="5" t="inlineStr">
        <is>
          <t>持續在上方</t>
        </is>
      </c>
      <c r="AF21" s="5" t="inlineStr"/>
      <c r="AG21" s="5" t="inlineStr"/>
      <c r="AH21" s="5" t="inlineStr">
        <is>
          <t>✓</t>
        </is>
      </c>
      <c r="AI21" s="5" t="inlineStr">
        <is>
          <t>2026-09-14</t>
        </is>
      </c>
      <c r="AJ21" s="5" t="n">
        <v>13</v>
      </c>
      <c r="AK21" s="14" t="n">
        <v>4</v>
      </c>
      <c r="AL21" s="5" t="inlineStr">
        <is>
          <t>2026-09-28</t>
        </is>
      </c>
      <c r="AM21" s="8" t="n">
        <v>169.56</v>
      </c>
      <c r="AN21" s="8" t="n">
        <v>166.09</v>
      </c>
      <c r="AO21" s="9">
        <f>IF(ISNUMBER(AN21),AM21/AN21-1,"")</f>
        <v/>
      </c>
      <c r="AP21" s="14" t="n">
        <v>3</v>
      </c>
      <c r="AQ21" s="9">
        <f>IF(ISNUMBER(AM21),J21/AM21-1,"")</f>
        <v/>
      </c>
      <c r="AR21" s="8" t="n">
        <v>178.76</v>
      </c>
      <c r="AS21" s="9">
        <f>J21/AR21-1</f>
        <v/>
      </c>
      <c r="AT21" s="5" t="inlineStr">
        <is>
          <t>上傾收窄（楔形）</t>
        </is>
      </c>
      <c r="AU21" s="15" t="n">
        <v>0.1917</v>
      </c>
      <c r="AV21" s="15" t="n">
        <v>0.6021</v>
      </c>
      <c r="AW21" s="15" t="n">
        <v>0.573</v>
      </c>
      <c r="AX21" s="15" t="n">
        <v>0.5865</v>
      </c>
      <c r="AY21" s="14" t="n">
        <v>4</v>
      </c>
      <c r="AZ21" s="8" t="n">
        <v>181.37</v>
      </c>
      <c r="BA21" s="8" t="n">
        <v>151.8</v>
      </c>
      <c r="BB21" s="8" t="n">
        <v>168.7443</v>
      </c>
      <c r="BC21" s="15" t="n">
        <v>1.52</v>
      </c>
      <c r="BD21" s="11">
        <f>IF(M21=N21,0.5,(J21-N21)/(M21-N21))</f>
        <v/>
      </c>
      <c r="BE21" s="16" t="n">
        <v>15.177</v>
      </c>
      <c r="BF21" s="16" t="n">
        <v>10.423</v>
      </c>
      <c r="BG21" s="17">
        <f>100*(0.4*MIN(1,MAX(0,((U21*100)-(0.0))/((2.5)-(0.0))))+0.3*MIN(1,MAX(0,((V21)-(0.6))/((1.0)-(0.6))))+0.3*MIN(1,MAX(0,((BE21)-(0.0))/((15.0)-(0.0)))))</f>
        <v/>
      </c>
      <c r="BH21" s="17">
        <f>100*(0.4*MIN(1,MAX(0,((MIN(ABS(AA21),ABS(AB21)))-(0.75))/((0.0)-(0.75))))+0.3*MIN(1,MAX(0,((BC21)-(1.2))/((0.6)-(1.2))))+0.3*BD21)</f>
        <v/>
      </c>
      <c r="BI21" s="17">
        <f>100*(0.5*MIN(1,MAX(0,((AK21)-(1.0))/((4.0)-(1.0))))+0.3*MIN(1,MAX(0,((IF(ISNUMBER(AO21),AO21,0)*100)-(0.0))/((8.0)-(0.0))))+0.2*MIN(1,MAX(0,((IF(ISNUMBER(AP21),AP21,0))-(25.0))/((5.0)-(25.0)))))</f>
        <v/>
      </c>
      <c r="BJ21" s="17">
        <f>100*(0.35*MIN(1,MAX(0,((ABS(AU21))-(0.3))/((0.05)-(0.3))))+0.3*MIN(1,MAX(0,((AV21)-(0.0))/((0.3)-(0.0))))+0.25*MIN(1,MAX(0,((AW21)-(0.4))/((0.7)-(0.4))))+0.1*IF(AY21&gt;=2,1,0.5))</f>
        <v/>
      </c>
      <c r="BK21" s="18">
        <f>0.25*BG21+0.25*BH21+0.2*BI21+0.3*BJ21</f>
        <v/>
      </c>
      <c r="BL21" s="5" t="inlineStr">
        <is>
          <t>全部通過</t>
        </is>
      </c>
      <c r="BM21" s="5" t="inlineStr"/>
    </row>
    <row r="22">
      <c r="A22" s="5" t="n">
        <v>1</v>
      </c>
      <c r="B22" s="5" t="n">
        <v>21</v>
      </c>
      <c r="C22" s="6" t="inlineStr">
        <is>
          <t>AVT</t>
        </is>
      </c>
      <c r="D22" s="5" t="inlineStr">
        <is>
          <t>Avnet Inc.</t>
        </is>
      </c>
      <c r="E22" s="5" t="inlineStr">
        <is>
          <t>NASDAQ</t>
        </is>
      </c>
      <c r="F22" s="5" t="inlineStr">
        <is>
          <t>科技</t>
        </is>
      </c>
      <c r="G22" s="5" t="inlineStr">
        <is>
          <t>Electronic Components</t>
        </is>
      </c>
      <c r="H22" s="7" t="n">
        <v>8.202999999999999</v>
      </c>
      <c r="I22" s="5" t="inlineStr">
        <is>
          <t>中型</t>
        </is>
      </c>
      <c r="J22" s="8" t="n">
        <v>102.24</v>
      </c>
      <c r="K22" s="8" t="n">
        <v>99.95</v>
      </c>
      <c r="L22" s="9">
        <f>J22/K22-1</f>
        <v/>
      </c>
      <c r="M22" s="8" t="n">
        <v>103.46</v>
      </c>
      <c r="N22" s="8" t="n">
        <v>98.55</v>
      </c>
      <c r="O22" s="10" t="n">
        <v>1203700</v>
      </c>
      <c r="P22" s="10" t="n">
        <v>1365340</v>
      </c>
      <c r="Q22" s="11">
        <f>O22/P22</f>
        <v/>
      </c>
      <c r="R22" s="8" t="n">
        <v>100.1881</v>
      </c>
      <c r="S22" s="8" t="n">
        <v>97.3309</v>
      </c>
      <c r="T22" s="8" t="n">
        <v>94.6101</v>
      </c>
      <c r="U22" s="9">
        <f>S22/T22-1</f>
        <v/>
      </c>
      <c r="V22" s="12" t="n">
        <v>1</v>
      </c>
      <c r="W22" s="9">
        <f>J22/R22-1</f>
        <v/>
      </c>
      <c r="X22" s="9">
        <f>J22/S22-1</f>
        <v/>
      </c>
      <c r="Y22" s="8" t="n">
        <v>3.8317</v>
      </c>
      <c r="Z22" s="13">
        <f>Y22/J22</f>
        <v/>
      </c>
      <c r="AA22" s="11">
        <f>(J22-R22)/Y22</f>
        <v/>
      </c>
      <c r="AB22" s="11">
        <f>(J22-S22)/Y22</f>
        <v/>
      </c>
      <c r="AC22" s="5">
        <f>IF(ABS(AA22)&lt;=ABS(AB22),"9EMA","21EMA")</f>
        <v/>
      </c>
      <c r="AD22" s="5" t="inlineStr">
        <is>
          <t>9EMA</t>
        </is>
      </c>
      <c r="AE22" s="5" t="inlineStr">
        <is>
          <t>持續在上方</t>
        </is>
      </c>
      <c r="AF22" s="5" t="inlineStr"/>
      <c r="AG22" s="5" t="inlineStr"/>
      <c r="AH22" s="5" t="inlineStr">
        <is>
          <t>✓</t>
        </is>
      </c>
      <c r="AI22" s="5" t="inlineStr">
        <is>
          <t>2026-09-08</t>
        </is>
      </c>
      <c r="AJ22" s="5" t="n">
        <v>17</v>
      </c>
      <c r="AK22" s="14" t="n">
        <v>5</v>
      </c>
      <c r="AL22" s="5" t="inlineStr">
        <is>
          <t>2026-09-16</t>
        </is>
      </c>
      <c r="AM22" s="8" t="n">
        <v>90.90000000000001</v>
      </c>
      <c r="AN22" s="8" t="n">
        <v>86.70999999999999</v>
      </c>
      <c r="AO22" s="9">
        <f>IF(ISNUMBER(AN22),AM22/AN22-1,"")</f>
        <v/>
      </c>
      <c r="AP22" s="14" t="n">
        <v>11</v>
      </c>
      <c r="AQ22" s="9">
        <f>IF(ISNUMBER(AM22),J22/AM22-1,"")</f>
        <v/>
      </c>
      <c r="AR22" s="8" t="n">
        <v>103.08</v>
      </c>
      <c r="AS22" s="9">
        <f>J22/AR22-1</f>
        <v/>
      </c>
      <c r="AT22" s="5" t="inlineStr">
        <is>
          <t>上升通道</t>
        </is>
      </c>
      <c r="AU22" s="15" t="n">
        <v>0.6087</v>
      </c>
      <c r="AV22" s="15" t="n">
        <v>0.5123</v>
      </c>
      <c r="AW22" s="15" t="n">
        <v>0.5054</v>
      </c>
      <c r="AX22" s="15" t="n">
        <v>0.4921</v>
      </c>
      <c r="AY22" s="14" t="n">
        <v>4</v>
      </c>
      <c r="AZ22" s="8" t="n">
        <v>104.58</v>
      </c>
      <c r="BA22" s="8" t="n">
        <v>86.70999999999999</v>
      </c>
      <c r="BB22" s="8" t="n">
        <v>95.74079999999999</v>
      </c>
      <c r="BC22" s="15" t="n">
        <v>0.8726</v>
      </c>
      <c r="BD22" s="11">
        <f>IF(M22=N22,0.5,(J22-N22)/(M22-N22))</f>
        <v/>
      </c>
      <c r="BE22" s="16" t="n">
        <v>19.129</v>
      </c>
      <c r="BF22" s="16" t="n">
        <v>14.375</v>
      </c>
      <c r="BG22" s="17">
        <f>100*(0.4*MIN(1,MAX(0,((U22*100)-(0.0))/((2.5)-(0.0))))+0.3*MIN(1,MAX(0,((V22)-(0.6))/((1.0)-(0.6))))+0.3*MIN(1,MAX(0,((BE22)-(0.0))/((15.0)-(0.0)))))</f>
        <v/>
      </c>
      <c r="BH22" s="17">
        <f>100*(0.4*MIN(1,MAX(0,((MIN(ABS(AA22),ABS(AB22)))-(0.75))/((0.0)-(0.75))))+0.3*MIN(1,MAX(0,((BC22)-(1.2))/((0.6)-(1.2))))+0.3*BD22)</f>
        <v/>
      </c>
      <c r="BI22" s="17">
        <f>100*(0.5*MIN(1,MAX(0,((AK22)-(1.0))/((4.0)-(1.0))))+0.3*MIN(1,MAX(0,((IF(ISNUMBER(AO22),AO22,0)*100)-(0.0))/((8.0)-(0.0))))+0.2*MIN(1,MAX(0,((IF(ISNUMBER(AP22),AP22,0))-(25.0))/((5.0)-(25.0)))))</f>
        <v/>
      </c>
      <c r="BJ22" s="17">
        <f>100*(0.35*MIN(1,MAX(0,((ABS(AU22))-(0.3))/((0.05)-(0.3))))+0.3*MIN(1,MAX(0,((AV22)-(0.0))/((0.3)-(0.0))))+0.25*MIN(1,MAX(0,((AW22)-(0.4))/((0.7)-(0.4))))+0.1*IF(AY22&gt;=2,1,0.5))</f>
        <v/>
      </c>
      <c r="BK22" s="18">
        <f>0.25*BG22+0.25*BH22+0.2*BI22+0.3*BJ22</f>
        <v/>
      </c>
      <c r="BL22" s="5" t="inlineStr">
        <is>
          <t>全部通過</t>
        </is>
      </c>
      <c r="BM22" s="5" t="inlineStr"/>
    </row>
    <row r="23">
      <c r="A23" s="5" t="n">
        <v>1</v>
      </c>
      <c r="B23" s="5" t="n">
        <v>22</v>
      </c>
      <c r="C23" s="6" t="inlineStr">
        <is>
          <t>MRVL</t>
        </is>
      </c>
      <c r="D23" s="5" t="inlineStr">
        <is>
          <t>Marvell Technology Inc.</t>
        </is>
      </c>
      <c r="E23" s="5" t="inlineStr">
        <is>
          <t>NASDAQ</t>
        </is>
      </c>
      <c r="F23" s="5" t="inlineStr">
        <is>
          <t>科技</t>
        </is>
      </c>
      <c r="G23" s="5" t="inlineStr">
        <is>
          <t>Semiconductors</t>
        </is>
      </c>
      <c r="H23" s="7" t="n">
        <v>231.686</v>
      </c>
      <c r="I23" s="5" t="inlineStr">
        <is>
          <t>大型</t>
        </is>
      </c>
      <c r="J23" s="8" t="n">
        <v>268.08</v>
      </c>
      <c r="K23" s="8" t="n">
        <v>264.21</v>
      </c>
      <c r="L23" s="9">
        <f>J23/K23-1</f>
        <v/>
      </c>
      <c r="M23" s="8" t="n">
        <v>270.28</v>
      </c>
      <c r="N23" s="8" t="n">
        <v>257.58</v>
      </c>
      <c r="O23" s="10" t="n">
        <v>18986300</v>
      </c>
      <c r="P23" s="10" t="n">
        <v>17834650</v>
      </c>
      <c r="Q23" s="11">
        <f>O23/P23</f>
        <v/>
      </c>
      <c r="R23" s="8" t="n">
        <v>258.2212</v>
      </c>
      <c r="S23" s="8" t="n">
        <v>247</v>
      </c>
      <c r="T23" s="8" t="n">
        <v>237.6213</v>
      </c>
      <c r="U23" s="9">
        <f>S23/T23-1</f>
        <v/>
      </c>
      <c r="V23" s="12" t="n">
        <v>1</v>
      </c>
      <c r="W23" s="9">
        <f>J23/R23-1</f>
        <v/>
      </c>
      <c r="X23" s="9">
        <f>J23/S23-1</f>
        <v/>
      </c>
      <c r="Y23" s="8" t="n">
        <v>13.0892</v>
      </c>
      <c r="Z23" s="13">
        <f>Y23/J23</f>
        <v/>
      </c>
      <c r="AA23" s="11">
        <f>(J23-R23)/Y23</f>
        <v/>
      </c>
      <c r="AB23" s="11">
        <f>(J23-S23)/Y23</f>
        <v/>
      </c>
      <c r="AC23" s="5">
        <f>IF(ABS(AA23)&lt;=ABS(AB23),"9EMA","21EMA")</f>
        <v/>
      </c>
      <c r="AD23" s="5" t="inlineStr">
        <is>
          <t>9EMA</t>
        </is>
      </c>
      <c r="AE23" s="5" t="inlineStr">
        <is>
          <t>持續在上方</t>
        </is>
      </c>
      <c r="AF23" s="5" t="inlineStr"/>
      <c r="AG23" s="5" t="inlineStr"/>
      <c r="AH23" s="5" t="inlineStr"/>
      <c r="AI23" s="5" t="inlineStr">
        <is>
          <t>2026-09-09</t>
        </is>
      </c>
      <c r="AJ23" s="5" t="n">
        <v>16</v>
      </c>
      <c r="AK23" s="14" t="n">
        <v>3</v>
      </c>
      <c r="AL23" s="5" t="inlineStr">
        <is>
          <t>2026-09-28</t>
        </is>
      </c>
      <c r="AM23" s="8" t="n">
        <v>248.14</v>
      </c>
      <c r="AN23" s="8" t="n">
        <v>213.63</v>
      </c>
      <c r="AO23" s="9">
        <f>IF(ISNUMBER(AN23),AM23/AN23-1,"")</f>
        <v/>
      </c>
      <c r="AP23" s="14" t="n">
        <v>3</v>
      </c>
      <c r="AQ23" s="9">
        <f>IF(ISNUMBER(AM23),J23/AM23-1,"")</f>
        <v/>
      </c>
      <c r="AR23" s="8" t="n">
        <v>268.08</v>
      </c>
      <c r="AS23" s="9">
        <f>J23/AR23-1</f>
        <v/>
      </c>
      <c r="AT23" s="5" t="inlineStr">
        <is>
          <t>上傾收窄（楔形）</t>
        </is>
      </c>
      <c r="AU23" s="15" t="n">
        <v>0.2841</v>
      </c>
      <c r="AV23" s="15" t="n">
        <v>0.9972</v>
      </c>
      <c r="AW23" s="15" t="n">
        <v>0.5018</v>
      </c>
      <c r="AX23" s="15" t="n">
        <v>0.4723</v>
      </c>
      <c r="AY23" s="14" t="n">
        <v>2</v>
      </c>
      <c r="AZ23" s="8" t="n">
        <v>270.28</v>
      </c>
      <c r="BA23" s="8" t="n">
        <v>200.62</v>
      </c>
      <c r="BB23" s="8" t="n">
        <v>235.5757</v>
      </c>
      <c r="BC23" s="15" t="n">
        <v>0.8184</v>
      </c>
      <c r="BD23" s="11">
        <f>IF(M23=N23,0.5,(J23-N23)/(M23-N23))</f>
        <v/>
      </c>
      <c r="BE23" s="16" t="n">
        <v>32.175</v>
      </c>
      <c r="BF23" s="16" t="n">
        <v>27.421</v>
      </c>
      <c r="BG23" s="17">
        <f>100*(0.4*MIN(1,MAX(0,((U23*100)-(0.0))/((2.5)-(0.0))))+0.3*MIN(1,MAX(0,((V23)-(0.6))/((1.0)-(0.6))))+0.3*MIN(1,MAX(0,((BE23)-(0.0))/((15.0)-(0.0)))))</f>
        <v/>
      </c>
      <c r="BH23" s="17">
        <f>100*(0.4*MIN(1,MAX(0,((MIN(ABS(AA23),ABS(AB23)))-(0.75))/((0.0)-(0.75))))+0.3*MIN(1,MAX(0,((BC23)-(1.2))/((0.6)-(1.2))))+0.3*BD23)</f>
        <v/>
      </c>
      <c r="BI23" s="17">
        <f>100*(0.5*MIN(1,MAX(0,((AK23)-(1.0))/((4.0)-(1.0))))+0.3*MIN(1,MAX(0,((IF(ISNUMBER(AO23),AO23,0)*100)-(0.0))/((8.0)-(0.0))))+0.2*MIN(1,MAX(0,((IF(ISNUMBER(AP23),AP23,0))-(25.0))/((5.0)-(25.0)))))</f>
        <v/>
      </c>
      <c r="BJ23" s="17">
        <f>100*(0.35*MIN(1,MAX(0,((ABS(AU23))-(0.3))/((0.05)-(0.3))))+0.3*MIN(1,MAX(0,((AV23)-(0.0))/((0.3)-(0.0))))+0.25*MIN(1,MAX(0,((AW23)-(0.4))/((0.7)-(0.4))))+0.1*IF(AY23&gt;=2,1,0.5))</f>
        <v/>
      </c>
      <c r="BK23" s="18">
        <f>0.25*BG23+0.25*BH23+0.2*BI23+0.3*BJ23</f>
        <v/>
      </c>
      <c r="BL23" s="5" t="inlineStr">
        <is>
          <t>全部通過</t>
        </is>
      </c>
      <c r="BM23" s="5" t="inlineStr"/>
    </row>
    <row r="24">
      <c r="A24" s="5" t="n">
        <v>1</v>
      </c>
      <c r="B24" s="5" t="n">
        <v>23</v>
      </c>
      <c r="C24" s="6" t="inlineStr">
        <is>
          <t>CVLT</t>
        </is>
      </c>
      <c r="D24" s="5" t="inlineStr">
        <is>
          <t>Commvault Systems Inc.</t>
        </is>
      </c>
      <c r="E24" s="5" t="inlineStr">
        <is>
          <t>NASDAQ</t>
        </is>
      </c>
      <c r="F24" s="5" t="inlineStr">
        <is>
          <t>科技</t>
        </is>
      </c>
      <c r="G24" s="5" t="inlineStr">
        <is>
          <t>Computer Software: Prepackaged Software</t>
        </is>
      </c>
      <c r="H24" s="7" t="n">
        <v>6.213</v>
      </c>
      <c r="I24" s="5" t="inlineStr">
        <is>
          <t>中型</t>
        </is>
      </c>
      <c r="J24" s="8" t="n">
        <v>147.77</v>
      </c>
      <c r="K24" s="8" t="n">
        <v>149.92</v>
      </c>
      <c r="L24" s="9">
        <f>J24/K24-1</f>
        <v/>
      </c>
      <c r="M24" s="8" t="n">
        <v>151.5</v>
      </c>
      <c r="N24" s="8" t="n">
        <v>145.69</v>
      </c>
      <c r="O24" s="10" t="n">
        <v>706300</v>
      </c>
      <c r="P24" s="10" t="n">
        <v>592410</v>
      </c>
      <c r="Q24" s="11">
        <f>O24/P24</f>
        <v/>
      </c>
      <c r="R24" s="8" t="n">
        <v>146.9838</v>
      </c>
      <c r="S24" s="8" t="n">
        <v>143.7918</v>
      </c>
      <c r="T24" s="8" t="n">
        <v>141.4376</v>
      </c>
      <c r="U24" s="9">
        <f>S24/T24-1</f>
        <v/>
      </c>
      <c r="V24" s="12" t="n">
        <v>1</v>
      </c>
      <c r="W24" s="9">
        <f>J24/R24-1</f>
        <v/>
      </c>
      <c r="X24" s="9">
        <f>J24/S24-1</f>
        <v/>
      </c>
      <c r="Y24" s="8" t="n">
        <v>5.7889</v>
      </c>
      <c r="Z24" s="13">
        <f>Y24/J24</f>
        <v/>
      </c>
      <c r="AA24" s="11">
        <f>(J24-R24)/Y24</f>
        <v/>
      </c>
      <c r="AB24" s="11">
        <f>(J24-S24)/Y24</f>
        <v/>
      </c>
      <c r="AC24" s="5">
        <f>IF(ABS(AA24)&lt;=ABS(AB24),"9EMA","21EMA")</f>
        <v/>
      </c>
      <c r="AD24" s="5" t="inlineStr">
        <is>
          <t>9EMA</t>
        </is>
      </c>
      <c r="AE24" s="5" t="inlineStr">
        <is>
          <t>持續在上方</t>
        </is>
      </c>
      <c r="AF24" s="5" t="inlineStr"/>
      <c r="AG24" s="5" t="inlineStr"/>
      <c r="AH24" s="5" t="inlineStr">
        <is>
          <t>✓</t>
        </is>
      </c>
      <c r="AI24" s="5" t="inlineStr">
        <is>
          <t>2026-09-15</t>
        </is>
      </c>
      <c r="AJ24" s="5" t="n">
        <v>12</v>
      </c>
      <c r="AK24" s="14" t="n">
        <v>3</v>
      </c>
      <c r="AL24" s="5" t="inlineStr">
        <is>
          <t>2026-09-28</t>
        </is>
      </c>
      <c r="AM24" s="8" t="n">
        <v>141.1</v>
      </c>
      <c r="AN24" s="8" t="n">
        <v>129.5</v>
      </c>
      <c r="AO24" s="9">
        <f>IF(ISNUMBER(AN24),AM24/AN24-1,"")</f>
        <v/>
      </c>
      <c r="AP24" s="14" t="n">
        <v>3</v>
      </c>
      <c r="AQ24" s="9">
        <f>IF(ISNUMBER(AM24),J24/AM24-1,"")</f>
        <v/>
      </c>
      <c r="AR24" s="8" t="n">
        <v>150</v>
      </c>
      <c r="AS24" s="9">
        <f>J24/AR24-1</f>
        <v/>
      </c>
      <c r="AT24" s="5" t="inlineStr">
        <is>
          <t>上傾收窄（楔形）</t>
        </is>
      </c>
      <c r="AU24" s="15" t="n">
        <v>0.343</v>
      </c>
      <c r="AV24" s="15" t="n">
        <v>0.6185</v>
      </c>
      <c r="AW24" s="15" t="n">
        <v>0.6215000000000001</v>
      </c>
      <c r="AX24" s="15" t="n">
        <v>0.6098</v>
      </c>
      <c r="AY24" s="14" t="n">
        <v>8</v>
      </c>
      <c r="AZ24" s="8" t="n">
        <v>151.62</v>
      </c>
      <c r="BA24" s="8" t="n">
        <v>125.9</v>
      </c>
      <c r="BB24" s="8" t="n">
        <v>141.8847</v>
      </c>
      <c r="BC24" s="15" t="n">
        <v>1.1136</v>
      </c>
      <c r="BD24" s="11">
        <f>IF(M24=N24,0.5,(J24-N24)/(M24-N24))</f>
        <v/>
      </c>
      <c r="BE24" s="16" t="n">
        <v>19.127</v>
      </c>
      <c r="BF24" s="16" t="n">
        <v>14.373</v>
      </c>
      <c r="BG24" s="17">
        <f>100*(0.4*MIN(1,MAX(0,((U24*100)-(0.0))/((2.5)-(0.0))))+0.3*MIN(1,MAX(0,((V24)-(0.6))/((1.0)-(0.6))))+0.3*MIN(1,MAX(0,((BE24)-(0.0))/((15.0)-(0.0)))))</f>
        <v/>
      </c>
      <c r="BH24" s="17">
        <f>100*(0.4*MIN(1,MAX(0,((MIN(ABS(AA24),ABS(AB24)))-(0.75))/((0.0)-(0.75))))+0.3*MIN(1,MAX(0,((BC24)-(1.2))/((0.6)-(1.2))))+0.3*BD24)</f>
        <v/>
      </c>
      <c r="BI24" s="17">
        <f>100*(0.5*MIN(1,MAX(0,((AK24)-(1.0))/((4.0)-(1.0))))+0.3*MIN(1,MAX(0,((IF(ISNUMBER(AO24),AO24,0)*100)-(0.0))/((8.0)-(0.0))))+0.2*MIN(1,MAX(0,((IF(ISNUMBER(AP24),AP24,0))-(25.0))/((5.0)-(25.0)))))</f>
        <v/>
      </c>
      <c r="BJ24" s="17">
        <f>100*(0.35*MIN(1,MAX(0,((ABS(AU24))-(0.3))/((0.05)-(0.3))))+0.3*MIN(1,MAX(0,((AV24)-(0.0))/((0.3)-(0.0))))+0.25*MIN(1,MAX(0,((AW24)-(0.4))/((0.7)-(0.4))))+0.1*IF(AY24&gt;=2,1,0.5))</f>
        <v/>
      </c>
      <c r="BK24" s="18">
        <f>0.25*BG24+0.25*BH24+0.2*BI24+0.3*BJ24</f>
        <v/>
      </c>
      <c r="BL24" s="5" t="inlineStr">
        <is>
          <t>全部通過</t>
        </is>
      </c>
      <c r="BM24" s="5" t="inlineStr"/>
    </row>
    <row r="25">
      <c r="A25" s="5" t="n">
        <v>1</v>
      </c>
      <c r="B25" s="5" t="n">
        <v>24</v>
      </c>
      <c r="C25" s="6" t="inlineStr">
        <is>
          <t>ADPT</t>
        </is>
      </c>
      <c r="D25" s="5" t="inlineStr">
        <is>
          <t>Adaptive Biotechnologies Corporation</t>
        </is>
      </c>
      <c r="E25" s="5" t="inlineStr">
        <is>
          <t>NASDAQ</t>
        </is>
      </c>
      <c r="F25" s="5" t="inlineStr">
        <is>
          <t>醫療保健</t>
        </is>
      </c>
      <c r="G25" s="5" t="inlineStr">
        <is>
          <t>Biotechnology: Biological Products (No Diagnostic Substances)</t>
        </is>
      </c>
      <c r="H25" s="7" t="n">
        <v>4.612</v>
      </c>
      <c r="I25" s="5" t="inlineStr">
        <is>
          <t>中型</t>
        </is>
      </c>
      <c r="J25" s="8" t="n">
        <v>27.37</v>
      </c>
      <c r="K25" s="8" t="n">
        <v>28.9</v>
      </c>
      <c r="L25" s="9">
        <f>J25/K25-1</f>
        <v/>
      </c>
      <c r="M25" s="8" t="n">
        <v>29</v>
      </c>
      <c r="N25" s="8" t="n">
        <v>27.145</v>
      </c>
      <c r="O25" s="10" t="n">
        <v>6018700</v>
      </c>
      <c r="P25" s="10" t="n">
        <v>2499620</v>
      </c>
      <c r="Q25" s="11">
        <f>O25/P25</f>
        <v/>
      </c>
      <c r="R25" s="8" t="n">
        <v>28.197</v>
      </c>
      <c r="S25" s="8" t="n">
        <v>27.2931</v>
      </c>
      <c r="T25" s="8" t="n">
        <v>26.5416</v>
      </c>
      <c r="U25" s="9">
        <f>S25/T25-1</f>
        <v/>
      </c>
      <c r="V25" s="12" t="n">
        <v>1</v>
      </c>
      <c r="W25" s="9">
        <f>J25/R25-1</f>
        <v/>
      </c>
      <c r="X25" s="9">
        <f>J25/S25-1</f>
        <v/>
      </c>
      <c r="Y25" s="8" t="n">
        <v>1.272</v>
      </c>
      <c r="Z25" s="13">
        <f>Y25/J25</f>
        <v/>
      </c>
      <c r="AA25" s="11">
        <f>(J25-R25)/Y25</f>
        <v/>
      </c>
      <c r="AB25" s="11">
        <f>(J25-S25)/Y25</f>
        <v/>
      </c>
      <c r="AC25" s="5">
        <f>IF(ABS(AA25)&lt;=ABS(AB25),"9EMA","21EMA")</f>
        <v/>
      </c>
      <c r="AD25" s="5" t="inlineStr">
        <is>
          <t>9+21EMA</t>
        </is>
      </c>
      <c r="AE25" s="5" t="inlineStr">
        <is>
          <t>持續在上方</t>
        </is>
      </c>
      <c r="AF25" s="5" t="inlineStr"/>
      <c r="AG25" s="5" t="inlineStr">
        <is>
          <t>✓</t>
        </is>
      </c>
      <c r="AH25" s="5" t="inlineStr"/>
      <c r="AI25" s="5" t="inlineStr">
        <is>
          <t>2026-09-15</t>
        </is>
      </c>
      <c r="AJ25" s="5" t="n">
        <v>12</v>
      </c>
      <c r="AK25" s="14" t="n">
        <v>2</v>
      </c>
      <c r="AL25" s="5" t="inlineStr">
        <is>
          <t>2026-09-22</t>
        </is>
      </c>
      <c r="AM25" s="8" t="n">
        <v>26.733</v>
      </c>
      <c r="AN25" s="8" t="n">
        <v>23.53</v>
      </c>
      <c r="AO25" s="9">
        <f>IF(ISNUMBER(AN25),AM25/AN25-1,"")</f>
        <v/>
      </c>
      <c r="AP25" s="14" t="n">
        <v>7</v>
      </c>
      <c r="AQ25" s="9">
        <f>IF(ISNUMBER(AM25),J25/AM25-1,"")</f>
        <v/>
      </c>
      <c r="AR25" s="8" t="n">
        <v>29.57</v>
      </c>
      <c r="AS25" s="9">
        <f>J25/AR25-1</f>
        <v/>
      </c>
      <c r="AT25" s="5" t="inlineStr">
        <is>
          <t>上傾收窄（楔形）</t>
        </is>
      </c>
      <c r="AU25" s="15" t="n">
        <v>0.6928</v>
      </c>
      <c r="AV25" s="15" t="n">
        <v>1.4628</v>
      </c>
      <c r="AW25" s="15" t="n">
        <v>0.5473</v>
      </c>
      <c r="AX25" s="15" t="n">
        <v>0.5305</v>
      </c>
      <c r="AY25" s="14" t="n">
        <v>5</v>
      </c>
      <c r="AZ25" s="8" t="n">
        <v>29.96</v>
      </c>
      <c r="BA25" s="8" t="n">
        <v>23.53</v>
      </c>
      <c r="BB25" s="8" t="n">
        <v>27.049</v>
      </c>
      <c r="BC25" s="15" t="n">
        <v>0.8816000000000001</v>
      </c>
      <c r="BD25" s="11">
        <f>IF(M25=N25,0.5,(J25-N25)/(M25-N25))</f>
        <v/>
      </c>
      <c r="BE25" s="16" t="n">
        <v>17.203</v>
      </c>
      <c r="BF25" s="16" t="n">
        <v>12.449</v>
      </c>
      <c r="BG25" s="17">
        <f>100*(0.4*MIN(1,MAX(0,((U25*100)-(0.0))/((2.5)-(0.0))))+0.3*MIN(1,MAX(0,((V25)-(0.6))/((1.0)-(0.6))))+0.3*MIN(1,MAX(0,((BE25)-(0.0))/((15.0)-(0.0)))))</f>
        <v/>
      </c>
      <c r="BH25" s="17">
        <f>100*(0.4*MIN(1,MAX(0,((MIN(ABS(AA25),ABS(AB25)))-(0.75))/((0.0)-(0.75))))+0.3*MIN(1,MAX(0,((BC25)-(1.2))/((0.6)-(1.2))))+0.3*BD25)</f>
        <v/>
      </c>
      <c r="BI25" s="17">
        <f>100*(0.5*MIN(1,MAX(0,((AK25)-(1.0))/((4.0)-(1.0))))+0.3*MIN(1,MAX(0,((IF(ISNUMBER(AO25),AO25,0)*100)-(0.0))/((8.0)-(0.0))))+0.2*MIN(1,MAX(0,((IF(ISNUMBER(AP25),AP25,0))-(25.0))/((5.0)-(25.0)))))</f>
        <v/>
      </c>
      <c r="BJ25" s="17">
        <f>100*(0.35*MIN(1,MAX(0,((ABS(AU25))-(0.3))/((0.05)-(0.3))))+0.3*MIN(1,MAX(0,((AV25)-(0.0))/((0.3)-(0.0))))+0.25*MIN(1,MAX(0,((AW25)-(0.4))/((0.7)-(0.4))))+0.1*IF(AY25&gt;=2,1,0.5))</f>
        <v/>
      </c>
      <c r="BK25" s="18">
        <f>0.25*BG25+0.25*BH25+0.2*BI25+0.3*BJ25</f>
        <v/>
      </c>
      <c r="BL25" s="5" t="inlineStr">
        <is>
          <t>全部通過</t>
        </is>
      </c>
      <c r="BM25" s="5" t="inlineStr"/>
    </row>
    <row r="26">
      <c r="A26" s="5" t="n">
        <v>1</v>
      </c>
      <c r="B26" s="5" t="n">
        <v>25</v>
      </c>
      <c r="C26" s="6" t="inlineStr">
        <is>
          <t>DELL</t>
        </is>
      </c>
      <c r="D26" s="5" t="inlineStr">
        <is>
          <t>Dell Technologies Inc. Class C</t>
        </is>
      </c>
      <c r="E26" s="5" t="inlineStr">
        <is>
          <t>NYSE</t>
        </is>
      </c>
      <c r="F26" s="5" t="inlineStr">
        <is>
          <t>科技</t>
        </is>
      </c>
      <c r="G26" s="5" t="inlineStr">
        <is>
          <t>Computer Manufacturing</t>
        </is>
      </c>
      <c r="H26" s="7" t="n">
        <v>342.035</v>
      </c>
      <c r="I26" s="5" t="inlineStr">
        <is>
          <t>大型</t>
        </is>
      </c>
      <c r="J26" s="8" t="n">
        <v>541.74</v>
      </c>
      <c r="K26" s="8" t="n">
        <v>537.95</v>
      </c>
      <c r="L26" s="9">
        <f>J26/K26-1</f>
        <v/>
      </c>
      <c r="M26" s="8" t="n">
        <v>550.29</v>
      </c>
      <c r="N26" s="8" t="n">
        <v>520.1799999999999</v>
      </c>
      <c r="O26" s="10" t="n">
        <v>6669200</v>
      </c>
      <c r="P26" s="10" t="n">
        <v>9281610</v>
      </c>
      <c r="Q26" s="11">
        <f>O26/P26</f>
        <v/>
      </c>
      <c r="R26" s="8" t="n">
        <v>545.0722</v>
      </c>
      <c r="S26" s="8" t="n">
        <v>533.3966</v>
      </c>
      <c r="T26" s="8" t="n">
        <v>526.7666</v>
      </c>
      <c r="U26" s="9">
        <f>S26/T26-1</f>
        <v/>
      </c>
      <c r="V26" s="12" t="n">
        <v>1</v>
      </c>
      <c r="W26" s="9">
        <f>J26/R26-1</f>
        <v/>
      </c>
      <c r="X26" s="9">
        <f>J26/S26-1</f>
        <v/>
      </c>
      <c r="Y26" s="8" t="n">
        <v>29.1657</v>
      </c>
      <c r="Z26" s="13">
        <f>Y26/J26</f>
        <v/>
      </c>
      <c r="AA26" s="11">
        <f>(J26-R26)/Y26</f>
        <v/>
      </c>
      <c r="AB26" s="11">
        <f>(J26-S26)/Y26</f>
        <v/>
      </c>
      <c r="AC26" s="5">
        <f>IF(ABS(AA26)&lt;=ABS(AB26),"9EMA","21EMA")</f>
        <v/>
      </c>
      <c r="AD26" s="5" t="inlineStr">
        <is>
          <t>9+21EMA</t>
        </is>
      </c>
      <c r="AE26" s="5" t="inlineStr">
        <is>
          <t>持續在上方</t>
        </is>
      </c>
      <c r="AF26" s="5" t="inlineStr"/>
      <c r="AG26" s="5" t="inlineStr"/>
      <c r="AH26" s="5" t="inlineStr">
        <is>
          <t>✓</t>
        </is>
      </c>
      <c r="AI26" s="5" t="inlineStr">
        <is>
          <t>2026-08-04</t>
        </is>
      </c>
      <c r="AJ26" s="5" t="n">
        <v>41</v>
      </c>
      <c r="AK26" s="14" t="n">
        <v>3</v>
      </c>
      <c r="AL26" s="5" t="inlineStr">
        <is>
          <t>2026-09-24</t>
        </is>
      </c>
      <c r="AM26" s="8" t="n">
        <v>530.45</v>
      </c>
      <c r="AN26" s="8" t="n">
        <v>506.25</v>
      </c>
      <c r="AO26" s="9">
        <f>IF(ISNUMBER(AN26),AM26/AN26-1,"")</f>
        <v/>
      </c>
      <c r="AP26" s="14" t="n">
        <v>5</v>
      </c>
      <c r="AQ26" s="9">
        <f>IF(ISNUMBER(AM26),J26/AM26-1,"")</f>
        <v/>
      </c>
      <c r="AR26" s="8" t="n">
        <v>588.4</v>
      </c>
      <c r="AS26" s="9">
        <f>J26/AR26-1</f>
        <v/>
      </c>
      <c r="AT26" s="5" t="inlineStr">
        <is>
          <t>上傾收窄（楔形）</t>
        </is>
      </c>
      <c r="AU26" s="15" t="n">
        <v>0.7022</v>
      </c>
      <c r="AV26" s="15" t="n">
        <v>1.1702</v>
      </c>
      <c r="AW26" s="15" t="n">
        <v>0.5963000000000001</v>
      </c>
      <c r="AX26" s="15" t="n">
        <v>0.6145</v>
      </c>
      <c r="AY26" s="14" t="n">
        <v>3</v>
      </c>
      <c r="AZ26" s="8" t="n">
        <v>595.51</v>
      </c>
      <c r="BA26" s="8" t="n">
        <v>421.89</v>
      </c>
      <c r="BB26" s="8" t="n">
        <v>525.4152</v>
      </c>
      <c r="BC26" s="15" t="n">
        <v>0.9982</v>
      </c>
      <c r="BD26" s="11">
        <f>IF(M26=N26,0.5,(J26-N26)/(M26-N26))</f>
        <v/>
      </c>
      <c r="BE26" s="16" t="n">
        <v>32.222</v>
      </c>
      <c r="BF26" s="16" t="n">
        <v>27.468</v>
      </c>
      <c r="BG26" s="17">
        <f>100*(0.4*MIN(1,MAX(0,((U26*100)-(0.0))/((2.5)-(0.0))))+0.3*MIN(1,MAX(0,((V26)-(0.6))/((1.0)-(0.6))))+0.3*MIN(1,MAX(0,((BE26)-(0.0))/((15.0)-(0.0)))))</f>
        <v/>
      </c>
      <c r="BH26" s="17">
        <f>100*(0.4*MIN(1,MAX(0,((MIN(ABS(AA26),ABS(AB26)))-(0.75))/((0.0)-(0.75))))+0.3*MIN(1,MAX(0,((BC26)-(1.2))/((0.6)-(1.2))))+0.3*BD26)</f>
        <v/>
      </c>
      <c r="BI26" s="17">
        <f>100*(0.5*MIN(1,MAX(0,((AK26)-(1.0))/((4.0)-(1.0))))+0.3*MIN(1,MAX(0,((IF(ISNUMBER(AO26),AO26,0)*100)-(0.0))/((8.0)-(0.0))))+0.2*MIN(1,MAX(0,((IF(ISNUMBER(AP26),AP26,0))-(25.0))/((5.0)-(25.0)))))</f>
        <v/>
      </c>
      <c r="BJ26" s="17">
        <f>100*(0.35*MIN(1,MAX(0,((ABS(AU26))-(0.3))/((0.05)-(0.3))))+0.3*MIN(1,MAX(0,((AV26)-(0.0))/((0.3)-(0.0))))+0.25*MIN(1,MAX(0,((AW26)-(0.4))/((0.7)-(0.4))))+0.1*IF(AY26&gt;=2,1,0.5))</f>
        <v/>
      </c>
      <c r="BK26" s="18">
        <f>0.25*BG26+0.25*BH26+0.2*BI26+0.3*BJ26</f>
        <v/>
      </c>
      <c r="BL26" s="5" t="inlineStr">
        <is>
          <t>全部通過</t>
        </is>
      </c>
      <c r="BM26" s="5" t="inlineStr"/>
    </row>
    <row r="27">
      <c r="A27" s="5" t="n">
        <v>1</v>
      </c>
      <c r="B27" s="5" t="n">
        <v>26</v>
      </c>
      <c r="C27" s="6" t="inlineStr">
        <is>
          <t>STX</t>
        </is>
      </c>
      <c r="D27" s="5" t="inlineStr">
        <is>
          <t>Seagate Technology Holdings PLC</t>
        </is>
      </c>
      <c r="E27" s="5" t="inlineStr">
        <is>
          <t>NASDAQ</t>
        </is>
      </c>
      <c r="F27" s="5" t="inlineStr">
        <is>
          <t>科技</t>
        </is>
      </c>
      <c r="G27" s="5" t="inlineStr">
        <is>
          <t>Electronic Components</t>
        </is>
      </c>
      <c r="H27" s="7" t="n">
        <v>210.956</v>
      </c>
      <c r="I27" s="5" t="inlineStr">
        <is>
          <t>大型</t>
        </is>
      </c>
      <c r="J27" s="8" t="n">
        <v>945.5700000000001</v>
      </c>
      <c r="K27" s="8" t="n">
        <v>922.34</v>
      </c>
      <c r="L27" s="9">
        <f>J27/K27-1</f>
        <v/>
      </c>
      <c r="M27" s="8" t="n">
        <v>946.36</v>
      </c>
      <c r="N27" s="8" t="n">
        <v>893.75</v>
      </c>
      <c r="O27" s="10" t="n">
        <v>2480800</v>
      </c>
      <c r="P27" s="10" t="n">
        <v>3764645</v>
      </c>
      <c r="Q27" s="11">
        <f>O27/P27</f>
        <v/>
      </c>
      <c r="R27" s="8" t="n">
        <v>909.5021</v>
      </c>
      <c r="S27" s="8" t="n">
        <v>882.8579999999999</v>
      </c>
      <c r="T27" s="8" t="n">
        <v>857.0708</v>
      </c>
      <c r="U27" s="9">
        <f>S27/T27-1</f>
        <v/>
      </c>
      <c r="V27" s="12" t="n">
        <v>1</v>
      </c>
      <c r="W27" s="9">
        <f>J27/R27-1</f>
        <v/>
      </c>
      <c r="X27" s="9">
        <f>J27/S27-1</f>
        <v/>
      </c>
      <c r="Y27" s="8" t="n">
        <v>48.238</v>
      </c>
      <c r="Z27" s="13">
        <f>Y27/J27</f>
        <v/>
      </c>
      <c r="AA27" s="11">
        <f>(J27-R27)/Y27</f>
        <v/>
      </c>
      <c r="AB27" s="11">
        <f>(J27-S27)/Y27</f>
        <v/>
      </c>
      <c r="AC27" s="5">
        <f>IF(ABS(AA27)&lt;=ABS(AB27),"9EMA","21EMA")</f>
        <v/>
      </c>
      <c r="AD27" s="5" t="inlineStr">
        <is>
          <t>9EMA</t>
        </is>
      </c>
      <c r="AE27" s="5" t="inlineStr">
        <is>
          <t>持續在上方</t>
        </is>
      </c>
      <c r="AF27" s="5" t="inlineStr"/>
      <c r="AG27" s="5" t="inlineStr"/>
      <c r="AH27" s="5" t="inlineStr"/>
      <c r="AI27" s="5" t="inlineStr">
        <is>
          <t>2026-09-22</t>
        </is>
      </c>
      <c r="AJ27" s="5" t="n">
        <v>7</v>
      </c>
      <c r="AK27" s="14" t="n">
        <v>2</v>
      </c>
      <c r="AL27" s="5" t="inlineStr">
        <is>
          <t>2026-09-28</t>
        </is>
      </c>
      <c r="AM27" s="8" t="n">
        <v>870.38</v>
      </c>
      <c r="AN27" s="8" t="n">
        <v>758.35</v>
      </c>
      <c r="AO27" s="9">
        <f>IF(ISNUMBER(AN27),AM27/AN27-1,"")</f>
        <v/>
      </c>
      <c r="AP27" s="14" t="n">
        <v>3</v>
      </c>
      <c r="AQ27" s="9">
        <f>IF(ISNUMBER(AM27),J27/AM27-1,"")</f>
        <v/>
      </c>
      <c r="AR27" s="8" t="n">
        <v>945.5700000000001</v>
      </c>
      <c r="AS27" s="9">
        <f>J27/AR27-1</f>
        <v/>
      </c>
      <c r="AT27" s="5" t="inlineStr">
        <is>
          <t>上傾收窄（楔形）</t>
        </is>
      </c>
      <c r="AU27" s="15" t="n">
        <v>0.3629</v>
      </c>
      <c r="AV27" s="15" t="n">
        <v>0.7348</v>
      </c>
      <c r="AW27" s="15" t="n">
        <v>0.5406</v>
      </c>
      <c r="AX27" s="15" t="n">
        <v>0.5075</v>
      </c>
      <c r="AY27" s="14" t="n">
        <v>4</v>
      </c>
      <c r="AZ27" s="8" t="n">
        <v>946.36</v>
      </c>
      <c r="BA27" s="8" t="n">
        <v>758.35</v>
      </c>
      <c r="BB27" s="8" t="n">
        <v>859.9854</v>
      </c>
      <c r="BC27" s="15" t="n">
        <v>0.7204</v>
      </c>
      <c r="BD27" s="11">
        <f>IF(M27=N27,0.5,(J27-N27)/(M27-N27))</f>
        <v/>
      </c>
      <c r="BE27" s="16" t="n">
        <v>20.542</v>
      </c>
      <c r="BF27" s="16" t="n">
        <v>15.788</v>
      </c>
      <c r="BG27" s="17">
        <f>100*(0.4*MIN(1,MAX(0,((U27*100)-(0.0))/((2.5)-(0.0))))+0.3*MIN(1,MAX(0,((V27)-(0.6))/((1.0)-(0.6))))+0.3*MIN(1,MAX(0,((BE27)-(0.0))/((15.0)-(0.0)))))</f>
        <v/>
      </c>
      <c r="BH27" s="17">
        <f>100*(0.4*MIN(1,MAX(0,((MIN(ABS(AA27),ABS(AB27)))-(0.75))/((0.0)-(0.75))))+0.3*MIN(1,MAX(0,((BC27)-(1.2))/((0.6)-(1.2))))+0.3*BD27)</f>
        <v/>
      </c>
      <c r="BI27" s="17">
        <f>100*(0.5*MIN(1,MAX(0,((AK27)-(1.0))/((4.0)-(1.0))))+0.3*MIN(1,MAX(0,((IF(ISNUMBER(AO27),AO27,0)*100)-(0.0))/((8.0)-(0.0))))+0.2*MIN(1,MAX(0,((IF(ISNUMBER(AP27),AP27,0))-(25.0))/((5.0)-(25.0)))))</f>
        <v/>
      </c>
      <c r="BJ27" s="17">
        <f>100*(0.35*MIN(1,MAX(0,((ABS(AU27))-(0.3))/((0.05)-(0.3))))+0.3*MIN(1,MAX(0,((AV27)-(0.0))/((0.3)-(0.0))))+0.25*MIN(1,MAX(0,((AW27)-(0.4))/((0.7)-(0.4))))+0.1*IF(AY27&gt;=2,1,0.5))</f>
        <v/>
      </c>
      <c r="BK27" s="18">
        <f>0.25*BG27+0.25*BH27+0.2*BI27+0.3*BJ27</f>
        <v/>
      </c>
      <c r="BL27" s="5" t="inlineStr">
        <is>
          <t>全部通過</t>
        </is>
      </c>
      <c r="BM27" s="5" t="inlineStr"/>
    </row>
    <row r="28">
      <c r="A28" s="5" t="n">
        <v>1</v>
      </c>
      <c r="B28" s="5" t="n">
        <v>27</v>
      </c>
      <c r="C28" s="6" t="inlineStr">
        <is>
          <t>OBIO</t>
        </is>
      </c>
      <c r="D28" s="5" t="inlineStr">
        <is>
          <t>Orchestra BioMed Holdings Inc.</t>
        </is>
      </c>
      <c r="E28" s="5" t="inlineStr">
        <is>
          <t>NASDAQ</t>
        </is>
      </c>
      <c r="F28" s="5" t="inlineStr">
        <is>
          <t>醫療保健</t>
        </is>
      </c>
      <c r="G28" s="5" t="inlineStr">
        <is>
          <t>Medicinal Chemicals and Botanical Products</t>
        </is>
      </c>
      <c r="H28" s="7" t="n">
        <v>0.374</v>
      </c>
      <c r="I28" s="5" t="inlineStr">
        <is>
          <t>小型</t>
        </is>
      </c>
      <c r="J28" s="8" t="n">
        <v>6.35</v>
      </c>
      <c r="K28" s="8" t="n">
        <v>6.22</v>
      </c>
      <c r="L28" s="9">
        <f>J28/K28-1</f>
        <v/>
      </c>
      <c r="M28" s="8" t="n">
        <v>6.5</v>
      </c>
      <c r="N28" s="8" t="n">
        <v>6.23</v>
      </c>
      <c r="O28" s="10" t="n">
        <v>389900</v>
      </c>
      <c r="P28" s="10" t="n">
        <v>382525</v>
      </c>
      <c r="Q28" s="11">
        <f>O28/P28</f>
        <v/>
      </c>
      <c r="R28" s="8" t="n">
        <v>6.0841</v>
      </c>
      <c r="S28" s="8" t="n">
        <v>5.8318</v>
      </c>
      <c r="T28" s="8" t="n">
        <v>5.656</v>
      </c>
      <c r="U28" s="9">
        <f>S28/T28-1</f>
        <v/>
      </c>
      <c r="V28" s="12" t="n">
        <v>1</v>
      </c>
      <c r="W28" s="9">
        <f>J28/R28-1</f>
        <v/>
      </c>
      <c r="X28" s="9">
        <f>J28/S28-1</f>
        <v/>
      </c>
      <c r="Y28" s="8" t="n">
        <v>0.3362</v>
      </c>
      <c r="Z28" s="13">
        <f>Y28/J28</f>
        <v/>
      </c>
      <c r="AA28" s="11">
        <f>(J28-R28)/Y28</f>
        <v/>
      </c>
      <c r="AB28" s="11">
        <f>(J28-S28)/Y28</f>
        <v/>
      </c>
      <c r="AC28" s="5">
        <f>IF(ABS(AA28)&lt;=ABS(AB28),"9EMA","21EMA")</f>
        <v/>
      </c>
      <c r="AD28" s="5" t="inlineStr">
        <is>
          <t>9EMA</t>
        </is>
      </c>
      <c r="AE28" s="5" t="inlineStr">
        <is>
          <t>持續在上方</t>
        </is>
      </c>
      <c r="AF28" s="5" t="inlineStr"/>
      <c r="AG28" s="5" t="inlineStr"/>
      <c r="AH28" s="5" t="inlineStr"/>
      <c r="AI28" s="5" t="inlineStr">
        <is>
          <t>2026-08-03</t>
        </is>
      </c>
      <c r="AJ28" s="5" t="n">
        <v>42</v>
      </c>
      <c r="AK28" s="14" t="n">
        <v>4</v>
      </c>
      <c r="AL28" s="5" t="inlineStr">
        <is>
          <t>2026-09-24</t>
        </is>
      </c>
      <c r="AM28" s="8" t="n">
        <v>5.75</v>
      </c>
      <c r="AN28" s="8" t="n">
        <v>5.71</v>
      </c>
      <c r="AO28" s="9">
        <f>IF(ISNUMBER(AN28),AM28/AN28-1,"")</f>
        <v/>
      </c>
      <c r="AP28" s="14" t="n">
        <v>5</v>
      </c>
      <c r="AQ28" s="9">
        <f>IF(ISNUMBER(AM28),J28/AM28-1,"")</f>
        <v/>
      </c>
      <c r="AR28" s="8" t="n">
        <v>6.35</v>
      </c>
      <c r="AS28" s="9">
        <f>J28/AR28-1</f>
        <v/>
      </c>
      <c r="AT28" s="5" t="inlineStr">
        <is>
          <t>上傾收窄（楔形）</t>
        </is>
      </c>
      <c r="AU28" s="15" t="n">
        <v>0.8451</v>
      </c>
      <c r="AV28" s="15" t="n">
        <v>1.2477</v>
      </c>
      <c r="AW28" s="15" t="n">
        <v>0.5919</v>
      </c>
      <c r="AX28" s="15" t="n">
        <v>0.6395</v>
      </c>
      <c r="AY28" s="14" t="n">
        <v>2</v>
      </c>
      <c r="AZ28" s="8" t="n">
        <v>6.5</v>
      </c>
      <c r="BA28" s="8" t="n">
        <v>4.71</v>
      </c>
      <c r="BB28" s="8" t="n">
        <v>5.7695</v>
      </c>
      <c r="BC28" s="15" t="n">
        <v>0.5585</v>
      </c>
      <c r="BD28" s="11">
        <f>IF(M28=N28,0.5,(J28-N28)/(M28-N28))</f>
        <v/>
      </c>
      <c r="BE28" s="16" t="n">
        <v>34.346</v>
      </c>
      <c r="BF28" s="16" t="n">
        <v>29.592</v>
      </c>
      <c r="BG28" s="17">
        <f>100*(0.4*MIN(1,MAX(0,((U28*100)-(0.0))/((2.5)-(0.0))))+0.3*MIN(1,MAX(0,((V28)-(0.6))/((1.0)-(0.6))))+0.3*MIN(1,MAX(0,((BE28)-(0.0))/((15.0)-(0.0)))))</f>
        <v/>
      </c>
      <c r="BH28" s="17">
        <f>100*(0.4*MIN(1,MAX(0,((MIN(ABS(AA28),ABS(AB28)))-(0.75))/((0.0)-(0.75))))+0.3*MIN(1,MAX(0,((BC28)-(1.2))/((0.6)-(1.2))))+0.3*BD28)</f>
        <v/>
      </c>
      <c r="BI28" s="17">
        <f>100*(0.5*MIN(1,MAX(0,((AK28)-(1.0))/((4.0)-(1.0))))+0.3*MIN(1,MAX(0,((IF(ISNUMBER(AO28),AO28,0)*100)-(0.0))/((8.0)-(0.0))))+0.2*MIN(1,MAX(0,((IF(ISNUMBER(AP28),AP28,0))-(25.0))/((5.0)-(25.0)))))</f>
        <v/>
      </c>
      <c r="BJ28" s="17">
        <f>100*(0.35*MIN(1,MAX(0,((ABS(AU28))-(0.3))/((0.05)-(0.3))))+0.3*MIN(1,MAX(0,((AV28)-(0.0))/((0.3)-(0.0))))+0.25*MIN(1,MAX(0,((AW28)-(0.4))/((0.7)-(0.4))))+0.1*IF(AY28&gt;=2,1,0.5))</f>
        <v/>
      </c>
      <c r="BK28" s="18">
        <f>0.25*BG28+0.25*BH28+0.2*BI28+0.3*BJ28</f>
        <v/>
      </c>
      <c r="BL28" s="5" t="inlineStr">
        <is>
          <t>全部通過</t>
        </is>
      </c>
      <c r="BM28" s="5" t="inlineStr"/>
    </row>
    <row r="29">
      <c r="A29" s="5" t="n">
        <v>1</v>
      </c>
      <c r="B29" s="5" t="n">
        <v>28</v>
      </c>
      <c r="C29" s="6" t="inlineStr">
        <is>
          <t>ANET</t>
        </is>
      </c>
      <c r="D29" s="5" t="inlineStr">
        <is>
          <t>Arista Networks Inc.</t>
        </is>
      </c>
      <c r="E29" s="5" t="inlineStr">
        <is>
          <t>NYSE</t>
        </is>
      </c>
      <c r="F29" s="5" t="inlineStr">
        <is>
          <t>電訊</t>
        </is>
      </c>
      <c r="G29" s="5" t="inlineStr">
        <is>
          <t>Computer Communications Equipment</t>
        </is>
      </c>
      <c r="H29" s="7" t="n">
        <v>256.773</v>
      </c>
      <c r="I29" s="5" t="inlineStr">
        <is>
          <t>大型</t>
        </is>
      </c>
      <c r="J29" s="8" t="n">
        <v>204.49</v>
      </c>
      <c r="K29" s="8" t="n">
        <v>203.59</v>
      </c>
      <c r="L29" s="9">
        <f>J29/K29-1</f>
        <v/>
      </c>
      <c r="M29" s="8" t="n">
        <v>206.35</v>
      </c>
      <c r="N29" s="8" t="n">
        <v>200.771</v>
      </c>
      <c r="O29" s="10" t="n">
        <v>4106100</v>
      </c>
      <c r="P29" s="10" t="n">
        <v>4781150</v>
      </c>
      <c r="Q29" s="11">
        <f>O29/P29</f>
        <v/>
      </c>
      <c r="R29" s="8" t="n">
        <v>203.2534</v>
      </c>
      <c r="S29" s="8" t="n">
        <v>199.9286</v>
      </c>
      <c r="T29" s="8" t="n">
        <v>197.2075</v>
      </c>
      <c r="U29" s="9">
        <f>S29/T29-1</f>
        <v/>
      </c>
      <c r="V29" s="12" t="n">
        <v>1</v>
      </c>
      <c r="W29" s="9">
        <f>J29/R29-1</f>
        <v/>
      </c>
      <c r="X29" s="9">
        <f>J29/S29-1</f>
        <v/>
      </c>
      <c r="Y29" s="8" t="n">
        <v>7.0691</v>
      </c>
      <c r="Z29" s="13">
        <f>Y29/J29</f>
        <v/>
      </c>
      <c r="AA29" s="11">
        <f>(J29-R29)/Y29</f>
        <v/>
      </c>
      <c r="AB29" s="11">
        <f>(J29-S29)/Y29</f>
        <v/>
      </c>
      <c r="AC29" s="5">
        <f>IF(ABS(AA29)&lt;=ABS(AB29),"9EMA","21EMA")</f>
        <v/>
      </c>
      <c r="AD29" s="5" t="inlineStr">
        <is>
          <t>9+21EMA</t>
        </is>
      </c>
      <c r="AE29" s="5" t="inlineStr">
        <is>
          <t>持續在上方</t>
        </is>
      </c>
      <c r="AF29" s="5" t="inlineStr"/>
      <c r="AG29" s="5" t="inlineStr"/>
      <c r="AH29" s="5" t="inlineStr">
        <is>
          <t>✓</t>
        </is>
      </c>
      <c r="AI29" s="5" t="inlineStr">
        <is>
          <t>2026-07-31</t>
        </is>
      </c>
      <c r="AJ29" s="5" t="n">
        <v>43</v>
      </c>
      <c r="AK29" s="14" t="n">
        <v>3</v>
      </c>
      <c r="AL29" s="5" t="inlineStr">
        <is>
          <t>2026-09-24</t>
        </is>
      </c>
      <c r="AM29" s="8" t="n">
        <v>198.757</v>
      </c>
      <c r="AN29" s="8" t="n">
        <v>186.11</v>
      </c>
      <c r="AO29" s="9">
        <f>IF(ISNUMBER(AN29),AM29/AN29-1,"")</f>
        <v/>
      </c>
      <c r="AP29" s="14" t="n">
        <v>5</v>
      </c>
      <c r="AQ29" s="9">
        <f>IF(ISNUMBER(AM29),J29/AM29-1,"")</f>
        <v/>
      </c>
      <c r="AR29" s="8" t="n">
        <v>206.55</v>
      </c>
      <c r="AS29" s="9">
        <f>J29/AR29-1</f>
        <v/>
      </c>
      <c r="AT29" s="5" t="inlineStr">
        <is>
          <t>上傾收窄（楔形）</t>
        </is>
      </c>
      <c r="AU29" s="15" t="n">
        <v>0.1792</v>
      </c>
      <c r="AV29" s="15" t="n">
        <v>0.6196</v>
      </c>
      <c r="AW29" s="15" t="n">
        <v>0.5462</v>
      </c>
      <c r="AX29" s="15" t="n">
        <v>0.5846</v>
      </c>
      <c r="AY29" s="14" t="n">
        <v>1</v>
      </c>
      <c r="AZ29" s="8" t="n">
        <v>212</v>
      </c>
      <c r="BA29" s="8" t="n">
        <v>181.27</v>
      </c>
      <c r="BB29" s="8" t="n">
        <v>198.0549</v>
      </c>
      <c r="BC29" s="15" t="n">
        <v>1.2441</v>
      </c>
      <c r="BD29" s="11">
        <f>IF(M29=N29,0.5,(J29-N29)/(M29-N29))</f>
        <v/>
      </c>
      <c r="BE29" s="16" t="n">
        <v>12.801</v>
      </c>
      <c r="BF29" s="16" t="n">
        <v>8.047000000000001</v>
      </c>
      <c r="BG29" s="17">
        <f>100*(0.4*MIN(1,MAX(0,((U29*100)-(0.0))/((2.5)-(0.0))))+0.3*MIN(1,MAX(0,((V29)-(0.6))/((1.0)-(0.6))))+0.3*MIN(1,MAX(0,((BE29)-(0.0))/((15.0)-(0.0)))))</f>
        <v/>
      </c>
      <c r="BH29" s="17">
        <f>100*(0.4*MIN(1,MAX(0,((MIN(ABS(AA29),ABS(AB29)))-(0.75))/((0.0)-(0.75))))+0.3*MIN(1,MAX(0,((BC29)-(1.2))/((0.6)-(1.2))))+0.3*BD29)</f>
        <v/>
      </c>
      <c r="BI29" s="17">
        <f>100*(0.5*MIN(1,MAX(0,((AK29)-(1.0))/((4.0)-(1.0))))+0.3*MIN(1,MAX(0,((IF(ISNUMBER(AO29),AO29,0)*100)-(0.0))/((8.0)-(0.0))))+0.2*MIN(1,MAX(0,((IF(ISNUMBER(AP29),AP29,0))-(25.0))/((5.0)-(25.0)))))</f>
        <v/>
      </c>
      <c r="BJ29" s="17">
        <f>100*(0.35*MIN(1,MAX(0,((ABS(AU29))-(0.3))/((0.05)-(0.3))))+0.3*MIN(1,MAX(0,((AV29)-(0.0))/((0.3)-(0.0))))+0.25*MIN(1,MAX(0,((AW29)-(0.4))/((0.7)-(0.4))))+0.1*IF(AY29&gt;=2,1,0.5))</f>
        <v/>
      </c>
      <c r="BK29" s="18">
        <f>0.25*BG29+0.25*BH29+0.2*BI29+0.3*BJ29</f>
        <v/>
      </c>
      <c r="BL29" s="5" t="inlineStr">
        <is>
          <t>全部通過</t>
        </is>
      </c>
      <c r="BM29" s="5" t="inlineStr"/>
    </row>
    <row r="30">
      <c r="A30" s="5" t="n">
        <v>1</v>
      </c>
      <c r="B30" s="5" t="n">
        <v>29</v>
      </c>
      <c r="C30" s="6" t="inlineStr">
        <is>
          <t>ARW</t>
        </is>
      </c>
      <c r="D30" s="5" t="inlineStr">
        <is>
          <t>Arrow Electronics Inc.</t>
        </is>
      </c>
      <c r="E30" s="5" t="inlineStr">
        <is>
          <t>NYSE</t>
        </is>
      </c>
      <c r="F30" s="5" t="inlineStr">
        <is>
          <t>科技</t>
        </is>
      </c>
      <c r="G30" s="5" t="inlineStr">
        <is>
          <t>Electronic Components</t>
        </is>
      </c>
      <c r="H30" s="7" t="n">
        <v>11.556</v>
      </c>
      <c r="I30" s="5" t="inlineStr">
        <is>
          <t>大型</t>
        </is>
      </c>
      <c r="J30" s="8" t="n">
        <v>231.63</v>
      </c>
      <c r="K30" s="8" t="n">
        <v>227</v>
      </c>
      <c r="L30" s="9">
        <f>J30/K30-1</f>
        <v/>
      </c>
      <c r="M30" s="8" t="n">
        <v>232.95</v>
      </c>
      <c r="N30" s="8" t="n">
        <v>225.3</v>
      </c>
      <c r="O30" s="10" t="n">
        <v>471800</v>
      </c>
      <c r="P30" s="10" t="n">
        <v>538675</v>
      </c>
      <c r="Q30" s="11">
        <f>O30/P30</f>
        <v/>
      </c>
      <c r="R30" s="8" t="n">
        <v>227.1167</v>
      </c>
      <c r="S30" s="8" t="n">
        <v>221.875</v>
      </c>
      <c r="T30" s="8" t="n">
        <v>216.7168</v>
      </c>
      <c r="U30" s="9">
        <f>S30/T30-1</f>
        <v/>
      </c>
      <c r="V30" s="12" t="n">
        <v>1</v>
      </c>
      <c r="W30" s="9">
        <f>J30/R30-1</f>
        <v/>
      </c>
      <c r="X30" s="9">
        <f>J30/S30-1</f>
        <v/>
      </c>
      <c r="Y30" s="8" t="n">
        <v>7.3602</v>
      </c>
      <c r="Z30" s="13">
        <f>Y30/J30</f>
        <v/>
      </c>
      <c r="AA30" s="11">
        <f>(J30-R30)/Y30</f>
        <v/>
      </c>
      <c r="AB30" s="11">
        <f>(J30-S30)/Y30</f>
        <v/>
      </c>
      <c r="AC30" s="5">
        <f>IF(ABS(AA30)&lt;=ABS(AB30),"9EMA","21EMA")</f>
        <v/>
      </c>
      <c r="AD30" s="5" t="inlineStr">
        <is>
          <t>9EMA</t>
        </is>
      </c>
      <c r="AE30" s="5" t="inlineStr">
        <is>
          <t>持續在上方</t>
        </is>
      </c>
      <c r="AF30" s="5" t="inlineStr"/>
      <c r="AG30" s="5" t="inlineStr"/>
      <c r="AH30" s="5" t="inlineStr">
        <is>
          <t>✓</t>
        </is>
      </c>
      <c r="AI30" s="5" t="inlineStr">
        <is>
          <t>2026-09-08</t>
        </is>
      </c>
      <c r="AJ30" s="5" t="n">
        <v>17</v>
      </c>
      <c r="AK30" s="14" t="n">
        <v>4</v>
      </c>
      <c r="AL30" s="5" t="inlineStr">
        <is>
          <t>2026-09-16</t>
        </is>
      </c>
      <c r="AM30" s="8" t="n">
        <v>207.88</v>
      </c>
      <c r="AN30" s="8" t="n">
        <v>200.99</v>
      </c>
      <c r="AO30" s="9">
        <f>IF(ISNUMBER(AN30),AM30/AN30-1,"")</f>
        <v/>
      </c>
      <c r="AP30" s="14" t="n">
        <v>11</v>
      </c>
      <c r="AQ30" s="9">
        <f>IF(ISNUMBER(AM30),J30/AM30-1,"")</f>
        <v/>
      </c>
      <c r="AR30" s="8" t="n">
        <v>232.8</v>
      </c>
      <c r="AS30" s="9">
        <f>J30/AR30-1</f>
        <v/>
      </c>
      <c r="AT30" s="5" t="inlineStr">
        <is>
          <t>上傾擴張</t>
        </is>
      </c>
      <c r="AU30" s="15" t="n">
        <v>0.5024999999999999</v>
      </c>
      <c r="AV30" s="15" t="n">
        <v>0.2975</v>
      </c>
      <c r="AW30" s="15" t="n">
        <v>0.5173</v>
      </c>
      <c r="AX30" s="15" t="n">
        <v>0.4888</v>
      </c>
      <c r="AY30" s="14" t="n">
        <v>6</v>
      </c>
      <c r="AZ30" s="8" t="n">
        <v>233.94</v>
      </c>
      <c r="BA30" s="8" t="n">
        <v>200.99</v>
      </c>
      <c r="BB30" s="8" t="n">
        <v>218.0354</v>
      </c>
      <c r="BC30" s="15" t="n">
        <v>0.8659</v>
      </c>
      <c r="BD30" s="11">
        <f>IF(M30=N30,0.5,(J30-N30)/(M30-N30))</f>
        <v/>
      </c>
      <c r="BE30" s="16" t="n">
        <v>17.207</v>
      </c>
      <c r="BF30" s="16" t="n">
        <v>12.453</v>
      </c>
      <c r="BG30" s="17">
        <f>100*(0.4*MIN(1,MAX(0,((U30*100)-(0.0))/((2.5)-(0.0))))+0.3*MIN(1,MAX(0,((V30)-(0.6))/((1.0)-(0.6))))+0.3*MIN(1,MAX(0,((BE30)-(0.0))/((15.0)-(0.0)))))</f>
        <v/>
      </c>
      <c r="BH30" s="17">
        <f>100*(0.4*MIN(1,MAX(0,((MIN(ABS(AA30),ABS(AB30)))-(0.75))/((0.0)-(0.75))))+0.3*MIN(1,MAX(0,((BC30)-(1.2))/((0.6)-(1.2))))+0.3*BD30)</f>
        <v/>
      </c>
      <c r="BI30" s="17">
        <f>100*(0.5*MIN(1,MAX(0,((AK30)-(1.0))/((4.0)-(1.0))))+0.3*MIN(1,MAX(0,((IF(ISNUMBER(AO30),AO30,0)*100)-(0.0))/((8.0)-(0.0))))+0.2*MIN(1,MAX(0,((IF(ISNUMBER(AP30),AP30,0))-(25.0))/((5.0)-(25.0)))))</f>
        <v/>
      </c>
      <c r="BJ30" s="17">
        <f>100*(0.35*MIN(1,MAX(0,((ABS(AU30))-(0.3))/((0.05)-(0.3))))+0.3*MIN(1,MAX(0,((AV30)-(0.0))/((0.3)-(0.0))))+0.25*MIN(1,MAX(0,((AW30)-(0.4))/((0.7)-(0.4))))+0.1*IF(AY30&gt;=2,1,0.5))</f>
        <v/>
      </c>
      <c r="BK30" s="18">
        <f>0.25*BG30+0.25*BH30+0.2*BI30+0.3*BJ30</f>
        <v/>
      </c>
      <c r="BL30" s="5" t="inlineStr">
        <is>
          <t>全部通過</t>
        </is>
      </c>
      <c r="BM30" s="5" t="inlineStr"/>
    </row>
    <row r="31">
      <c r="A31" s="5" t="n">
        <v>1</v>
      </c>
      <c r="B31" s="5" t="n">
        <v>30</v>
      </c>
      <c r="C31" s="6" t="inlineStr">
        <is>
          <t>FLGT</t>
        </is>
      </c>
      <c r="D31" s="5" t="inlineStr">
        <is>
          <t>Fulgent Genetics Inc.</t>
        </is>
      </c>
      <c r="E31" s="5" t="inlineStr">
        <is>
          <t>NASDAQ</t>
        </is>
      </c>
      <c r="F31" s="5" t="inlineStr">
        <is>
          <t>醫療保健</t>
        </is>
      </c>
      <c r="G31" s="5" t="inlineStr">
        <is>
          <t>Medical Specialities</t>
        </is>
      </c>
      <c r="H31" s="7" t="n">
        <v>0.606</v>
      </c>
      <c r="I31" s="5" t="inlineStr">
        <is>
          <t>小型</t>
        </is>
      </c>
      <c r="J31" s="8" t="n">
        <v>21.3</v>
      </c>
      <c r="K31" s="8" t="n">
        <v>22.02</v>
      </c>
      <c r="L31" s="9">
        <f>J31/K31-1</f>
        <v/>
      </c>
      <c r="M31" s="8" t="n">
        <v>22.05</v>
      </c>
      <c r="N31" s="8" t="n">
        <v>21.12</v>
      </c>
      <c r="O31" s="10" t="n">
        <v>338200</v>
      </c>
      <c r="P31" s="10" t="n">
        <v>330000</v>
      </c>
      <c r="Q31" s="11">
        <f>O31/P31</f>
        <v/>
      </c>
      <c r="R31" s="8" t="n">
        <v>21.6971</v>
      </c>
      <c r="S31" s="8" t="n">
        <v>21.196</v>
      </c>
      <c r="T31" s="8" t="n">
        <v>20.7358</v>
      </c>
      <c r="U31" s="9">
        <f>S31/T31-1</f>
        <v/>
      </c>
      <c r="V31" s="12" t="n">
        <v>1</v>
      </c>
      <c r="W31" s="9">
        <f>J31/R31-1</f>
        <v/>
      </c>
      <c r="X31" s="9">
        <f>J31/S31-1</f>
        <v/>
      </c>
      <c r="Y31" s="8" t="n">
        <v>0.6669</v>
      </c>
      <c r="Z31" s="13">
        <f>Y31/J31</f>
        <v/>
      </c>
      <c r="AA31" s="11">
        <f>(J31-R31)/Y31</f>
        <v/>
      </c>
      <c r="AB31" s="11">
        <f>(J31-S31)/Y31</f>
        <v/>
      </c>
      <c r="AC31" s="5">
        <f>IF(ABS(AA31)&lt;=ABS(AB31),"9EMA","21EMA")</f>
        <v/>
      </c>
      <c r="AD31" s="5" t="inlineStr">
        <is>
          <t>9+21EMA</t>
        </is>
      </c>
      <c r="AE31" s="5" t="inlineStr">
        <is>
          <t>持續在上方</t>
        </is>
      </c>
      <c r="AF31" s="5" t="inlineStr"/>
      <c r="AG31" s="5" t="inlineStr">
        <is>
          <t>✓</t>
        </is>
      </c>
      <c r="AH31" s="5" t="inlineStr"/>
      <c r="AI31" s="5" t="inlineStr">
        <is>
          <t>2026-08-20</t>
        </is>
      </c>
      <c r="AJ31" s="5" t="n">
        <v>29</v>
      </c>
      <c r="AK31" s="14" t="n">
        <v>4</v>
      </c>
      <c r="AL31" s="5" t="inlineStr">
        <is>
          <t>2026-09-21</t>
        </is>
      </c>
      <c r="AM31" s="8" t="n">
        <v>21.01</v>
      </c>
      <c r="AN31" s="8" t="n">
        <v>19.04</v>
      </c>
      <c r="AO31" s="9">
        <f>IF(ISNUMBER(AN31),AM31/AN31-1,"")</f>
        <v/>
      </c>
      <c r="AP31" s="14" t="n">
        <v>8</v>
      </c>
      <c r="AQ31" s="9">
        <f>IF(ISNUMBER(AM31),J31/AM31-1,"")</f>
        <v/>
      </c>
      <c r="AR31" s="8" t="n">
        <v>22.36</v>
      </c>
      <c r="AS31" s="9">
        <f>J31/AR31-1</f>
        <v/>
      </c>
      <c r="AT31" s="5" t="inlineStr">
        <is>
          <t>上升通道</t>
        </is>
      </c>
      <c r="AU31" s="15" t="n">
        <v>0.5332</v>
      </c>
      <c r="AV31" s="15" t="n">
        <v>0.6606</v>
      </c>
      <c r="AW31" s="15" t="n">
        <v>0.5164</v>
      </c>
      <c r="AX31" s="15" t="n">
        <v>0.5028</v>
      </c>
      <c r="AY31" s="14" t="n">
        <v>2</v>
      </c>
      <c r="AZ31" s="8" t="n">
        <v>22.59</v>
      </c>
      <c r="BA31" s="8" t="n">
        <v>19.04</v>
      </c>
      <c r="BB31" s="8" t="n">
        <v>20.8733</v>
      </c>
      <c r="BC31" s="15" t="n">
        <v>1.2258</v>
      </c>
      <c r="BD31" s="11">
        <f>IF(M31=N31,0.5,(J31-N31)/(M31-N31))</f>
        <v/>
      </c>
      <c r="BE31" s="16" t="n">
        <v>13.483</v>
      </c>
      <c r="BF31" s="16" t="n">
        <v>8.728999999999999</v>
      </c>
      <c r="BG31" s="17">
        <f>100*(0.4*MIN(1,MAX(0,((U31*100)-(0.0))/((2.5)-(0.0))))+0.3*MIN(1,MAX(0,((V31)-(0.6))/((1.0)-(0.6))))+0.3*MIN(1,MAX(0,((BE31)-(0.0))/((15.0)-(0.0)))))</f>
        <v/>
      </c>
      <c r="BH31" s="17">
        <f>100*(0.4*MIN(1,MAX(0,((MIN(ABS(AA31),ABS(AB31)))-(0.75))/((0.0)-(0.75))))+0.3*MIN(1,MAX(0,((BC31)-(1.2))/((0.6)-(1.2))))+0.3*BD31)</f>
        <v/>
      </c>
      <c r="BI31" s="17">
        <f>100*(0.5*MIN(1,MAX(0,((AK31)-(1.0))/((4.0)-(1.0))))+0.3*MIN(1,MAX(0,((IF(ISNUMBER(AO31),AO31,0)*100)-(0.0))/((8.0)-(0.0))))+0.2*MIN(1,MAX(0,((IF(ISNUMBER(AP31),AP31,0))-(25.0))/((5.0)-(25.0)))))</f>
        <v/>
      </c>
      <c r="BJ31" s="17">
        <f>100*(0.35*MIN(1,MAX(0,((ABS(AU31))-(0.3))/((0.05)-(0.3))))+0.3*MIN(1,MAX(0,((AV31)-(0.0))/((0.3)-(0.0))))+0.25*MIN(1,MAX(0,((AW31)-(0.4))/((0.7)-(0.4))))+0.1*IF(AY31&gt;=2,1,0.5))</f>
        <v/>
      </c>
      <c r="BK31" s="18">
        <f>0.25*BG31+0.25*BH31+0.2*BI31+0.3*BJ31</f>
        <v/>
      </c>
      <c r="BL31" s="5" t="inlineStr">
        <is>
          <t>全部通過</t>
        </is>
      </c>
      <c r="BM31" s="5" t="inlineStr"/>
    </row>
    <row r="32">
      <c r="A32" s="5" t="n">
        <v>1</v>
      </c>
      <c r="B32" s="5" t="n">
        <v>31</v>
      </c>
      <c r="C32" s="6" t="inlineStr">
        <is>
          <t>CRSR</t>
        </is>
      </c>
      <c r="D32" s="5" t="inlineStr">
        <is>
          <t>Corsair Gaming Inc.</t>
        </is>
      </c>
      <c r="E32" s="5" t="inlineStr">
        <is>
          <t>NASDAQ</t>
        </is>
      </c>
      <c r="F32" s="5" t="inlineStr">
        <is>
          <t>科技</t>
        </is>
      </c>
      <c r="G32" s="5" t="inlineStr">
        <is>
          <t>Computer peripheral equipment</t>
        </is>
      </c>
      <c r="H32" s="7" t="n">
        <v>1.46</v>
      </c>
      <c r="I32" s="5" t="inlineStr">
        <is>
          <t>小型</t>
        </is>
      </c>
      <c r="J32" s="8" t="n">
        <v>13.85</v>
      </c>
      <c r="K32" s="8" t="n">
        <v>13.5</v>
      </c>
      <c r="L32" s="9">
        <f>J32/K32-1</f>
        <v/>
      </c>
      <c r="M32" s="8" t="n">
        <v>14.24</v>
      </c>
      <c r="N32" s="8" t="n">
        <v>13.385</v>
      </c>
      <c r="O32" s="10" t="n">
        <v>1396000</v>
      </c>
      <c r="P32" s="10" t="n">
        <v>1064355</v>
      </c>
      <c r="Q32" s="11">
        <f>O32/P32</f>
        <v/>
      </c>
      <c r="R32" s="8" t="n">
        <v>13.5283</v>
      </c>
      <c r="S32" s="8" t="n">
        <v>13.159</v>
      </c>
      <c r="T32" s="8" t="n">
        <v>12.8885</v>
      </c>
      <c r="U32" s="9">
        <f>S32/T32-1</f>
        <v/>
      </c>
      <c r="V32" s="12" t="n">
        <v>1</v>
      </c>
      <c r="W32" s="9">
        <f>J32/R32-1</f>
        <v/>
      </c>
      <c r="X32" s="9">
        <f>J32/S32-1</f>
        <v/>
      </c>
      <c r="Y32" s="8" t="n">
        <v>0.5997</v>
      </c>
      <c r="Z32" s="13">
        <f>Y32/J32</f>
        <v/>
      </c>
      <c r="AA32" s="11">
        <f>(J32-R32)/Y32</f>
        <v/>
      </c>
      <c r="AB32" s="11">
        <f>(J32-S32)/Y32</f>
        <v/>
      </c>
      <c r="AC32" s="5">
        <f>IF(ABS(AA32)&lt;=ABS(AB32),"9EMA","21EMA")</f>
        <v/>
      </c>
      <c r="AD32" s="5" t="inlineStr">
        <is>
          <t>9EMA</t>
        </is>
      </c>
      <c r="AE32" s="5" t="inlineStr">
        <is>
          <t>持續在上方</t>
        </is>
      </c>
      <c r="AF32" s="5" t="inlineStr"/>
      <c r="AG32" s="5" t="inlineStr"/>
      <c r="AH32" s="5" t="inlineStr">
        <is>
          <t>✓</t>
        </is>
      </c>
      <c r="AI32" s="5" t="inlineStr">
        <is>
          <t>2026-06-29</t>
        </is>
      </c>
      <c r="AJ32" s="5" t="n">
        <v>66</v>
      </c>
      <c r="AK32" s="14" t="n">
        <v>6</v>
      </c>
      <c r="AL32" s="5" t="inlineStr">
        <is>
          <t>2026-09-24</t>
        </is>
      </c>
      <c r="AM32" s="8" t="n">
        <v>13.06</v>
      </c>
      <c r="AN32" s="8" t="n">
        <v>12.05</v>
      </c>
      <c r="AO32" s="9">
        <f>IF(ISNUMBER(AN32),AM32/AN32-1,"")</f>
        <v/>
      </c>
      <c r="AP32" s="14" t="n">
        <v>5</v>
      </c>
      <c r="AQ32" s="9">
        <f>IF(ISNUMBER(AM32),J32/AM32-1,"")</f>
        <v/>
      </c>
      <c r="AR32" s="8" t="n">
        <v>13.85</v>
      </c>
      <c r="AS32" s="9">
        <f>J32/AR32-1</f>
        <v/>
      </c>
      <c r="AT32" s="5" t="inlineStr">
        <is>
          <t>上傾收窄（楔形）</t>
        </is>
      </c>
      <c r="AU32" s="15" t="n">
        <v>0.5091</v>
      </c>
      <c r="AV32" s="15" t="n">
        <v>0.6863</v>
      </c>
      <c r="AW32" s="15" t="n">
        <v>0.5308</v>
      </c>
      <c r="AX32" s="15" t="n">
        <v>0.6089</v>
      </c>
      <c r="AY32" s="14" t="n">
        <v>1</v>
      </c>
      <c r="AZ32" s="8" t="n">
        <v>14.24</v>
      </c>
      <c r="BA32" s="8" t="n">
        <v>11.55</v>
      </c>
      <c r="BB32" s="8" t="n">
        <v>12.9778</v>
      </c>
      <c r="BC32" s="15" t="n">
        <v>0.9966</v>
      </c>
      <c r="BD32" s="11">
        <f>IF(M32=N32,0.5,(J32-N32)/(M32-N32))</f>
        <v/>
      </c>
      <c r="BE32" s="16" t="n">
        <v>23.945</v>
      </c>
      <c r="BF32" s="16" t="n">
        <v>19.191</v>
      </c>
      <c r="BG32" s="17">
        <f>100*(0.4*MIN(1,MAX(0,((U32*100)-(0.0))/((2.5)-(0.0))))+0.3*MIN(1,MAX(0,((V32)-(0.6))/((1.0)-(0.6))))+0.3*MIN(1,MAX(0,((BE32)-(0.0))/((15.0)-(0.0)))))</f>
        <v/>
      </c>
      <c r="BH32" s="17">
        <f>100*(0.4*MIN(1,MAX(0,((MIN(ABS(AA32),ABS(AB32)))-(0.75))/((0.0)-(0.75))))+0.3*MIN(1,MAX(0,((BC32)-(1.2))/((0.6)-(1.2))))+0.3*BD32)</f>
        <v/>
      </c>
      <c r="BI32" s="17">
        <f>100*(0.5*MIN(1,MAX(0,((AK32)-(1.0))/((4.0)-(1.0))))+0.3*MIN(1,MAX(0,((IF(ISNUMBER(AO32),AO32,0)*100)-(0.0))/((8.0)-(0.0))))+0.2*MIN(1,MAX(0,((IF(ISNUMBER(AP32),AP32,0))-(25.0))/((5.0)-(25.0)))))</f>
        <v/>
      </c>
      <c r="BJ32" s="17">
        <f>100*(0.35*MIN(1,MAX(0,((ABS(AU32))-(0.3))/((0.05)-(0.3))))+0.3*MIN(1,MAX(0,((AV32)-(0.0))/((0.3)-(0.0))))+0.25*MIN(1,MAX(0,((AW32)-(0.4))/((0.7)-(0.4))))+0.1*IF(AY32&gt;=2,1,0.5))</f>
        <v/>
      </c>
      <c r="BK32" s="18">
        <f>0.25*BG32+0.25*BH32+0.2*BI32+0.3*BJ32</f>
        <v/>
      </c>
      <c r="BL32" s="5" t="inlineStr">
        <is>
          <t>全部通過</t>
        </is>
      </c>
      <c r="BM32" s="5" t="inlineStr"/>
    </row>
    <row r="33">
      <c r="A33" s="5" t="n">
        <v>1</v>
      </c>
      <c r="B33" s="5" t="n">
        <v>32</v>
      </c>
      <c r="C33" s="6" t="inlineStr">
        <is>
          <t>UCTT</t>
        </is>
      </c>
      <c r="D33" s="5" t="inlineStr">
        <is>
          <t>Ultra Clean Holdings Inc.</t>
        </is>
      </c>
      <c r="E33" s="5" t="inlineStr">
        <is>
          <t>NASDAQ</t>
        </is>
      </c>
      <c r="F33" s="5" t="inlineStr">
        <is>
          <t>科技</t>
        </is>
      </c>
      <c r="G33" s="5" t="inlineStr">
        <is>
          <t>Semiconductors</t>
        </is>
      </c>
      <c r="H33" s="7" t="n">
        <v>3.67</v>
      </c>
      <c r="I33" s="5" t="inlineStr">
        <is>
          <t>中型</t>
        </is>
      </c>
      <c r="J33" s="8" t="n">
        <v>78.64</v>
      </c>
      <c r="K33" s="8" t="n">
        <v>81.06</v>
      </c>
      <c r="L33" s="9">
        <f>J33/K33-1</f>
        <v/>
      </c>
      <c r="M33" s="8" t="n">
        <v>81.87</v>
      </c>
      <c r="N33" s="8" t="n">
        <v>77.76000000000001</v>
      </c>
      <c r="O33" s="10" t="n">
        <v>1264200</v>
      </c>
      <c r="P33" s="10" t="n">
        <v>872500</v>
      </c>
      <c r="Q33" s="11">
        <f>O33/P33</f>
        <v/>
      </c>
      <c r="R33" s="8" t="n">
        <v>77.3895</v>
      </c>
      <c r="S33" s="8" t="n">
        <v>75.6253</v>
      </c>
      <c r="T33" s="8" t="n">
        <v>73.40009999999999</v>
      </c>
      <c r="U33" s="9">
        <f>S33/T33-1</f>
        <v/>
      </c>
      <c r="V33" s="12" t="n">
        <v>0.9</v>
      </c>
      <c r="W33" s="9">
        <f>J33/R33-1</f>
        <v/>
      </c>
      <c r="X33" s="9">
        <f>J33/S33-1</f>
        <v/>
      </c>
      <c r="Y33" s="8" t="n">
        <v>4.445</v>
      </c>
      <c r="Z33" s="13">
        <f>Y33/J33</f>
        <v/>
      </c>
      <c r="AA33" s="11">
        <f>(J33-R33)/Y33</f>
        <v/>
      </c>
      <c r="AB33" s="11">
        <f>(J33-S33)/Y33</f>
        <v/>
      </c>
      <c r="AC33" s="5">
        <f>IF(ABS(AA33)&lt;=ABS(AB33),"9EMA","21EMA")</f>
        <v/>
      </c>
      <c r="AD33" s="5" t="inlineStr">
        <is>
          <t>9EMA</t>
        </is>
      </c>
      <c r="AE33" s="19" t="inlineStr">
        <is>
          <t>剛黃金交叉</t>
        </is>
      </c>
      <c r="AF33" s="5" t="inlineStr">
        <is>
          <t>✓</t>
        </is>
      </c>
      <c r="AG33" s="5" t="inlineStr"/>
      <c r="AH33" s="5" t="inlineStr">
        <is>
          <t>✓</t>
        </is>
      </c>
      <c r="AI33" s="5" t="inlineStr">
        <is>
          <t>2026-09-25</t>
        </is>
      </c>
      <c r="AJ33" s="5" t="n">
        <v>4</v>
      </c>
      <c r="AK33" s="14" t="n">
        <v>2</v>
      </c>
      <c r="AL33" s="5" t="inlineStr">
        <is>
          <t>2026-09-15</t>
        </is>
      </c>
      <c r="AM33" s="8" t="n">
        <v>64.77</v>
      </c>
      <c r="AN33" s="8" t="n">
        <v>62.68</v>
      </c>
      <c r="AO33" s="9">
        <f>IF(ISNUMBER(AN33),AM33/AN33-1,"")</f>
        <v/>
      </c>
      <c r="AP33" s="14" t="n">
        <v>12</v>
      </c>
      <c r="AQ33" s="9">
        <f>IF(ISNUMBER(AM33),J33/AM33-1,"")</f>
        <v/>
      </c>
      <c r="AR33" s="8" t="n">
        <v>81.06</v>
      </c>
      <c r="AS33" s="9">
        <f>J33/AR33-1</f>
        <v/>
      </c>
      <c r="AT33" s="5" t="inlineStr">
        <is>
          <t>上升三角（平頂）</t>
        </is>
      </c>
      <c r="AU33" s="15" t="n">
        <v>-0.0827</v>
      </c>
      <c r="AV33" s="15" t="n">
        <v>0.3797</v>
      </c>
      <c r="AW33" s="15" t="n">
        <v>0.5265</v>
      </c>
      <c r="AX33" s="15" t="n">
        <v>0.5043</v>
      </c>
      <c r="AY33" s="14" t="n">
        <v>3</v>
      </c>
      <c r="AZ33" s="8" t="n">
        <v>82.56999999999999</v>
      </c>
      <c r="BA33" s="8" t="n">
        <v>62.68</v>
      </c>
      <c r="BB33" s="8" t="n">
        <v>73.1529</v>
      </c>
      <c r="BC33" s="15" t="n">
        <v>0.9717</v>
      </c>
      <c r="BD33" s="11">
        <f>IF(M33=N33,0.5,(J33-N33)/(M33-N33))</f>
        <v/>
      </c>
      <c r="BE33" s="16" t="n">
        <v>25.534</v>
      </c>
      <c r="BF33" s="16" t="n">
        <v>20.78</v>
      </c>
      <c r="BG33" s="17">
        <f>100*(0.4*MIN(1,MAX(0,((U33*100)-(0.0))/((2.5)-(0.0))))+0.3*MIN(1,MAX(0,((V33)-(0.6))/((1.0)-(0.6))))+0.3*MIN(1,MAX(0,((BE33)-(0.0))/((15.0)-(0.0)))))</f>
        <v/>
      </c>
      <c r="BH33" s="17">
        <f>100*(0.4*MIN(1,MAX(0,((MIN(ABS(AA33),ABS(AB33)))-(0.75))/((0.0)-(0.75))))+0.3*MIN(1,MAX(0,((BC33)-(1.2))/((0.6)-(1.2))))+0.3*BD33)</f>
        <v/>
      </c>
      <c r="BI33" s="17">
        <f>100*(0.5*MIN(1,MAX(0,((AK33)-(1.0))/((4.0)-(1.0))))+0.3*MIN(1,MAX(0,((IF(ISNUMBER(AO33),AO33,0)*100)-(0.0))/((8.0)-(0.0))))+0.2*MIN(1,MAX(0,((IF(ISNUMBER(AP33),AP33,0))-(25.0))/((5.0)-(25.0)))))</f>
        <v/>
      </c>
      <c r="BJ33" s="17">
        <f>100*(0.35*MIN(1,MAX(0,((ABS(AU33))-(0.3))/((0.05)-(0.3))))+0.3*MIN(1,MAX(0,((AV33)-(0.0))/((0.3)-(0.0))))+0.25*MIN(1,MAX(0,((AW33)-(0.4))/((0.7)-(0.4))))+0.1*IF(AY33&gt;=2,1,0.5))</f>
        <v/>
      </c>
      <c r="BK33" s="18">
        <f>0.25*BG33+0.25*BH33+0.2*BI33+0.3*BJ33</f>
        <v/>
      </c>
      <c r="BL33" s="5" t="inlineStr">
        <is>
          <t>全部通過</t>
        </is>
      </c>
      <c r="BM33" s="5" t="inlineStr"/>
    </row>
    <row r="34">
      <c r="A34" s="5" t="n">
        <v>1</v>
      </c>
      <c r="B34" s="5" t="n">
        <v>33</v>
      </c>
      <c r="C34" s="6" t="inlineStr">
        <is>
          <t>NTAP</t>
        </is>
      </c>
      <c r="D34" s="5" t="inlineStr">
        <is>
          <t>NetApp Inc.</t>
        </is>
      </c>
      <c r="E34" s="5" t="inlineStr">
        <is>
          <t>NASDAQ</t>
        </is>
      </c>
      <c r="F34" s="5" t="inlineStr">
        <is>
          <t>科技</t>
        </is>
      </c>
      <c r="G34" s="5" t="inlineStr">
        <is>
          <t>Electronic Components</t>
        </is>
      </c>
      <c r="H34" s="7" t="n">
        <v>41.264</v>
      </c>
      <c r="I34" s="5" t="inlineStr">
        <is>
          <t>大型</t>
        </is>
      </c>
      <c r="J34" s="8" t="n">
        <v>215.05</v>
      </c>
      <c r="K34" s="8" t="n">
        <v>210.08</v>
      </c>
      <c r="L34" s="9">
        <f>J34/K34-1</f>
        <v/>
      </c>
      <c r="M34" s="8" t="n">
        <v>215.22</v>
      </c>
      <c r="N34" s="8" t="n">
        <v>208.03</v>
      </c>
      <c r="O34" s="10" t="n">
        <v>2348700</v>
      </c>
      <c r="P34" s="10" t="n">
        <v>2566565</v>
      </c>
      <c r="Q34" s="11">
        <f>O34/P34</f>
        <v/>
      </c>
      <c r="R34" s="8" t="n">
        <v>204.5743</v>
      </c>
      <c r="S34" s="8" t="n">
        <v>198.3394</v>
      </c>
      <c r="T34" s="8" t="n">
        <v>192.0695</v>
      </c>
      <c r="U34" s="9">
        <f>S34/T34-1</f>
        <v/>
      </c>
      <c r="V34" s="12" t="n">
        <v>1</v>
      </c>
      <c r="W34" s="9">
        <f>J34/R34-1</f>
        <v/>
      </c>
      <c r="X34" s="9">
        <f>J34/S34-1</f>
        <v/>
      </c>
      <c r="Y34" s="8" t="n">
        <v>7.7496</v>
      </c>
      <c r="Z34" s="13">
        <f>Y34/J34</f>
        <v/>
      </c>
      <c r="AA34" s="11">
        <f>(J34-R34)/Y34</f>
        <v/>
      </c>
      <c r="AB34" s="11">
        <f>(J34-S34)/Y34</f>
        <v/>
      </c>
      <c r="AC34" s="5">
        <f>IF(ABS(AA34)&lt;=ABS(AB34),"9EMA","21EMA")</f>
        <v/>
      </c>
      <c r="AD34" s="5" t="inlineStr">
        <is>
          <t>9EMA</t>
        </is>
      </c>
      <c r="AE34" s="5" t="inlineStr">
        <is>
          <t>持續在上方</t>
        </is>
      </c>
      <c r="AF34" s="5" t="inlineStr"/>
      <c r="AG34" s="5" t="inlineStr"/>
      <c r="AH34" s="5" t="inlineStr"/>
      <c r="AI34" s="5" t="inlineStr">
        <is>
          <t>2026-09-11</t>
        </is>
      </c>
      <c r="AJ34" s="5" t="n">
        <v>14</v>
      </c>
      <c r="AK34" s="14" t="n">
        <v>2</v>
      </c>
      <c r="AL34" s="5" t="inlineStr">
        <is>
          <t>2026-09-22</t>
        </is>
      </c>
      <c r="AM34" s="8" t="n">
        <v>190.89</v>
      </c>
      <c r="AN34" s="8" t="n">
        <v>161</v>
      </c>
      <c r="AO34" s="9">
        <f>IF(ISNUMBER(AN34),AM34/AN34-1,"")</f>
        <v/>
      </c>
      <c r="AP34" s="14" t="n">
        <v>7</v>
      </c>
      <c r="AQ34" s="9">
        <f>IF(ISNUMBER(AM34),J34/AM34-1,"")</f>
        <v/>
      </c>
      <c r="AR34" s="8" t="n">
        <v>215.05</v>
      </c>
      <c r="AS34" s="9">
        <f>J34/AR34-1</f>
        <v/>
      </c>
      <c r="AT34" s="5" t="inlineStr">
        <is>
          <t>上傾收窄（楔形）</t>
        </is>
      </c>
      <c r="AU34" s="15" t="n">
        <v>0.4592</v>
      </c>
      <c r="AV34" s="15" t="n">
        <v>1.1583</v>
      </c>
      <c r="AW34" s="15" t="n">
        <v>0.5816</v>
      </c>
      <c r="AX34" s="15" t="n">
        <v>0.3701</v>
      </c>
      <c r="AY34" s="14" t="n">
        <v>2</v>
      </c>
      <c r="AZ34" s="8" t="n">
        <v>216.81</v>
      </c>
      <c r="BA34" s="8" t="n">
        <v>161</v>
      </c>
      <c r="BB34" s="8" t="n">
        <v>193.4577</v>
      </c>
      <c r="BC34" s="15" t="n">
        <v>0.8843</v>
      </c>
      <c r="BD34" s="11">
        <f>IF(M34=N34,0.5,(J34-N34)/(M34-N34))</f>
        <v/>
      </c>
      <c r="BE34" s="16" t="n">
        <v>22.165</v>
      </c>
      <c r="BF34" s="16" t="n">
        <v>17.411</v>
      </c>
      <c r="BG34" s="17">
        <f>100*(0.4*MIN(1,MAX(0,((U34*100)-(0.0))/((2.5)-(0.0))))+0.3*MIN(1,MAX(0,((V34)-(0.6))/((1.0)-(0.6))))+0.3*MIN(1,MAX(0,((BE34)-(0.0))/((15.0)-(0.0)))))</f>
        <v/>
      </c>
      <c r="BH34" s="17">
        <f>100*(0.4*MIN(1,MAX(0,((MIN(ABS(AA34),ABS(AB34)))-(0.75))/((0.0)-(0.75))))+0.3*MIN(1,MAX(0,((BC34)-(1.2))/((0.6)-(1.2))))+0.3*BD34)</f>
        <v/>
      </c>
      <c r="BI34" s="17">
        <f>100*(0.5*MIN(1,MAX(0,((AK34)-(1.0))/((4.0)-(1.0))))+0.3*MIN(1,MAX(0,((IF(ISNUMBER(AO34),AO34,0)*100)-(0.0))/((8.0)-(0.0))))+0.2*MIN(1,MAX(0,((IF(ISNUMBER(AP34),AP34,0))-(25.0))/((5.0)-(25.0)))))</f>
        <v/>
      </c>
      <c r="BJ34" s="17">
        <f>100*(0.35*MIN(1,MAX(0,((ABS(AU34))-(0.3))/((0.05)-(0.3))))+0.3*MIN(1,MAX(0,((AV34)-(0.0))/((0.3)-(0.0))))+0.25*MIN(1,MAX(0,((AW34)-(0.4))/((0.7)-(0.4))))+0.1*IF(AY34&gt;=2,1,0.5))</f>
        <v/>
      </c>
      <c r="BK34" s="18">
        <f>0.25*BG34+0.25*BH34+0.2*BI34+0.3*BJ34</f>
        <v/>
      </c>
      <c r="BL34" s="5" t="inlineStr">
        <is>
          <t>全部通過</t>
        </is>
      </c>
      <c r="BM34" s="5" t="inlineStr"/>
    </row>
    <row r="35">
      <c r="A35" s="5" t="n">
        <v>1</v>
      </c>
      <c r="B35" s="5" t="n">
        <v>34</v>
      </c>
      <c r="C35" s="6" t="inlineStr">
        <is>
          <t>OSPN</t>
        </is>
      </c>
      <c r="D35" s="5" t="inlineStr">
        <is>
          <t>OneSpan Inc.</t>
        </is>
      </c>
      <c r="E35" s="5" t="inlineStr">
        <is>
          <t>NASDAQ</t>
        </is>
      </c>
      <c r="F35" s="5" t="inlineStr">
        <is>
          <t>科技</t>
        </is>
      </c>
      <c r="G35" s="5" t="inlineStr">
        <is>
          <t>EDP Services</t>
        </is>
      </c>
      <c r="H35" s="7" t="n">
        <v>0.66</v>
      </c>
      <c r="I35" s="5" t="inlineStr">
        <is>
          <t>小型</t>
        </is>
      </c>
      <c r="J35" s="8" t="n">
        <v>18.04</v>
      </c>
      <c r="K35" s="8" t="n">
        <v>17.91</v>
      </c>
      <c r="L35" s="9">
        <f>J35/K35-1</f>
        <v/>
      </c>
      <c r="M35" s="8" t="n">
        <v>18.25</v>
      </c>
      <c r="N35" s="8" t="n">
        <v>17.58</v>
      </c>
      <c r="O35" s="10" t="n">
        <v>514100</v>
      </c>
      <c r="P35" s="10" t="n">
        <v>584265</v>
      </c>
      <c r="Q35" s="11">
        <f>O35/P35</f>
        <v/>
      </c>
      <c r="R35" s="8" t="n">
        <v>17.7902</v>
      </c>
      <c r="S35" s="8" t="n">
        <v>17.3836</v>
      </c>
      <c r="T35" s="8" t="n">
        <v>17.0675</v>
      </c>
      <c r="U35" s="9">
        <f>S35/T35-1</f>
        <v/>
      </c>
      <c r="V35" s="12" t="n">
        <v>1</v>
      </c>
      <c r="W35" s="9">
        <f>J35/R35-1</f>
        <v/>
      </c>
      <c r="X35" s="9">
        <f>J35/S35-1</f>
        <v/>
      </c>
      <c r="Y35" s="8" t="n">
        <v>0.5678</v>
      </c>
      <c r="Z35" s="13">
        <f>Y35/J35</f>
        <v/>
      </c>
      <c r="AA35" s="11">
        <f>(J35-R35)/Y35</f>
        <v/>
      </c>
      <c r="AB35" s="11">
        <f>(J35-S35)/Y35</f>
        <v/>
      </c>
      <c r="AC35" s="5">
        <f>IF(ABS(AA35)&lt;=ABS(AB35),"9EMA","21EMA")</f>
        <v/>
      </c>
      <c r="AD35" s="5" t="inlineStr">
        <is>
          <t>9EMA</t>
        </is>
      </c>
      <c r="AE35" s="5" t="inlineStr">
        <is>
          <t>持續在上方</t>
        </is>
      </c>
      <c r="AF35" s="5" t="inlineStr"/>
      <c r="AG35" s="5" t="inlineStr"/>
      <c r="AH35" s="5" t="inlineStr">
        <is>
          <t>✓</t>
        </is>
      </c>
      <c r="AI35" s="5" t="inlineStr">
        <is>
          <t>2026-08-27</t>
        </is>
      </c>
      <c r="AJ35" s="5" t="n">
        <v>24</v>
      </c>
      <c r="AK35" s="14" t="n">
        <v>3</v>
      </c>
      <c r="AL35" s="5" t="inlineStr">
        <is>
          <t>2026-09-22</t>
        </is>
      </c>
      <c r="AM35" s="8" t="n">
        <v>17.05</v>
      </c>
      <c r="AN35" s="8" t="n">
        <v>15.97</v>
      </c>
      <c r="AO35" s="9">
        <f>IF(ISNUMBER(AN35),AM35/AN35-1,"")</f>
        <v/>
      </c>
      <c r="AP35" s="14" t="n">
        <v>7</v>
      </c>
      <c r="AQ35" s="9">
        <f>IF(ISNUMBER(AM35),J35/AM35-1,"")</f>
        <v/>
      </c>
      <c r="AR35" s="8" t="n">
        <v>18.04</v>
      </c>
      <c r="AS35" s="9">
        <f>J35/AR35-1</f>
        <v/>
      </c>
      <c r="AT35" s="5" t="inlineStr">
        <is>
          <t>上傾收窄（楔形）</t>
        </is>
      </c>
      <c r="AU35" s="15" t="n">
        <v>0.4796</v>
      </c>
      <c r="AV35" s="15" t="n">
        <v>0.7483</v>
      </c>
      <c r="AW35" s="15" t="n">
        <v>0.6649</v>
      </c>
      <c r="AX35" s="15" t="n">
        <v>0.6830000000000001</v>
      </c>
      <c r="AY35" s="14" t="n">
        <v>6</v>
      </c>
      <c r="AZ35" s="8" t="n">
        <v>18.25</v>
      </c>
      <c r="BA35" s="8" t="n">
        <v>15.58</v>
      </c>
      <c r="BB35" s="8" t="n">
        <v>17.3552</v>
      </c>
      <c r="BC35" s="15" t="n">
        <v>2.0453</v>
      </c>
      <c r="BD35" s="11">
        <f>IF(M35=N35,0.5,(J35-N35)/(M35-N35))</f>
        <v/>
      </c>
      <c r="BE35" s="16" t="n">
        <v>18.356</v>
      </c>
      <c r="BF35" s="16" t="n">
        <v>13.602</v>
      </c>
      <c r="BG35" s="17">
        <f>100*(0.4*MIN(1,MAX(0,((U35*100)-(0.0))/((2.5)-(0.0))))+0.3*MIN(1,MAX(0,((V35)-(0.6))/((1.0)-(0.6))))+0.3*MIN(1,MAX(0,((BE35)-(0.0))/((15.0)-(0.0)))))</f>
        <v/>
      </c>
      <c r="BH35" s="17">
        <f>100*(0.4*MIN(1,MAX(0,((MIN(ABS(AA35),ABS(AB35)))-(0.75))/((0.0)-(0.75))))+0.3*MIN(1,MAX(0,((BC35)-(1.2))/((0.6)-(1.2))))+0.3*BD35)</f>
        <v/>
      </c>
      <c r="BI35" s="17">
        <f>100*(0.5*MIN(1,MAX(0,((AK35)-(1.0))/((4.0)-(1.0))))+0.3*MIN(1,MAX(0,((IF(ISNUMBER(AO35),AO35,0)*100)-(0.0))/((8.0)-(0.0))))+0.2*MIN(1,MAX(0,((IF(ISNUMBER(AP35),AP35,0))-(25.0))/((5.0)-(25.0)))))</f>
        <v/>
      </c>
      <c r="BJ35" s="17">
        <f>100*(0.35*MIN(1,MAX(0,((ABS(AU35))-(0.3))/((0.05)-(0.3))))+0.3*MIN(1,MAX(0,((AV35)-(0.0))/((0.3)-(0.0))))+0.25*MIN(1,MAX(0,((AW35)-(0.4))/((0.7)-(0.4))))+0.1*IF(AY35&gt;=2,1,0.5))</f>
        <v/>
      </c>
      <c r="BK35" s="18">
        <f>0.25*BG35+0.25*BH35+0.2*BI35+0.3*BJ35</f>
        <v/>
      </c>
      <c r="BL35" s="5" t="inlineStr">
        <is>
          <t>全部通過</t>
        </is>
      </c>
      <c r="BM35" s="5" t="inlineStr"/>
    </row>
    <row r="36">
      <c r="A36" s="5" t="n">
        <v>1</v>
      </c>
      <c r="B36" s="5" t="n">
        <v>35</v>
      </c>
      <c r="C36" s="6" t="inlineStr">
        <is>
          <t>TWIN</t>
        </is>
      </c>
      <c r="D36" s="5" t="inlineStr">
        <is>
          <t>Twin Disc Incorporated</t>
        </is>
      </c>
      <c r="E36" s="5" t="inlineStr">
        <is>
          <t>NASDAQ</t>
        </is>
      </c>
      <c r="F36" s="5" t="inlineStr">
        <is>
          <t>工業</t>
        </is>
      </c>
      <c r="G36" s="5" t="inlineStr">
        <is>
          <t>Industrial Machinery/Components</t>
        </is>
      </c>
      <c r="H36" s="7" t="n">
        <v>0.381</v>
      </c>
      <c r="I36" s="5" t="inlineStr">
        <is>
          <t>小型</t>
        </is>
      </c>
      <c r="J36" s="8" t="n">
        <v>26.86</v>
      </c>
      <c r="K36" s="8" t="n">
        <v>26.2</v>
      </c>
      <c r="L36" s="9">
        <f>J36/K36-1</f>
        <v/>
      </c>
      <c r="M36" s="8" t="n">
        <v>26.95</v>
      </c>
      <c r="N36" s="8" t="n">
        <v>25.25</v>
      </c>
      <c r="O36" s="10" t="n">
        <v>99100</v>
      </c>
      <c r="P36" s="10" t="n">
        <v>87610</v>
      </c>
      <c r="Q36" s="11">
        <f>O36/P36</f>
        <v/>
      </c>
      <c r="R36" s="8" t="n">
        <v>26.0685</v>
      </c>
      <c r="S36" s="8" t="n">
        <v>25.2963</v>
      </c>
      <c r="T36" s="8" t="n">
        <v>24.5961</v>
      </c>
      <c r="U36" s="9">
        <f>S36/T36-1</f>
        <v/>
      </c>
      <c r="V36" s="12" t="n">
        <v>1</v>
      </c>
      <c r="W36" s="9">
        <f>J36/R36-1</f>
        <v/>
      </c>
      <c r="X36" s="9">
        <f>J36/S36-1</f>
        <v/>
      </c>
      <c r="Y36" s="8" t="n">
        <v>1.0265</v>
      </c>
      <c r="Z36" s="13">
        <f>Y36/J36</f>
        <v/>
      </c>
      <c r="AA36" s="11">
        <f>(J36-R36)/Y36</f>
        <v/>
      </c>
      <c r="AB36" s="11">
        <f>(J36-S36)/Y36</f>
        <v/>
      </c>
      <c r="AC36" s="5">
        <f>IF(ABS(AA36)&lt;=ABS(AB36),"9EMA","21EMA")</f>
        <v/>
      </c>
      <c r="AD36" s="5" t="inlineStr">
        <is>
          <t>9+21EMA</t>
        </is>
      </c>
      <c r="AE36" s="5" t="inlineStr">
        <is>
          <t>持續在上方</t>
        </is>
      </c>
      <c r="AF36" s="5" t="inlineStr"/>
      <c r="AG36" s="5" t="inlineStr"/>
      <c r="AH36" s="5" t="inlineStr"/>
      <c r="AI36" s="5" t="inlineStr">
        <is>
          <t>2026-09-08</t>
        </is>
      </c>
      <c r="AJ36" s="5" t="n">
        <v>17</v>
      </c>
      <c r="AK36" s="14" t="n">
        <v>3</v>
      </c>
      <c r="AL36" s="5" t="inlineStr">
        <is>
          <t>2026-09-16</t>
        </is>
      </c>
      <c r="AM36" s="8" t="n">
        <v>23.56</v>
      </c>
      <c r="AN36" s="8" t="n">
        <v>22.16</v>
      </c>
      <c r="AO36" s="9">
        <f>IF(ISNUMBER(AN36),AM36/AN36-1,"")</f>
        <v/>
      </c>
      <c r="AP36" s="14" t="n">
        <v>11</v>
      </c>
      <c r="AQ36" s="9">
        <f>IF(ISNUMBER(AM36),J36/AM36-1,"")</f>
        <v/>
      </c>
      <c r="AR36" s="8" t="n">
        <v>26.86</v>
      </c>
      <c r="AS36" s="9">
        <f>J36/AR36-1</f>
        <v/>
      </c>
      <c r="AT36" s="5" t="inlineStr">
        <is>
          <t>上升通道</t>
        </is>
      </c>
      <c r="AU36" s="15" t="n">
        <v>0.5939</v>
      </c>
      <c r="AV36" s="15" t="n">
        <v>0.5212</v>
      </c>
      <c r="AW36" s="15" t="n">
        <v>0.526</v>
      </c>
      <c r="AX36" s="15" t="n">
        <v>0.5101</v>
      </c>
      <c r="AY36" s="14" t="n">
        <v>5</v>
      </c>
      <c r="AZ36" s="8" t="n">
        <v>26.96</v>
      </c>
      <c r="BA36" s="8" t="n">
        <v>22.16</v>
      </c>
      <c r="BB36" s="8" t="n">
        <v>24.6848</v>
      </c>
      <c r="BC36" s="15" t="n">
        <v>0.8702</v>
      </c>
      <c r="BD36" s="11">
        <f>IF(M36=N36,0.5,(J36-N36)/(M36-N36))</f>
        <v/>
      </c>
      <c r="BE36" s="16" t="n">
        <v>24.558</v>
      </c>
      <c r="BF36" s="16" t="n">
        <v>19.804</v>
      </c>
      <c r="BG36" s="17">
        <f>100*(0.4*MIN(1,MAX(0,((U36*100)-(0.0))/((2.5)-(0.0))))+0.3*MIN(1,MAX(0,((V36)-(0.6))/((1.0)-(0.6))))+0.3*MIN(1,MAX(0,((BE36)-(0.0))/((15.0)-(0.0)))))</f>
        <v/>
      </c>
      <c r="BH36" s="17">
        <f>100*(0.4*MIN(1,MAX(0,((MIN(ABS(AA36),ABS(AB36)))-(0.75))/((0.0)-(0.75))))+0.3*MIN(1,MAX(0,((BC36)-(1.2))/((0.6)-(1.2))))+0.3*BD36)</f>
        <v/>
      </c>
      <c r="BI36" s="17">
        <f>100*(0.5*MIN(1,MAX(0,((AK36)-(1.0))/((4.0)-(1.0))))+0.3*MIN(1,MAX(0,((IF(ISNUMBER(AO36),AO36,0)*100)-(0.0))/((8.0)-(0.0))))+0.2*MIN(1,MAX(0,((IF(ISNUMBER(AP36),AP36,0))-(25.0))/((5.0)-(25.0)))))</f>
        <v/>
      </c>
      <c r="BJ36" s="17">
        <f>100*(0.35*MIN(1,MAX(0,((ABS(AU36))-(0.3))/((0.05)-(0.3))))+0.3*MIN(1,MAX(0,((AV36)-(0.0))/((0.3)-(0.0))))+0.25*MIN(1,MAX(0,((AW36)-(0.4))/((0.7)-(0.4))))+0.1*IF(AY36&gt;=2,1,0.5))</f>
        <v/>
      </c>
      <c r="BK36" s="18">
        <f>0.25*BG36+0.25*BH36+0.2*BI36+0.3*BJ36</f>
        <v/>
      </c>
      <c r="BL36" s="5" t="inlineStr">
        <is>
          <t>全部通過</t>
        </is>
      </c>
      <c r="BM36" s="5" t="inlineStr"/>
    </row>
    <row r="37">
      <c r="A37" s="5" t="n">
        <v>1</v>
      </c>
      <c r="B37" s="5" t="n">
        <v>36</v>
      </c>
      <c r="C37" s="6" t="inlineStr">
        <is>
          <t>CHPT</t>
        </is>
      </c>
      <c r="D37" s="5" t="inlineStr">
        <is>
          <t>ChargePoint Holdings Inc.</t>
        </is>
      </c>
      <c r="E37" s="5" t="inlineStr">
        <is>
          <t>NYSE</t>
        </is>
      </c>
      <c r="F37" s="5" t="inlineStr">
        <is>
          <t>其他</t>
        </is>
      </c>
      <c r="G37" s="5" t="inlineStr">
        <is>
          <t>Industrial Machinery/Components</t>
        </is>
      </c>
      <c r="H37" s="7" t="n">
        <v>0.271</v>
      </c>
      <c r="I37" s="5" t="inlineStr">
        <is>
          <t>小型</t>
        </is>
      </c>
      <c r="J37" s="8" t="n">
        <v>10.2</v>
      </c>
      <c r="K37" s="8" t="n">
        <v>10.08</v>
      </c>
      <c r="L37" s="9">
        <f>J37/K37-1</f>
        <v/>
      </c>
      <c r="M37" s="8" t="n">
        <v>10.435</v>
      </c>
      <c r="N37" s="8" t="n">
        <v>9.776999999999999</v>
      </c>
      <c r="O37" s="10" t="n">
        <v>1055500</v>
      </c>
      <c r="P37" s="10" t="n">
        <v>4420845</v>
      </c>
      <c r="Q37" s="11">
        <f>O37/P37</f>
        <v/>
      </c>
      <c r="R37" s="8" t="n">
        <v>9.522</v>
      </c>
      <c r="S37" s="8" t="n">
        <v>8.890700000000001</v>
      </c>
      <c r="T37" s="8" t="n">
        <v>8.4773</v>
      </c>
      <c r="U37" s="9">
        <f>S37/T37-1</f>
        <v/>
      </c>
      <c r="V37" s="12" t="n">
        <v>1</v>
      </c>
      <c r="W37" s="9">
        <f>J37/R37-1</f>
        <v/>
      </c>
      <c r="X37" s="9">
        <f>J37/S37-1</f>
        <v/>
      </c>
      <c r="Y37" s="8" t="n">
        <v>0.7117</v>
      </c>
      <c r="Z37" s="13">
        <f>Y37/J37</f>
        <v/>
      </c>
      <c r="AA37" s="11">
        <f>(J37-R37)/Y37</f>
        <v/>
      </c>
      <c r="AB37" s="11">
        <f>(J37-S37)/Y37</f>
        <v/>
      </c>
      <c r="AC37" s="5">
        <f>IF(ABS(AA37)&lt;=ABS(AB37),"9EMA","21EMA")</f>
        <v/>
      </c>
      <c r="AD37" s="5" t="inlineStr">
        <is>
          <t>9+21EMA</t>
        </is>
      </c>
      <c r="AE37" s="5" t="inlineStr">
        <is>
          <t>持續在上方</t>
        </is>
      </c>
      <c r="AF37" s="5" t="inlineStr"/>
      <c r="AG37" s="5" t="inlineStr"/>
      <c r="AH37" s="5" t="inlineStr"/>
      <c r="AI37" s="5" t="inlineStr">
        <is>
          <t>2026-09-03</t>
        </is>
      </c>
      <c r="AJ37" s="5" t="n">
        <v>19</v>
      </c>
      <c r="AK37" s="14" t="n">
        <v>3</v>
      </c>
      <c r="AL37" s="5" t="inlineStr">
        <is>
          <t>2026-09-28</t>
        </is>
      </c>
      <c r="AM37" s="8" t="n">
        <v>8.65</v>
      </c>
      <c r="AN37" s="8" t="n">
        <v>8.56</v>
      </c>
      <c r="AO37" s="9">
        <f>IF(ISNUMBER(AN37),AM37/AN37-1,"")</f>
        <v/>
      </c>
      <c r="AP37" s="14" t="n">
        <v>3</v>
      </c>
      <c r="AQ37" s="9">
        <f>IF(ISNUMBER(AM37),J37/AM37-1,"")</f>
        <v/>
      </c>
      <c r="AR37" s="8" t="n">
        <v>10.32</v>
      </c>
      <c r="AS37" s="9">
        <f>J37/AR37-1</f>
        <v/>
      </c>
      <c r="AT37" s="5" t="inlineStr">
        <is>
          <t>上傾收窄（楔形）</t>
        </is>
      </c>
      <c r="AU37" s="15" t="n">
        <v>0.3554</v>
      </c>
      <c r="AV37" s="15" t="n">
        <v>1.6429</v>
      </c>
      <c r="AW37" s="15" t="n">
        <v>0.7195</v>
      </c>
      <c r="AX37" s="15" t="n">
        <v>0.7756</v>
      </c>
      <c r="AY37" s="14" t="n">
        <v>2</v>
      </c>
      <c r="AZ37" s="8" t="n">
        <v>10.72</v>
      </c>
      <c r="BA37" s="8" t="n">
        <v>5.19</v>
      </c>
      <c r="BB37" s="8" t="n">
        <v>9.168699999999999</v>
      </c>
      <c r="BC37" s="15" t="n">
        <v>0.8345</v>
      </c>
      <c r="BD37" s="11">
        <f>IF(M37=N37,0.5,(J37-N37)/(M37-N37))</f>
        <v/>
      </c>
      <c r="BE37" s="16" t="n">
        <v>97.20699999999999</v>
      </c>
      <c r="BF37" s="16" t="n">
        <v>92.453</v>
      </c>
      <c r="BG37" s="17">
        <f>100*(0.4*MIN(1,MAX(0,((U37*100)-(0.0))/((2.5)-(0.0))))+0.3*MIN(1,MAX(0,((V37)-(0.6))/((1.0)-(0.6))))+0.3*MIN(1,MAX(0,((BE37)-(0.0))/((15.0)-(0.0)))))</f>
        <v/>
      </c>
      <c r="BH37" s="17">
        <f>100*(0.4*MIN(1,MAX(0,((MIN(ABS(AA37),ABS(AB37)))-(0.75))/((0.0)-(0.75))))+0.3*MIN(1,MAX(0,((BC37)-(1.2))/((0.6)-(1.2))))+0.3*BD37)</f>
        <v/>
      </c>
      <c r="BI37" s="17">
        <f>100*(0.5*MIN(1,MAX(0,((AK37)-(1.0))/((4.0)-(1.0))))+0.3*MIN(1,MAX(0,((IF(ISNUMBER(AO37),AO37,0)*100)-(0.0))/((8.0)-(0.0))))+0.2*MIN(1,MAX(0,((IF(ISNUMBER(AP37),AP37,0))-(25.0))/((5.0)-(25.0)))))</f>
        <v/>
      </c>
      <c r="BJ37" s="17">
        <f>100*(0.35*MIN(1,MAX(0,((ABS(AU37))-(0.3))/((0.05)-(0.3))))+0.3*MIN(1,MAX(0,((AV37)-(0.0))/((0.3)-(0.0))))+0.25*MIN(1,MAX(0,((AW37)-(0.4))/((0.7)-(0.4))))+0.1*IF(AY37&gt;=2,1,0.5))</f>
        <v/>
      </c>
      <c r="BK37" s="18">
        <f>0.25*BG37+0.25*BH37+0.2*BI37+0.3*BJ37</f>
        <v/>
      </c>
      <c r="BL37" s="5" t="inlineStr">
        <is>
          <t>全部通過</t>
        </is>
      </c>
      <c r="BM37" s="5" t="inlineStr"/>
    </row>
    <row r="38">
      <c r="A38" s="5" t="n">
        <v>1</v>
      </c>
      <c r="B38" s="5" t="n">
        <v>37</v>
      </c>
      <c r="C38" s="6" t="inlineStr">
        <is>
          <t>VRNS</t>
        </is>
      </c>
      <c r="D38" s="5" t="inlineStr">
        <is>
          <t>Varonis Systems Inc.</t>
        </is>
      </c>
      <c r="E38" s="5" t="inlineStr">
        <is>
          <t>NASDAQ</t>
        </is>
      </c>
      <c r="F38" s="5" t="inlineStr">
        <is>
          <t>科技</t>
        </is>
      </c>
      <c r="G38" s="5" t="inlineStr">
        <is>
          <t>Computer Software: Prepackaged Software</t>
        </is>
      </c>
      <c r="H38" s="7" t="n">
        <v>5.45</v>
      </c>
      <c r="I38" s="5" t="inlineStr">
        <is>
          <t>中型</t>
        </is>
      </c>
      <c r="J38" s="8" t="n">
        <v>47.45</v>
      </c>
      <c r="K38" s="8" t="n">
        <v>47.45</v>
      </c>
      <c r="L38" s="9">
        <f>J38/K38-1</f>
        <v/>
      </c>
      <c r="M38" s="8" t="n">
        <v>48.1</v>
      </c>
      <c r="N38" s="8" t="n">
        <v>46.55</v>
      </c>
      <c r="O38" s="10" t="n">
        <v>1440200</v>
      </c>
      <c r="P38" s="10" t="n">
        <v>1852255</v>
      </c>
      <c r="Q38" s="11">
        <f>O38/P38</f>
        <v/>
      </c>
      <c r="R38" s="8" t="n">
        <v>47.3604</v>
      </c>
      <c r="S38" s="8" t="n">
        <v>46.6515</v>
      </c>
      <c r="T38" s="8" t="n">
        <v>46.2728</v>
      </c>
      <c r="U38" s="9">
        <f>S38/T38-1</f>
        <v/>
      </c>
      <c r="V38" s="12" t="n">
        <v>0.9</v>
      </c>
      <c r="W38" s="9">
        <f>J38/R38-1</f>
        <v/>
      </c>
      <c r="X38" s="9">
        <f>J38/S38-1</f>
        <v/>
      </c>
      <c r="Y38" s="8" t="n">
        <v>1.9231</v>
      </c>
      <c r="Z38" s="13">
        <f>Y38/J38</f>
        <v/>
      </c>
      <c r="AA38" s="11">
        <f>(J38-R38)/Y38</f>
        <v/>
      </c>
      <c r="AB38" s="11">
        <f>(J38-S38)/Y38</f>
        <v/>
      </c>
      <c r="AC38" s="5">
        <f>IF(ABS(AA38)&lt;=ABS(AB38),"9EMA","21EMA")</f>
        <v/>
      </c>
      <c r="AD38" s="5" t="inlineStr">
        <is>
          <t>9+21EMA</t>
        </is>
      </c>
      <c r="AE38" s="5" t="inlineStr">
        <is>
          <t>持續在上方</t>
        </is>
      </c>
      <c r="AF38" s="5" t="inlineStr"/>
      <c r="AG38" s="5" t="inlineStr"/>
      <c r="AH38" s="5" t="inlineStr">
        <is>
          <t>✓</t>
        </is>
      </c>
      <c r="AI38" s="5" t="inlineStr">
        <is>
          <t>2026-08-31</t>
        </is>
      </c>
      <c r="AJ38" s="5" t="n">
        <v>22</v>
      </c>
      <c r="AK38" s="14" t="n">
        <v>4</v>
      </c>
      <c r="AL38" s="5" t="inlineStr">
        <is>
          <t>2026-09-28</t>
        </is>
      </c>
      <c r="AM38" s="8" t="n">
        <v>44.62</v>
      </c>
      <c r="AN38" s="8" t="n">
        <v>44.172</v>
      </c>
      <c r="AO38" s="9">
        <f>IF(ISNUMBER(AN38),AM38/AN38-1,"")</f>
        <v/>
      </c>
      <c r="AP38" s="14" t="n">
        <v>3</v>
      </c>
      <c r="AQ38" s="9">
        <f>IF(ISNUMBER(AM38),J38/AM38-1,"")</f>
        <v/>
      </c>
      <c r="AR38" s="8" t="n">
        <v>48.455</v>
      </c>
      <c r="AS38" s="9">
        <f>J38/AR38-1</f>
        <v/>
      </c>
      <c r="AT38" s="5" t="inlineStr">
        <is>
          <t>上升通道</t>
        </is>
      </c>
      <c r="AU38" s="15" t="n">
        <v>0.4004</v>
      </c>
      <c r="AV38" s="15" t="n">
        <v>0.416</v>
      </c>
      <c r="AW38" s="15" t="n">
        <v>0.7111</v>
      </c>
      <c r="AX38" s="15" t="n">
        <v>0.681</v>
      </c>
      <c r="AY38" s="14" t="n">
        <v>12</v>
      </c>
      <c r="AZ38" s="8" t="n">
        <v>48.79</v>
      </c>
      <c r="BA38" s="8" t="n">
        <v>40.89</v>
      </c>
      <c r="BB38" s="8" t="n">
        <v>46.5078</v>
      </c>
      <c r="BC38" s="15" t="n">
        <v>1.1322</v>
      </c>
      <c r="BD38" s="11">
        <f>IF(M38=N38,0.5,(J38-N38)/(M38-N38))</f>
        <v/>
      </c>
      <c r="BE38" s="16" t="n">
        <v>16.797</v>
      </c>
      <c r="BF38" s="16" t="n">
        <v>12.043</v>
      </c>
      <c r="BG38" s="17">
        <f>100*(0.4*MIN(1,MAX(0,((U38*100)-(0.0))/((2.5)-(0.0))))+0.3*MIN(1,MAX(0,((V38)-(0.6))/((1.0)-(0.6))))+0.3*MIN(1,MAX(0,((BE38)-(0.0))/((15.0)-(0.0)))))</f>
        <v/>
      </c>
      <c r="BH38" s="17">
        <f>100*(0.4*MIN(1,MAX(0,((MIN(ABS(AA38),ABS(AB38)))-(0.75))/((0.0)-(0.75))))+0.3*MIN(1,MAX(0,((BC38)-(1.2))/((0.6)-(1.2))))+0.3*BD38)</f>
        <v/>
      </c>
      <c r="BI38" s="17">
        <f>100*(0.5*MIN(1,MAX(0,((AK38)-(1.0))/((4.0)-(1.0))))+0.3*MIN(1,MAX(0,((IF(ISNUMBER(AO38),AO38,0)*100)-(0.0))/((8.0)-(0.0))))+0.2*MIN(1,MAX(0,((IF(ISNUMBER(AP38),AP38,0))-(25.0))/((5.0)-(25.0)))))</f>
        <v/>
      </c>
      <c r="BJ38" s="17">
        <f>100*(0.35*MIN(1,MAX(0,((ABS(AU38))-(0.3))/((0.05)-(0.3))))+0.3*MIN(1,MAX(0,((AV38)-(0.0))/((0.3)-(0.0))))+0.25*MIN(1,MAX(0,((AW38)-(0.4))/((0.7)-(0.4))))+0.1*IF(AY38&gt;=2,1,0.5))</f>
        <v/>
      </c>
      <c r="BK38" s="18">
        <f>0.25*BG38+0.25*BH38+0.2*BI38+0.3*BJ38</f>
        <v/>
      </c>
      <c r="BL38" s="5" t="inlineStr">
        <is>
          <t>全部通過</t>
        </is>
      </c>
      <c r="BM38" s="5" t="inlineStr"/>
    </row>
    <row r="39">
      <c r="A39" s="5" t="n">
        <v>1</v>
      </c>
      <c r="B39" s="5" t="n">
        <v>38</v>
      </c>
      <c r="C39" s="6" t="inlineStr">
        <is>
          <t>INFU</t>
        </is>
      </c>
      <c r="D39" s="5" t="inlineStr">
        <is>
          <t>InfuSystems Holdings Inc.</t>
        </is>
      </c>
      <c r="E39" s="5" t="inlineStr">
        <is>
          <t>AMEX</t>
        </is>
      </c>
      <c r="F39" s="5" t="inlineStr">
        <is>
          <t>醫療保健</t>
        </is>
      </c>
      <c r="G39" s="5" t="inlineStr">
        <is>
          <t>Medical/Dental Instruments</t>
        </is>
      </c>
      <c r="H39" s="7" t="n">
        <v>0.257</v>
      </c>
      <c r="I39" s="5" t="inlineStr">
        <is>
          <t>小型</t>
        </is>
      </c>
      <c r="J39" s="8" t="n">
        <v>12.82</v>
      </c>
      <c r="K39" s="8" t="n">
        <v>12.89</v>
      </c>
      <c r="L39" s="9">
        <f>J39/K39-1</f>
        <v/>
      </c>
      <c r="M39" s="8" t="n">
        <v>13.06</v>
      </c>
      <c r="N39" s="8" t="n">
        <v>12.62</v>
      </c>
      <c r="O39" s="10" t="n">
        <v>111800</v>
      </c>
      <c r="P39" s="10" t="n">
        <v>142220</v>
      </c>
      <c r="Q39" s="11">
        <f>O39/P39</f>
        <v/>
      </c>
      <c r="R39" s="8" t="n">
        <v>12.7932</v>
      </c>
      <c r="S39" s="8" t="n">
        <v>12.5514</v>
      </c>
      <c r="T39" s="8" t="n">
        <v>12.3582</v>
      </c>
      <c r="U39" s="9">
        <f>S39/T39-1</f>
        <v/>
      </c>
      <c r="V39" s="12" t="n">
        <v>1</v>
      </c>
      <c r="W39" s="9">
        <f>J39/R39-1</f>
        <v/>
      </c>
      <c r="X39" s="9">
        <f>J39/S39-1</f>
        <v/>
      </c>
      <c r="Y39" s="8" t="n">
        <v>0.4053</v>
      </c>
      <c r="Z39" s="13">
        <f>Y39/J39</f>
        <v/>
      </c>
      <c r="AA39" s="11">
        <f>(J39-R39)/Y39</f>
        <v/>
      </c>
      <c r="AB39" s="11">
        <f>(J39-S39)/Y39</f>
        <v/>
      </c>
      <c r="AC39" s="5">
        <f>IF(ABS(AA39)&lt;=ABS(AB39),"9EMA","21EMA")</f>
        <v/>
      </c>
      <c r="AD39" s="5" t="inlineStr">
        <is>
          <t>9EMA</t>
        </is>
      </c>
      <c r="AE39" s="5" t="inlineStr">
        <is>
          <t>持續在上方</t>
        </is>
      </c>
      <c r="AF39" s="5" t="inlineStr"/>
      <c r="AG39" s="5" t="inlineStr"/>
      <c r="AH39" s="5" t="inlineStr">
        <is>
          <t>✓</t>
        </is>
      </c>
      <c r="AI39" s="5" t="inlineStr">
        <is>
          <t>2026-08-04</t>
        </is>
      </c>
      <c r="AJ39" s="5" t="n">
        <v>41</v>
      </c>
      <c r="AK39" s="14" t="n">
        <v>2</v>
      </c>
      <c r="AL39" s="5" t="inlineStr">
        <is>
          <t>2026-09-25</t>
        </is>
      </c>
      <c r="AM39" s="8" t="n">
        <v>12.47</v>
      </c>
      <c r="AN39" s="8" t="n">
        <v>11.8</v>
      </c>
      <c r="AO39" s="9">
        <f>IF(ISNUMBER(AN39),AM39/AN39-1,"")</f>
        <v/>
      </c>
      <c r="AP39" s="14" t="n">
        <v>4</v>
      </c>
      <c r="AQ39" s="9">
        <f>IF(ISNUMBER(AM39),J39/AM39-1,"")</f>
        <v/>
      </c>
      <c r="AR39" s="8" t="n">
        <v>13.11</v>
      </c>
      <c r="AS39" s="9">
        <f>J39/AR39-1</f>
        <v/>
      </c>
      <c r="AT39" s="5" t="inlineStr">
        <is>
          <t>上升通道</t>
        </is>
      </c>
      <c r="AU39" s="15" t="n">
        <v>0.5112</v>
      </c>
      <c r="AV39" s="15" t="n">
        <v>0.4273</v>
      </c>
      <c r="AW39" s="15" t="n">
        <v>0.5098</v>
      </c>
      <c r="AX39" s="15" t="n">
        <v>0.5113</v>
      </c>
      <c r="AY39" s="14" t="n">
        <v>6</v>
      </c>
      <c r="AZ39" s="8" t="n">
        <v>13.2</v>
      </c>
      <c r="BA39" s="8" t="n">
        <v>11.8</v>
      </c>
      <c r="BB39" s="8" t="n">
        <v>12.5137</v>
      </c>
      <c r="BC39" s="15" t="n">
        <v>0.6457000000000001</v>
      </c>
      <c r="BD39" s="11">
        <f>IF(M39=N39,0.5,(J39-N39)/(M39-N39))</f>
        <v/>
      </c>
      <c r="BE39" s="16" t="n">
        <v>10.705</v>
      </c>
      <c r="BF39" s="16" t="n">
        <v>5.95</v>
      </c>
      <c r="BG39" s="17">
        <f>100*(0.4*MIN(1,MAX(0,((U39*100)-(0.0))/((2.5)-(0.0))))+0.3*MIN(1,MAX(0,((V39)-(0.6))/((1.0)-(0.6))))+0.3*MIN(1,MAX(0,((BE39)-(0.0))/((15.0)-(0.0)))))</f>
        <v/>
      </c>
      <c r="BH39" s="17">
        <f>100*(0.4*MIN(1,MAX(0,((MIN(ABS(AA39),ABS(AB39)))-(0.75))/((0.0)-(0.75))))+0.3*MIN(1,MAX(0,((BC39)-(1.2))/((0.6)-(1.2))))+0.3*BD39)</f>
        <v/>
      </c>
      <c r="BI39" s="17">
        <f>100*(0.5*MIN(1,MAX(0,((AK39)-(1.0))/((4.0)-(1.0))))+0.3*MIN(1,MAX(0,((IF(ISNUMBER(AO39),AO39,0)*100)-(0.0))/((8.0)-(0.0))))+0.2*MIN(1,MAX(0,((IF(ISNUMBER(AP39),AP39,0))-(25.0))/((5.0)-(25.0)))))</f>
        <v/>
      </c>
      <c r="BJ39" s="17">
        <f>100*(0.35*MIN(1,MAX(0,((ABS(AU39))-(0.3))/((0.05)-(0.3))))+0.3*MIN(1,MAX(0,((AV39)-(0.0))/((0.3)-(0.0))))+0.25*MIN(1,MAX(0,((AW39)-(0.4))/((0.7)-(0.4))))+0.1*IF(AY39&gt;=2,1,0.5))</f>
        <v/>
      </c>
      <c r="BK39" s="18">
        <f>0.25*BG39+0.25*BH39+0.2*BI39+0.3*BJ39</f>
        <v/>
      </c>
      <c r="BL39" s="5" t="inlineStr">
        <is>
          <t>全部通過</t>
        </is>
      </c>
      <c r="BM39" s="5" t="inlineStr"/>
    </row>
    <row r="40">
      <c r="A40" s="5" t="n">
        <v>1</v>
      </c>
      <c r="B40" s="5" t="n">
        <v>39</v>
      </c>
      <c r="C40" s="6" t="inlineStr">
        <is>
          <t>HPE</t>
        </is>
      </c>
      <c r="D40" s="5" t="inlineStr">
        <is>
          <t>Hewlett Packard Enterprise Company</t>
        </is>
      </c>
      <c r="E40" s="5" t="inlineStr">
        <is>
          <t>NYSE</t>
        </is>
      </c>
      <c r="F40" s="5" t="inlineStr">
        <is>
          <t>科技</t>
        </is>
      </c>
      <c r="G40" s="5" t="inlineStr">
        <is>
          <t>Retail: Computer Software &amp; Peripheral Equipment</t>
        </is>
      </c>
      <c r="H40" s="7" t="n">
        <v>84.812</v>
      </c>
      <c r="I40" s="5" t="inlineStr">
        <is>
          <t>大型</t>
        </is>
      </c>
      <c r="J40" s="8" t="n">
        <v>64.58</v>
      </c>
      <c r="K40" s="8" t="n">
        <v>63.89</v>
      </c>
      <c r="L40" s="9">
        <f>J40/K40-1</f>
        <v/>
      </c>
      <c r="M40" s="8" t="n">
        <v>66.11</v>
      </c>
      <c r="N40" s="8" t="n">
        <v>61.76</v>
      </c>
      <c r="O40" s="10" t="n">
        <v>16428700</v>
      </c>
      <c r="P40" s="10" t="n">
        <v>25777965</v>
      </c>
      <c r="Q40" s="11">
        <f>O40/P40</f>
        <v/>
      </c>
      <c r="R40" s="8" t="n">
        <v>62.4052</v>
      </c>
      <c r="S40" s="8" t="n">
        <v>59.9405</v>
      </c>
      <c r="T40" s="8" t="n">
        <v>57.9522</v>
      </c>
      <c r="U40" s="9">
        <f>S40/T40-1</f>
        <v/>
      </c>
      <c r="V40" s="12" t="n">
        <v>1</v>
      </c>
      <c r="W40" s="9">
        <f>J40/R40-1</f>
        <v/>
      </c>
      <c r="X40" s="9">
        <f>J40/S40-1</f>
        <v/>
      </c>
      <c r="Y40" s="8" t="n">
        <v>3.6134</v>
      </c>
      <c r="Z40" s="13">
        <f>Y40/J40</f>
        <v/>
      </c>
      <c r="AA40" s="11">
        <f>(J40-R40)/Y40</f>
        <v/>
      </c>
      <c r="AB40" s="11">
        <f>(J40-S40)/Y40</f>
        <v/>
      </c>
      <c r="AC40" s="5">
        <f>IF(ABS(AA40)&lt;=ABS(AB40),"9EMA","21EMA")</f>
        <v/>
      </c>
      <c r="AD40" s="5" t="inlineStr">
        <is>
          <t>9EMA</t>
        </is>
      </c>
      <c r="AE40" s="5" t="inlineStr">
        <is>
          <t>持續在上方</t>
        </is>
      </c>
      <c r="AF40" s="5" t="inlineStr"/>
      <c r="AG40" s="5" t="inlineStr"/>
      <c r="AH40" s="5" t="inlineStr"/>
      <c r="AI40" s="5" t="inlineStr">
        <is>
          <t>2026-09-03</t>
        </is>
      </c>
      <c r="AJ40" s="5" t="n">
        <v>19</v>
      </c>
      <c r="AK40" s="14" t="n">
        <v>2</v>
      </c>
      <c r="AL40" s="5" t="inlineStr">
        <is>
          <t>2026-09-16</t>
        </is>
      </c>
      <c r="AM40" s="8" t="n">
        <v>55.02</v>
      </c>
      <c r="AN40" s="8" t="n">
        <v>45.7</v>
      </c>
      <c r="AO40" s="9">
        <f>IF(ISNUMBER(AN40),AM40/AN40-1,"")</f>
        <v/>
      </c>
      <c r="AP40" s="14" t="n">
        <v>11</v>
      </c>
      <c r="AQ40" s="9">
        <f>IF(ISNUMBER(AM40),J40/AM40-1,"")</f>
        <v/>
      </c>
      <c r="AR40" s="8" t="n">
        <v>64.58</v>
      </c>
      <c r="AS40" s="9">
        <f>J40/AR40-1</f>
        <v/>
      </c>
      <c r="AT40" s="5" t="inlineStr">
        <is>
          <t>上傾收窄（楔形）</t>
        </is>
      </c>
      <c r="AU40" s="15" t="n">
        <v>0.9856</v>
      </c>
      <c r="AV40" s="15" t="n">
        <v>1.804</v>
      </c>
      <c r="AW40" s="15" t="n">
        <v>0.5469000000000001</v>
      </c>
      <c r="AX40" s="15" t="n">
        <v>0.4766</v>
      </c>
      <c r="AY40" s="14" t="n">
        <v>2</v>
      </c>
      <c r="AZ40" s="8" t="n">
        <v>67.101</v>
      </c>
      <c r="BA40" s="8" t="n">
        <v>45.7</v>
      </c>
      <c r="BB40" s="8" t="n">
        <v>57.4038</v>
      </c>
      <c r="BC40" s="15" t="n">
        <v>0.8122</v>
      </c>
      <c r="BD40" s="11">
        <f>IF(M40=N40,0.5,(J40-N40)/(M40-N40))</f>
        <v/>
      </c>
      <c r="BE40" s="16" t="n">
        <v>31.705</v>
      </c>
      <c r="BF40" s="16" t="n">
        <v>26.951</v>
      </c>
      <c r="BG40" s="17">
        <f>100*(0.4*MIN(1,MAX(0,((U40*100)-(0.0))/((2.5)-(0.0))))+0.3*MIN(1,MAX(0,((V40)-(0.6))/((1.0)-(0.6))))+0.3*MIN(1,MAX(0,((BE40)-(0.0))/((15.0)-(0.0)))))</f>
        <v/>
      </c>
      <c r="BH40" s="17">
        <f>100*(0.4*MIN(1,MAX(0,((MIN(ABS(AA40),ABS(AB40)))-(0.75))/((0.0)-(0.75))))+0.3*MIN(1,MAX(0,((BC40)-(1.2))/((0.6)-(1.2))))+0.3*BD40)</f>
        <v/>
      </c>
      <c r="BI40" s="17">
        <f>100*(0.5*MIN(1,MAX(0,((AK40)-(1.0))/((4.0)-(1.0))))+0.3*MIN(1,MAX(0,((IF(ISNUMBER(AO40),AO40,0)*100)-(0.0))/((8.0)-(0.0))))+0.2*MIN(1,MAX(0,((IF(ISNUMBER(AP40),AP40,0))-(25.0))/((5.0)-(25.0)))))</f>
        <v/>
      </c>
      <c r="BJ40" s="17">
        <f>100*(0.35*MIN(1,MAX(0,((ABS(AU40))-(0.3))/((0.05)-(0.3))))+0.3*MIN(1,MAX(0,((AV40)-(0.0))/((0.3)-(0.0))))+0.25*MIN(1,MAX(0,((AW40)-(0.4))/((0.7)-(0.4))))+0.1*IF(AY40&gt;=2,1,0.5))</f>
        <v/>
      </c>
      <c r="BK40" s="18">
        <f>0.25*BG40+0.25*BH40+0.2*BI40+0.3*BJ40</f>
        <v/>
      </c>
      <c r="BL40" s="5" t="inlineStr">
        <is>
          <t>全部通過</t>
        </is>
      </c>
      <c r="BM40" s="5" t="inlineStr"/>
    </row>
    <row r="41">
      <c r="A41" s="5" t="n">
        <v>1</v>
      </c>
      <c r="B41" s="5" t="n">
        <v>40</v>
      </c>
      <c r="C41" s="6" t="inlineStr">
        <is>
          <t>NGVC</t>
        </is>
      </c>
      <c r="D41" s="5" t="inlineStr">
        <is>
          <t>Natural Grocers by Vitamin Cottage Inc.</t>
        </is>
      </c>
      <c r="E41" s="5" t="inlineStr">
        <is>
          <t>NYSE</t>
        </is>
      </c>
      <c r="F41" s="5" t="inlineStr">
        <is>
          <t>必需消費</t>
        </is>
      </c>
      <c r="G41" s="5" t="inlineStr">
        <is>
          <t>Food Chains</t>
        </is>
      </c>
      <c r="H41" s="7" t="n">
        <v>0.702</v>
      </c>
      <c r="I41" s="5" t="inlineStr">
        <is>
          <t>小型</t>
        </is>
      </c>
      <c r="J41" s="8" t="n">
        <v>30.48</v>
      </c>
      <c r="K41" s="8" t="n">
        <v>30.46</v>
      </c>
      <c r="L41" s="9">
        <f>J41/K41-1</f>
        <v/>
      </c>
      <c r="M41" s="8" t="n">
        <v>31.02</v>
      </c>
      <c r="N41" s="8" t="n">
        <v>30.27</v>
      </c>
      <c r="O41" s="10" t="n">
        <v>120400</v>
      </c>
      <c r="P41" s="10" t="n">
        <v>156870</v>
      </c>
      <c r="Q41" s="11">
        <f>O41/P41</f>
        <v/>
      </c>
      <c r="R41" s="8" t="n">
        <v>30.1577</v>
      </c>
      <c r="S41" s="8" t="n">
        <v>29.5914</v>
      </c>
      <c r="T41" s="8" t="n">
        <v>29.1153</v>
      </c>
      <c r="U41" s="9">
        <f>S41/T41-1</f>
        <v/>
      </c>
      <c r="V41" s="12" t="n">
        <v>1</v>
      </c>
      <c r="W41" s="9">
        <f>J41/R41-1</f>
        <v/>
      </c>
      <c r="X41" s="9">
        <f>J41/S41-1</f>
        <v/>
      </c>
      <c r="Y41" s="8" t="n">
        <v>1.0513</v>
      </c>
      <c r="Z41" s="13">
        <f>Y41/J41</f>
        <v/>
      </c>
      <c r="AA41" s="11">
        <f>(J41-R41)/Y41</f>
        <v/>
      </c>
      <c r="AB41" s="11">
        <f>(J41-S41)/Y41</f>
        <v/>
      </c>
      <c r="AC41" s="5">
        <f>IF(ABS(AA41)&lt;=ABS(AB41),"9EMA","21EMA")</f>
        <v/>
      </c>
      <c r="AD41" s="5" t="inlineStr">
        <is>
          <t>9EMA</t>
        </is>
      </c>
      <c r="AE41" s="5" t="inlineStr">
        <is>
          <t>持續在上方</t>
        </is>
      </c>
      <c r="AF41" s="5" t="inlineStr"/>
      <c r="AG41" s="5" t="inlineStr"/>
      <c r="AH41" s="5" t="inlineStr">
        <is>
          <t>✓</t>
        </is>
      </c>
      <c r="AI41" s="5" t="inlineStr">
        <is>
          <t>2026-09-16</t>
        </is>
      </c>
      <c r="AJ41" s="5" t="n">
        <v>11</v>
      </c>
      <c r="AK41" s="14" t="n">
        <v>2</v>
      </c>
      <c r="AL41" s="5" t="inlineStr">
        <is>
          <t>2026-09-25</t>
        </is>
      </c>
      <c r="AM41" s="8" t="n">
        <v>29.48</v>
      </c>
      <c r="AN41" s="8" t="n">
        <v>26.5</v>
      </c>
      <c r="AO41" s="9">
        <f>IF(ISNUMBER(AN41),AM41/AN41-1,"")</f>
        <v/>
      </c>
      <c r="AP41" s="14" t="n">
        <v>4</v>
      </c>
      <c r="AQ41" s="9">
        <f>IF(ISNUMBER(AM41),J41/AM41-1,"")</f>
        <v/>
      </c>
      <c r="AR41" s="8" t="n">
        <v>30.98</v>
      </c>
      <c r="AS41" s="9">
        <f>J41/AR41-1</f>
        <v/>
      </c>
      <c r="AT41" s="5" t="inlineStr">
        <is>
          <t>上傾擴張</t>
        </is>
      </c>
      <c r="AU41" s="15" t="n">
        <v>0.7672</v>
      </c>
      <c r="AV41" s="15" t="n">
        <v>0.4556</v>
      </c>
      <c r="AW41" s="15" t="n">
        <v>0.5234</v>
      </c>
      <c r="AX41" s="15" t="n">
        <v>0.5464</v>
      </c>
      <c r="AY41" s="14" t="n">
        <v>3</v>
      </c>
      <c r="AZ41" s="8" t="n">
        <v>31.61</v>
      </c>
      <c r="BA41" s="8" t="n">
        <v>26.5</v>
      </c>
      <c r="BB41" s="8" t="n">
        <v>29.1745</v>
      </c>
      <c r="BC41" s="15" t="n">
        <v>0.6879999999999999</v>
      </c>
      <c r="BD41" s="11">
        <f>IF(M41=N41,0.5,(J41-N41)/(M41-N41))</f>
        <v/>
      </c>
      <c r="BE41" s="16" t="n">
        <v>15.389</v>
      </c>
      <c r="BF41" s="16" t="n">
        <v>10.635</v>
      </c>
      <c r="BG41" s="17">
        <f>100*(0.4*MIN(1,MAX(0,((U41*100)-(0.0))/((2.5)-(0.0))))+0.3*MIN(1,MAX(0,((V41)-(0.6))/((1.0)-(0.6))))+0.3*MIN(1,MAX(0,((BE41)-(0.0))/((15.0)-(0.0)))))</f>
        <v/>
      </c>
      <c r="BH41" s="17">
        <f>100*(0.4*MIN(1,MAX(0,((MIN(ABS(AA41),ABS(AB41)))-(0.75))/((0.0)-(0.75))))+0.3*MIN(1,MAX(0,((BC41)-(1.2))/((0.6)-(1.2))))+0.3*BD41)</f>
        <v/>
      </c>
      <c r="BI41" s="17">
        <f>100*(0.5*MIN(1,MAX(0,((AK41)-(1.0))/((4.0)-(1.0))))+0.3*MIN(1,MAX(0,((IF(ISNUMBER(AO41),AO41,0)*100)-(0.0))/((8.0)-(0.0))))+0.2*MIN(1,MAX(0,((IF(ISNUMBER(AP41),AP41,0))-(25.0))/((5.0)-(25.0)))))</f>
        <v/>
      </c>
      <c r="BJ41" s="17">
        <f>100*(0.35*MIN(1,MAX(0,((ABS(AU41))-(0.3))/((0.05)-(0.3))))+0.3*MIN(1,MAX(0,((AV41)-(0.0))/((0.3)-(0.0))))+0.25*MIN(1,MAX(0,((AW41)-(0.4))/((0.7)-(0.4))))+0.1*IF(AY41&gt;=2,1,0.5))</f>
        <v/>
      </c>
      <c r="BK41" s="18">
        <f>0.25*BG41+0.25*BH41+0.2*BI41+0.3*BJ41</f>
        <v/>
      </c>
      <c r="BL41" s="5" t="inlineStr">
        <is>
          <t>全部通過</t>
        </is>
      </c>
      <c r="BM41" s="5" t="inlineStr"/>
    </row>
    <row r="42">
      <c r="A42" s="5" t="n">
        <v>1</v>
      </c>
      <c r="B42" s="5" t="n">
        <v>41</v>
      </c>
      <c r="C42" s="6" t="inlineStr">
        <is>
          <t>PI</t>
        </is>
      </c>
      <c r="D42" s="5" t="inlineStr">
        <is>
          <t>Impinj Inc.</t>
        </is>
      </c>
      <c r="E42" s="5" t="inlineStr">
        <is>
          <t>NASDAQ</t>
        </is>
      </c>
      <c r="F42" s="5" t="inlineStr">
        <is>
          <t>科技</t>
        </is>
      </c>
      <c r="G42" s="5" t="inlineStr">
        <is>
          <t>Industrial Machinery/Components</t>
        </is>
      </c>
      <c r="H42" s="7" t="n">
        <v>5.478</v>
      </c>
      <c r="I42" s="5" t="inlineStr">
        <is>
          <t>中型</t>
        </is>
      </c>
      <c r="J42" s="8" t="n">
        <v>183.87</v>
      </c>
      <c r="K42" s="8" t="n">
        <v>179.29</v>
      </c>
      <c r="L42" s="9">
        <f>J42/K42-1</f>
        <v/>
      </c>
      <c r="M42" s="8" t="n">
        <v>185.725</v>
      </c>
      <c r="N42" s="8" t="n">
        <v>177.895</v>
      </c>
      <c r="O42" s="10" t="n">
        <v>350400</v>
      </c>
      <c r="P42" s="10" t="n">
        <v>404785</v>
      </c>
      <c r="Q42" s="11">
        <f>O42/P42</f>
        <v/>
      </c>
      <c r="R42" s="8" t="n">
        <v>179.0438</v>
      </c>
      <c r="S42" s="8" t="n">
        <v>176.2224</v>
      </c>
      <c r="T42" s="8" t="n">
        <v>174.3888</v>
      </c>
      <c r="U42" s="9">
        <f>S42/T42-1</f>
        <v/>
      </c>
      <c r="V42" s="12" t="n">
        <v>1</v>
      </c>
      <c r="W42" s="9">
        <f>J42/R42-1</f>
        <v/>
      </c>
      <c r="X42" s="9">
        <f>J42/S42-1</f>
        <v/>
      </c>
      <c r="Y42" s="8" t="n">
        <v>7.3973</v>
      </c>
      <c r="Z42" s="13">
        <f>Y42/J42</f>
        <v/>
      </c>
      <c r="AA42" s="11">
        <f>(J42-R42)/Y42</f>
        <v/>
      </c>
      <c r="AB42" s="11">
        <f>(J42-S42)/Y42</f>
        <v/>
      </c>
      <c r="AC42" s="5">
        <f>IF(ABS(AA42)&lt;=ABS(AB42),"9EMA","21EMA")</f>
        <v/>
      </c>
      <c r="AD42" s="5" t="inlineStr">
        <is>
          <t>9+21EMA</t>
        </is>
      </c>
      <c r="AE42" s="5" t="inlineStr">
        <is>
          <t>持續在上方</t>
        </is>
      </c>
      <c r="AF42" s="5" t="inlineStr"/>
      <c r="AG42" s="5" t="inlineStr"/>
      <c r="AH42" s="5" t="inlineStr">
        <is>
          <t>✓</t>
        </is>
      </c>
      <c r="AI42" s="5" t="inlineStr">
        <is>
          <t>2026-07-30</t>
        </is>
      </c>
      <c r="AJ42" s="5" t="n">
        <v>44</v>
      </c>
      <c r="AK42" s="14" t="n">
        <v>4</v>
      </c>
      <c r="AL42" s="5" t="inlineStr">
        <is>
          <t>2026-09-24</t>
        </is>
      </c>
      <c r="AM42" s="8" t="n">
        <v>172.4</v>
      </c>
      <c r="AN42" s="8" t="n">
        <v>161.17</v>
      </c>
      <c r="AO42" s="9">
        <f>IF(ISNUMBER(AN42),AM42/AN42-1,"")</f>
        <v/>
      </c>
      <c r="AP42" s="14" t="n">
        <v>5</v>
      </c>
      <c r="AQ42" s="9">
        <f>IF(ISNUMBER(AM42),J42/AM42-1,"")</f>
        <v/>
      </c>
      <c r="AR42" s="8" t="n">
        <v>184.045</v>
      </c>
      <c r="AS42" s="9">
        <f>J42/AR42-1</f>
        <v/>
      </c>
      <c r="AT42" s="5" t="inlineStr">
        <is>
          <t>上傾收窄（楔形）</t>
        </is>
      </c>
      <c r="AU42" s="15" t="n">
        <v>0.2417</v>
      </c>
      <c r="AV42" s="15" t="n">
        <v>0.6108</v>
      </c>
      <c r="AW42" s="15" t="n">
        <v>0.5848</v>
      </c>
      <c r="AX42" s="15" t="n">
        <v>0.5769</v>
      </c>
      <c r="AY42" s="14" t="n">
        <v>3</v>
      </c>
      <c r="AZ42" s="8" t="n">
        <v>186.66</v>
      </c>
      <c r="BA42" s="8" t="n">
        <v>160.65</v>
      </c>
      <c r="BB42" s="8" t="n">
        <v>175.8599</v>
      </c>
      <c r="BC42" s="15" t="n">
        <v>1.2597</v>
      </c>
      <c r="BD42" s="11">
        <f>IF(M42=N42,0.5,(J42-N42)/(M42-N42))</f>
        <v/>
      </c>
      <c r="BE42" s="16" t="n">
        <v>14.077</v>
      </c>
      <c r="BF42" s="16" t="n">
        <v>9.323</v>
      </c>
      <c r="BG42" s="17">
        <f>100*(0.4*MIN(1,MAX(0,((U42*100)-(0.0))/((2.5)-(0.0))))+0.3*MIN(1,MAX(0,((V42)-(0.6))/((1.0)-(0.6))))+0.3*MIN(1,MAX(0,((BE42)-(0.0))/((15.0)-(0.0)))))</f>
        <v/>
      </c>
      <c r="BH42" s="17">
        <f>100*(0.4*MIN(1,MAX(0,((MIN(ABS(AA42),ABS(AB42)))-(0.75))/((0.0)-(0.75))))+0.3*MIN(1,MAX(0,((BC42)-(1.2))/((0.6)-(1.2))))+0.3*BD42)</f>
        <v/>
      </c>
      <c r="BI42" s="17">
        <f>100*(0.5*MIN(1,MAX(0,((AK42)-(1.0))/((4.0)-(1.0))))+0.3*MIN(1,MAX(0,((IF(ISNUMBER(AO42),AO42,0)*100)-(0.0))/((8.0)-(0.0))))+0.2*MIN(1,MAX(0,((IF(ISNUMBER(AP42),AP42,0))-(25.0))/((5.0)-(25.0)))))</f>
        <v/>
      </c>
      <c r="BJ42" s="17">
        <f>100*(0.35*MIN(1,MAX(0,((ABS(AU42))-(0.3))/((0.05)-(0.3))))+0.3*MIN(1,MAX(0,((AV42)-(0.0))/((0.3)-(0.0))))+0.25*MIN(1,MAX(0,((AW42)-(0.4))/((0.7)-(0.4))))+0.1*IF(AY42&gt;=2,1,0.5))</f>
        <v/>
      </c>
      <c r="BK42" s="18">
        <f>0.25*BG42+0.25*BH42+0.2*BI42+0.3*BJ42</f>
        <v/>
      </c>
      <c r="BL42" s="5" t="inlineStr">
        <is>
          <t>全部通過</t>
        </is>
      </c>
      <c r="BM42" s="5" t="inlineStr"/>
    </row>
    <row r="43">
      <c r="A43" s="5" t="n">
        <v>1</v>
      </c>
      <c r="B43" s="5" t="n">
        <v>42</v>
      </c>
      <c r="C43" s="6" t="inlineStr">
        <is>
          <t>CRWD</t>
        </is>
      </c>
      <c r="D43" s="5" t="inlineStr">
        <is>
          <t>CrowdStrike Holdings Inc.</t>
        </is>
      </c>
      <c r="E43" s="5" t="inlineStr">
        <is>
          <t>NASDAQ</t>
        </is>
      </c>
      <c r="F43" s="5" t="inlineStr">
        <is>
          <t>科技</t>
        </is>
      </c>
      <c r="G43" s="5" t="inlineStr">
        <is>
          <t>Computer Software: Prepackaged Software</t>
        </is>
      </c>
      <c r="H43" s="7" t="n">
        <v>271.087</v>
      </c>
      <c r="I43" s="5" t="inlineStr">
        <is>
          <t>大型</t>
        </is>
      </c>
      <c r="J43" s="8" t="n">
        <v>266.09</v>
      </c>
      <c r="K43" s="8" t="n">
        <v>264.75</v>
      </c>
      <c r="L43" s="9">
        <f>J43/K43-1</f>
        <v/>
      </c>
      <c r="M43" s="8" t="n">
        <v>269.3</v>
      </c>
      <c r="N43" s="8" t="n">
        <v>259.3</v>
      </c>
      <c r="O43" s="10" t="n">
        <v>6947000</v>
      </c>
      <c r="P43" s="10" t="n">
        <v>10898615</v>
      </c>
      <c r="Q43" s="11">
        <f>O43/P43</f>
        <v/>
      </c>
      <c r="R43" s="8" t="n">
        <v>256.9822</v>
      </c>
      <c r="S43" s="8" t="n">
        <v>243.0427</v>
      </c>
      <c r="T43" s="8" t="n">
        <v>231.7042</v>
      </c>
      <c r="U43" s="9">
        <f>S43/T43-1</f>
        <v/>
      </c>
      <c r="V43" s="12" t="n">
        <v>1</v>
      </c>
      <c r="W43" s="9">
        <f>J43/R43-1</f>
        <v/>
      </c>
      <c r="X43" s="9">
        <f>J43/S43-1</f>
        <v/>
      </c>
      <c r="Y43" s="8" t="n">
        <v>11.7506</v>
      </c>
      <c r="Z43" s="13">
        <f>Y43/J43</f>
        <v/>
      </c>
      <c r="AA43" s="11">
        <f>(J43-R43)/Y43</f>
        <v/>
      </c>
      <c r="AB43" s="11">
        <f>(J43-S43)/Y43</f>
        <v/>
      </c>
      <c r="AC43" s="5">
        <f>IF(ABS(AA43)&lt;=ABS(AB43),"9EMA","21EMA")</f>
        <v/>
      </c>
      <c r="AD43" s="5" t="inlineStr">
        <is>
          <t>—</t>
        </is>
      </c>
      <c r="AE43" s="5" t="inlineStr">
        <is>
          <t>持續在上方</t>
        </is>
      </c>
      <c r="AF43" s="5" t="inlineStr"/>
      <c r="AG43" s="5" t="inlineStr"/>
      <c r="AH43" s="5" t="inlineStr"/>
      <c r="AI43" s="5" t="inlineStr">
        <is>
          <t>2026-08-27</t>
        </is>
      </c>
      <c r="AJ43" s="5" t="n">
        <v>24</v>
      </c>
      <c r="AK43" s="14" t="n">
        <v>6</v>
      </c>
      <c r="AL43" s="5" t="inlineStr">
        <is>
          <t>2026-09-28</t>
        </is>
      </c>
      <c r="AM43" s="8" t="n">
        <v>246.51</v>
      </c>
      <c r="AN43" s="8" t="n">
        <v>230.85</v>
      </c>
      <c r="AO43" s="9">
        <f>IF(ISNUMBER(AN43),AM43/AN43-1,"")</f>
        <v/>
      </c>
      <c r="AP43" s="14" t="n">
        <v>3</v>
      </c>
      <c r="AQ43" s="9">
        <f>IF(ISNUMBER(AM43),J43/AM43-1,"")</f>
        <v/>
      </c>
      <c r="AR43" s="8" t="n">
        <v>266.09</v>
      </c>
      <c r="AS43" s="9">
        <f>J43/AR43-1</f>
        <v/>
      </c>
      <c r="AT43" s="5" t="inlineStr">
        <is>
          <t>上升通道</t>
        </is>
      </c>
      <c r="AU43" s="15" t="n">
        <v>0.8739</v>
      </c>
      <c r="AV43" s="15" t="n">
        <v>1.0747</v>
      </c>
      <c r="AW43" s="15" t="n">
        <v>0.5009</v>
      </c>
      <c r="AX43" s="15" t="n">
        <v>0.5041</v>
      </c>
      <c r="AY43" s="14" t="n">
        <v>3</v>
      </c>
      <c r="AZ43" s="8" t="n">
        <v>269.3</v>
      </c>
      <c r="BA43" s="8" t="n">
        <v>200.6</v>
      </c>
      <c r="BB43" s="8" t="n">
        <v>235.0099</v>
      </c>
      <c r="BC43" s="15" t="n">
        <v>1.2308</v>
      </c>
      <c r="BD43" s="11">
        <f>IF(M43=N43,0.5,(J43-N43)/(M43-N43))</f>
        <v/>
      </c>
      <c r="BE43" s="16" t="n">
        <v>28.477</v>
      </c>
      <c r="BF43" s="16" t="n">
        <v>23.723</v>
      </c>
      <c r="BG43" s="17">
        <f>100*(0.4*MIN(1,MAX(0,((U43*100)-(0.0))/((2.5)-(0.0))))+0.3*MIN(1,MAX(0,((V43)-(0.6))/((1.0)-(0.6))))+0.3*MIN(1,MAX(0,((BE43)-(0.0))/((15.0)-(0.0)))))</f>
        <v/>
      </c>
      <c r="BH43" s="17">
        <f>100*(0.4*MIN(1,MAX(0,((MIN(ABS(AA43),ABS(AB43)))-(0.75))/((0.0)-(0.75))))+0.3*MIN(1,MAX(0,((BC43)-(1.2))/((0.6)-(1.2))))+0.3*BD43)</f>
        <v/>
      </c>
      <c r="BI43" s="17">
        <f>100*(0.5*MIN(1,MAX(0,((AK43)-(1.0))/((4.0)-(1.0))))+0.3*MIN(1,MAX(0,((IF(ISNUMBER(AO43),AO43,0)*100)-(0.0))/((8.0)-(0.0))))+0.2*MIN(1,MAX(0,((IF(ISNUMBER(AP43),AP43,0))-(25.0))/((5.0)-(25.0)))))</f>
        <v/>
      </c>
      <c r="BJ43" s="17">
        <f>100*(0.35*MIN(1,MAX(0,((ABS(AU43))-(0.3))/((0.05)-(0.3))))+0.3*MIN(1,MAX(0,((AV43)-(0.0))/((0.3)-(0.0))))+0.25*MIN(1,MAX(0,((AW43)-(0.4))/((0.7)-(0.4))))+0.1*IF(AY43&gt;=2,1,0.5))</f>
        <v/>
      </c>
      <c r="BK43" s="18">
        <f>0.25*BG43+0.25*BH43+0.2*BI43+0.3*BJ43</f>
        <v/>
      </c>
      <c r="BL43" s="5" t="inlineStr">
        <is>
          <t>全部通過</t>
        </is>
      </c>
      <c r="BM43" s="5" t="inlineStr"/>
    </row>
    <row r="44">
      <c r="A44" s="5" t="n">
        <v>1</v>
      </c>
      <c r="B44" s="5" t="n">
        <v>43</v>
      </c>
      <c r="C44" s="6" t="inlineStr">
        <is>
          <t>NVDA</t>
        </is>
      </c>
      <c r="D44" s="5" t="inlineStr">
        <is>
          <t>NVIDIA Corporation</t>
        </is>
      </c>
      <c r="E44" s="5" t="inlineStr">
        <is>
          <t>NASDAQ</t>
        </is>
      </c>
      <c r="F44" s="5" t="inlineStr">
        <is>
          <t>科技</t>
        </is>
      </c>
      <c r="G44" s="5" t="inlineStr">
        <is>
          <t>Semiconductors</t>
        </is>
      </c>
      <c r="H44" s="7" t="n">
        <v>5503.958</v>
      </c>
      <c r="I44" s="5" t="inlineStr">
        <is>
          <t>大型</t>
        </is>
      </c>
      <c r="J44" s="8" t="n">
        <v>230.86</v>
      </c>
      <c r="K44" s="8" t="n">
        <v>228.38</v>
      </c>
      <c r="L44" s="9">
        <f>J44/K44-1</f>
        <v/>
      </c>
      <c r="M44" s="8" t="n">
        <v>232.29</v>
      </c>
      <c r="N44" s="8" t="n">
        <v>228.16</v>
      </c>
      <c r="O44" s="10" t="n">
        <v>98369800</v>
      </c>
      <c r="P44" s="10" t="n">
        <v>109930565</v>
      </c>
      <c r="Q44" s="11">
        <f>O44/P44</f>
        <v/>
      </c>
      <c r="R44" s="8" t="n">
        <v>226.7739</v>
      </c>
      <c r="S44" s="8" t="n">
        <v>223.7414</v>
      </c>
      <c r="T44" s="8" t="n">
        <v>220.9661</v>
      </c>
      <c r="U44" s="9">
        <f>S44/T44-1</f>
        <v/>
      </c>
      <c r="V44" s="12" t="n">
        <v>1</v>
      </c>
      <c r="W44" s="9">
        <f>J44/R44-1</f>
        <v/>
      </c>
      <c r="X44" s="9">
        <f>J44/S44-1</f>
        <v/>
      </c>
      <c r="Y44" s="8" t="n">
        <v>5.8247</v>
      </c>
      <c r="Z44" s="13">
        <f>Y44/J44</f>
        <v/>
      </c>
      <c r="AA44" s="11">
        <f>(J44-R44)/Y44</f>
        <v/>
      </c>
      <c r="AB44" s="11">
        <f>(J44-S44)/Y44</f>
        <v/>
      </c>
      <c r="AC44" s="5">
        <f>IF(ABS(AA44)&lt;=ABS(AB44),"9EMA","21EMA")</f>
        <v/>
      </c>
      <c r="AD44" s="5" t="inlineStr">
        <is>
          <t>—</t>
        </is>
      </c>
      <c r="AE44" s="5" t="inlineStr">
        <is>
          <t>持續在上方</t>
        </is>
      </c>
      <c r="AF44" s="5" t="inlineStr"/>
      <c r="AG44" s="5" t="inlineStr"/>
      <c r="AH44" s="5" t="inlineStr">
        <is>
          <t>✓</t>
        </is>
      </c>
      <c r="AI44" s="5" t="inlineStr">
        <is>
          <t>2026-09-18</t>
        </is>
      </c>
      <c r="AJ44" s="5" t="n">
        <v>9</v>
      </c>
      <c r="AK44" s="14" t="n">
        <v>2</v>
      </c>
      <c r="AL44" s="5" t="inlineStr">
        <is>
          <t>2026-09-24</t>
        </is>
      </c>
      <c r="AM44" s="8" t="n">
        <v>221.09</v>
      </c>
      <c r="AN44" s="8" t="n">
        <v>208.93</v>
      </c>
      <c r="AO44" s="9">
        <f>IF(ISNUMBER(AN44),AM44/AN44-1,"")</f>
        <v/>
      </c>
      <c r="AP44" s="14" t="n">
        <v>5</v>
      </c>
      <c r="AQ44" s="9">
        <f>IF(ISNUMBER(AM44),J44/AM44-1,"")</f>
        <v/>
      </c>
      <c r="AR44" s="8" t="n">
        <v>230.86</v>
      </c>
      <c r="AS44" s="9">
        <f>J44/AR44-1</f>
        <v/>
      </c>
      <c r="AT44" s="5" t="inlineStr">
        <is>
          <t>上升三角（平頂）</t>
        </is>
      </c>
      <c r="AU44" s="15" t="n">
        <v>0.0046</v>
      </c>
      <c r="AV44" s="15" t="n">
        <v>0.1622</v>
      </c>
      <c r="AW44" s="15" t="n">
        <v>0.5614</v>
      </c>
      <c r="AX44" s="15" t="n">
        <v>0.6267</v>
      </c>
      <c r="AY44" s="14" t="n">
        <v>6</v>
      </c>
      <c r="AZ44" s="8" t="n">
        <v>234.76</v>
      </c>
      <c r="BA44" s="8" t="n">
        <v>208.93</v>
      </c>
      <c r="BB44" s="8" t="n">
        <v>223.4306</v>
      </c>
      <c r="BC44" s="15" t="n">
        <v>0.7386</v>
      </c>
      <c r="BD44" s="11">
        <f>IF(M44=N44,0.5,(J44-N44)/(M44-N44))</f>
        <v/>
      </c>
      <c r="BE44" s="16" t="n">
        <v>10.926</v>
      </c>
      <c r="BF44" s="16" t="n">
        <v>6.172</v>
      </c>
      <c r="BG44" s="17">
        <f>100*(0.4*MIN(1,MAX(0,((U44*100)-(0.0))/((2.5)-(0.0))))+0.3*MIN(1,MAX(0,((V44)-(0.6))/((1.0)-(0.6))))+0.3*MIN(1,MAX(0,((BE44)-(0.0))/((15.0)-(0.0)))))</f>
        <v/>
      </c>
      <c r="BH44" s="17">
        <f>100*(0.4*MIN(1,MAX(0,((MIN(ABS(AA44),ABS(AB44)))-(0.75))/((0.0)-(0.75))))+0.3*MIN(1,MAX(0,((BC44)-(1.2))/((0.6)-(1.2))))+0.3*BD44)</f>
        <v/>
      </c>
      <c r="BI44" s="17">
        <f>100*(0.5*MIN(1,MAX(0,((AK44)-(1.0))/((4.0)-(1.0))))+0.3*MIN(1,MAX(0,((IF(ISNUMBER(AO44),AO44,0)*100)-(0.0))/((8.0)-(0.0))))+0.2*MIN(1,MAX(0,((IF(ISNUMBER(AP44),AP44,0))-(25.0))/((5.0)-(25.0)))))</f>
        <v/>
      </c>
      <c r="BJ44" s="17">
        <f>100*(0.35*MIN(1,MAX(0,((ABS(AU44))-(0.3))/((0.05)-(0.3))))+0.3*MIN(1,MAX(0,((AV44)-(0.0))/((0.3)-(0.0))))+0.25*MIN(1,MAX(0,((AW44)-(0.4))/((0.7)-(0.4))))+0.1*IF(AY44&gt;=2,1,0.5))</f>
        <v/>
      </c>
      <c r="BK44" s="18">
        <f>0.25*BG44+0.25*BH44+0.2*BI44+0.3*BJ44</f>
        <v/>
      </c>
      <c r="BL44" s="5" t="inlineStr">
        <is>
          <t>全部通過</t>
        </is>
      </c>
      <c r="BM44" s="5" t="inlineStr"/>
    </row>
    <row r="45">
      <c r="A45" s="5" t="n">
        <v>1</v>
      </c>
      <c r="B45" s="5" t="n">
        <v>44</v>
      </c>
      <c r="C45" s="6" t="inlineStr">
        <is>
          <t>FTRE</t>
        </is>
      </c>
      <c r="D45" s="5" t="inlineStr">
        <is>
          <t>Fortrea Holdings Inc.</t>
        </is>
      </c>
      <c r="E45" s="5" t="inlineStr">
        <is>
          <t>NASDAQ</t>
        </is>
      </c>
      <c r="F45" s="5" t="inlineStr">
        <is>
          <t>醫療保健</t>
        </is>
      </c>
      <c r="G45" s="5" t="inlineStr">
        <is>
          <t>Medical Specialities</t>
        </is>
      </c>
      <c r="H45" s="7" t="n">
        <v>1.897</v>
      </c>
      <c r="I45" s="5" t="inlineStr">
        <is>
          <t>小型</t>
        </is>
      </c>
      <c r="J45" s="8" t="n">
        <v>19.4</v>
      </c>
      <c r="K45" s="8" t="n">
        <v>19.95</v>
      </c>
      <c r="L45" s="9">
        <f>J45/K45-1</f>
        <v/>
      </c>
      <c r="M45" s="8" t="n">
        <v>19.96</v>
      </c>
      <c r="N45" s="8" t="n">
        <v>19.05</v>
      </c>
      <c r="O45" s="10" t="n">
        <v>1942500</v>
      </c>
      <c r="P45" s="10" t="n">
        <v>1513795</v>
      </c>
      <c r="Q45" s="11">
        <f>O45/P45</f>
        <v/>
      </c>
      <c r="R45" s="8" t="n">
        <v>19.6936</v>
      </c>
      <c r="S45" s="8" t="n">
        <v>19.294</v>
      </c>
      <c r="T45" s="8" t="n">
        <v>18.9934</v>
      </c>
      <c r="U45" s="9">
        <f>S45/T45-1</f>
        <v/>
      </c>
      <c r="V45" s="12" t="n">
        <v>1</v>
      </c>
      <c r="W45" s="9">
        <f>J45/R45-1</f>
        <v/>
      </c>
      <c r="X45" s="9">
        <f>J45/S45-1</f>
        <v/>
      </c>
      <c r="Y45" s="8" t="n">
        <v>1.004</v>
      </c>
      <c r="Z45" s="13">
        <f>Y45/J45</f>
        <v/>
      </c>
      <c r="AA45" s="11">
        <f>(J45-R45)/Y45</f>
        <v/>
      </c>
      <c r="AB45" s="11">
        <f>(J45-S45)/Y45</f>
        <v/>
      </c>
      <c r="AC45" s="5">
        <f>IF(ABS(AA45)&lt;=ABS(AB45),"9EMA","21EMA")</f>
        <v/>
      </c>
      <c r="AD45" s="5" t="inlineStr">
        <is>
          <t>9+21EMA</t>
        </is>
      </c>
      <c r="AE45" s="5" t="inlineStr">
        <is>
          <t>持續在上方</t>
        </is>
      </c>
      <c r="AF45" s="5" t="inlineStr"/>
      <c r="AG45" s="5" t="inlineStr">
        <is>
          <t>✓</t>
        </is>
      </c>
      <c r="AH45" s="5" t="inlineStr"/>
      <c r="AI45" s="5" t="inlineStr">
        <is>
          <t>2026-09-16</t>
        </is>
      </c>
      <c r="AJ45" s="5" t="n">
        <v>11</v>
      </c>
      <c r="AK45" s="14" t="n">
        <v>2</v>
      </c>
      <c r="AL45" s="5" t="inlineStr">
        <is>
          <t>2026-09-24</t>
        </is>
      </c>
      <c r="AM45" s="8" t="n">
        <v>19.25</v>
      </c>
      <c r="AN45" s="8" t="n">
        <v>16.072</v>
      </c>
      <c r="AO45" s="9">
        <f>IF(ISNUMBER(AN45),AM45/AN45-1,"")</f>
        <v/>
      </c>
      <c r="AP45" s="14" t="n">
        <v>5</v>
      </c>
      <c r="AQ45" s="9">
        <f>IF(ISNUMBER(AM45),J45/AM45-1,"")</f>
        <v/>
      </c>
      <c r="AR45" s="8" t="n">
        <v>20.43</v>
      </c>
      <c r="AS45" s="9">
        <f>J45/AR45-1</f>
        <v/>
      </c>
      <c r="AT45" s="5" t="inlineStr">
        <is>
          <t>上傾收窄（楔形）</t>
        </is>
      </c>
      <c r="AU45" s="15" t="n">
        <v>0.436</v>
      </c>
      <c r="AV45" s="15" t="n">
        <v>0.6387</v>
      </c>
      <c r="AW45" s="15" t="n">
        <v>0.5957</v>
      </c>
      <c r="AX45" s="15" t="n">
        <v>0.6272</v>
      </c>
      <c r="AY45" s="14" t="n">
        <v>2</v>
      </c>
      <c r="AZ45" s="8" t="n">
        <v>21.11</v>
      </c>
      <c r="BA45" s="8" t="n">
        <v>16.072</v>
      </c>
      <c r="BB45" s="8" t="n">
        <v>19.0729</v>
      </c>
      <c r="BC45" s="15" t="n">
        <v>1.1604</v>
      </c>
      <c r="BD45" s="11">
        <f>IF(M45=N45,0.5,(J45-N45)/(M45-N45))</f>
        <v/>
      </c>
      <c r="BE45" s="16" t="n">
        <v>14.235</v>
      </c>
      <c r="BF45" s="16" t="n">
        <v>9.481</v>
      </c>
      <c r="BG45" s="17">
        <f>100*(0.4*MIN(1,MAX(0,((U45*100)-(0.0))/((2.5)-(0.0))))+0.3*MIN(1,MAX(0,((V45)-(0.6))/((1.0)-(0.6))))+0.3*MIN(1,MAX(0,((BE45)-(0.0))/((15.0)-(0.0)))))</f>
        <v/>
      </c>
      <c r="BH45" s="17">
        <f>100*(0.4*MIN(1,MAX(0,((MIN(ABS(AA45),ABS(AB45)))-(0.75))/((0.0)-(0.75))))+0.3*MIN(1,MAX(0,((BC45)-(1.2))/((0.6)-(1.2))))+0.3*BD45)</f>
        <v/>
      </c>
      <c r="BI45" s="17">
        <f>100*(0.5*MIN(1,MAX(0,((AK45)-(1.0))/((4.0)-(1.0))))+0.3*MIN(1,MAX(0,((IF(ISNUMBER(AO45),AO45,0)*100)-(0.0))/((8.0)-(0.0))))+0.2*MIN(1,MAX(0,((IF(ISNUMBER(AP45),AP45,0))-(25.0))/((5.0)-(25.0)))))</f>
        <v/>
      </c>
      <c r="BJ45" s="17">
        <f>100*(0.35*MIN(1,MAX(0,((ABS(AU45))-(0.3))/((0.05)-(0.3))))+0.3*MIN(1,MAX(0,((AV45)-(0.0))/((0.3)-(0.0))))+0.25*MIN(1,MAX(0,((AW45)-(0.4))/((0.7)-(0.4))))+0.1*IF(AY45&gt;=2,1,0.5))</f>
        <v/>
      </c>
      <c r="BK45" s="18">
        <f>0.25*BG45+0.25*BH45+0.2*BI45+0.3*BJ45</f>
        <v/>
      </c>
      <c r="BL45" s="5" t="inlineStr">
        <is>
          <t>全部通過</t>
        </is>
      </c>
      <c r="BM45" s="5" t="inlineStr"/>
    </row>
    <row r="46">
      <c r="A46" s="5" t="n">
        <v>1</v>
      </c>
      <c r="B46" s="5" t="n">
        <v>45</v>
      </c>
      <c r="C46" s="6" t="inlineStr">
        <is>
          <t>LQDT</t>
        </is>
      </c>
      <c r="D46" s="5" t="inlineStr">
        <is>
          <t>Liquidity Services Inc.</t>
        </is>
      </c>
      <c r="E46" s="5" t="inlineStr">
        <is>
          <t>NASDAQ</t>
        </is>
      </c>
      <c r="F46" s="5" t="inlineStr">
        <is>
          <t>非必需消費</t>
        </is>
      </c>
      <c r="G46" s="5" t="inlineStr">
        <is>
          <t>Business Services</t>
        </is>
      </c>
      <c r="H46" s="7" t="n">
        <v>1.342</v>
      </c>
      <c r="I46" s="5" t="inlineStr">
        <is>
          <t>小型</t>
        </is>
      </c>
      <c r="J46" s="8" t="n">
        <v>43.64</v>
      </c>
      <c r="K46" s="8" t="n">
        <v>42.83</v>
      </c>
      <c r="L46" s="9">
        <f>J46/K46-1</f>
        <v/>
      </c>
      <c r="M46" s="8" t="n">
        <v>44.53</v>
      </c>
      <c r="N46" s="8" t="n">
        <v>42.59</v>
      </c>
      <c r="O46" s="10" t="n">
        <v>350900</v>
      </c>
      <c r="P46" s="10" t="n">
        <v>230000</v>
      </c>
      <c r="Q46" s="11">
        <f>O46/P46</f>
        <v/>
      </c>
      <c r="R46" s="8" t="n">
        <v>43.1744</v>
      </c>
      <c r="S46" s="8" t="n">
        <v>42.7419</v>
      </c>
      <c r="T46" s="8" t="n">
        <v>42.3784</v>
      </c>
      <c r="U46" s="9">
        <f>S46/T46-1</f>
        <v/>
      </c>
      <c r="V46" s="12" t="n">
        <v>1</v>
      </c>
      <c r="W46" s="9">
        <f>J46/R46-1</f>
        <v/>
      </c>
      <c r="X46" s="9">
        <f>J46/S46-1</f>
        <v/>
      </c>
      <c r="Y46" s="8" t="n">
        <v>1.1662</v>
      </c>
      <c r="Z46" s="13">
        <f>Y46/J46</f>
        <v/>
      </c>
      <c r="AA46" s="11">
        <f>(J46-R46)/Y46</f>
        <v/>
      </c>
      <c r="AB46" s="11">
        <f>(J46-S46)/Y46</f>
        <v/>
      </c>
      <c r="AC46" s="5">
        <f>IF(ABS(AA46)&lt;=ABS(AB46),"9EMA","21EMA")</f>
        <v/>
      </c>
      <c r="AD46" s="5" t="inlineStr">
        <is>
          <t>9+21EMA</t>
        </is>
      </c>
      <c r="AE46" s="5" t="inlineStr">
        <is>
          <t>持續在上方</t>
        </is>
      </c>
      <c r="AF46" s="5" t="inlineStr"/>
      <c r="AG46" s="5" t="inlineStr"/>
      <c r="AH46" s="5" t="inlineStr">
        <is>
          <t>✓</t>
        </is>
      </c>
      <c r="AI46" s="5" t="inlineStr">
        <is>
          <t>2026-09-11</t>
        </is>
      </c>
      <c r="AJ46" s="5" t="n">
        <v>14</v>
      </c>
      <c r="AK46" s="14" t="n">
        <v>3</v>
      </c>
      <c r="AL46" s="5" t="inlineStr">
        <is>
          <t>2026-09-18</t>
        </is>
      </c>
      <c r="AM46" s="8" t="n">
        <v>42.1</v>
      </c>
      <c r="AN46" s="8" t="n">
        <v>38.49</v>
      </c>
      <c r="AO46" s="9">
        <f>IF(ISNUMBER(AN46),AM46/AN46-1,"")</f>
        <v/>
      </c>
      <c r="AP46" s="14" t="n">
        <v>9</v>
      </c>
      <c r="AQ46" s="9">
        <f>IF(ISNUMBER(AM46),J46/AM46-1,"")</f>
        <v/>
      </c>
      <c r="AR46" s="8" t="n">
        <v>43.64</v>
      </c>
      <c r="AS46" s="9">
        <f>J46/AR46-1</f>
        <v/>
      </c>
      <c r="AT46" s="5" t="inlineStr">
        <is>
          <t>上傾收窄（楔形）</t>
        </is>
      </c>
      <c r="AU46" s="15" t="n">
        <v>0.275</v>
      </c>
      <c r="AV46" s="15" t="n">
        <v>0.6894</v>
      </c>
      <c r="AW46" s="15" t="n">
        <v>0.6206</v>
      </c>
      <c r="AX46" s="15" t="n">
        <v>0.6748</v>
      </c>
      <c r="AY46" s="14" t="n">
        <v>2</v>
      </c>
      <c r="AZ46" s="8" t="n">
        <v>44.53</v>
      </c>
      <c r="BA46" s="8" t="n">
        <v>38.49</v>
      </c>
      <c r="BB46" s="8" t="n">
        <v>42.2384</v>
      </c>
      <c r="BC46" s="15" t="n">
        <v>1.0772</v>
      </c>
      <c r="BD46" s="11">
        <f>IF(M46=N46,0.5,(J46-N46)/(M46-N46))</f>
        <v/>
      </c>
      <c r="BE46" s="16" t="n">
        <v>15.713</v>
      </c>
      <c r="BF46" s="16" t="n">
        <v>10.959</v>
      </c>
      <c r="BG46" s="17">
        <f>100*(0.4*MIN(1,MAX(0,((U46*100)-(0.0))/((2.5)-(0.0))))+0.3*MIN(1,MAX(0,((V46)-(0.6))/((1.0)-(0.6))))+0.3*MIN(1,MAX(0,((BE46)-(0.0))/((15.0)-(0.0)))))</f>
        <v/>
      </c>
      <c r="BH46" s="17">
        <f>100*(0.4*MIN(1,MAX(0,((MIN(ABS(AA46),ABS(AB46)))-(0.75))/((0.0)-(0.75))))+0.3*MIN(1,MAX(0,((BC46)-(1.2))/((0.6)-(1.2))))+0.3*BD46)</f>
        <v/>
      </c>
      <c r="BI46" s="17">
        <f>100*(0.5*MIN(1,MAX(0,((AK46)-(1.0))/((4.0)-(1.0))))+0.3*MIN(1,MAX(0,((IF(ISNUMBER(AO46),AO46,0)*100)-(0.0))/((8.0)-(0.0))))+0.2*MIN(1,MAX(0,((IF(ISNUMBER(AP46),AP46,0))-(25.0))/((5.0)-(25.0)))))</f>
        <v/>
      </c>
      <c r="BJ46" s="17">
        <f>100*(0.35*MIN(1,MAX(0,((ABS(AU46))-(0.3))/((0.05)-(0.3))))+0.3*MIN(1,MAX(0,((AV46)-(0.0))/((0.3)-(0.0))))+0.25*MIN(1,MAX(0,((AW46)-(0.4))/((0.7)-(0.4))))+0.1*IF(AY46&gt;=2,1,0.5))</f>
        <v/>
      </c>
      <c r="BK46" s="18">
        <f>0.25*BG46+0.25*BH46+0.2*BI46+0.3*BJ46</f>
        <v/>
      </c>
      <c r="BL46" s="5" t="inlineStr">
        <is>
          <t>全部通過</t>
        </is>
      </c>
      <c r="BM46" s="5" t="inlineStr"/>
    </row>
    <row r="47">
      <c r="A47" s="5" t="n">
        <v>1</v>
      </c>
      <c r="B47" s="5" t="n">
        <v>46</v>
      </c>
      <c r="C47" s="6" t="inlineStr">
        <is>
          <t>AMN</t>
        </is>
      </c>
      <c r="D47" s="5" t="inlineStr">
        <is>
          <t>AMN Healthcare Services Inc</t>
        </is>
      </c>
      <c r="E47" s="5" t="inlineStr">
        <is>
          <t>NYSE</t>
        </is>
      </c>
      <c r="F47" s="5" t="inlineStr">
        <is>
          <t>非必需消費</t>
        </is>
      </c>
      <c r="G47" s="5" t="inlineStr">
        <is>
          <t>Professional Services</t>
        </is>
      </c>
      <c r="H47" s="7" t="n">
        <v>1.389</v>
      </c>
      <c r="I47" s="5" t="inlineStr">
        <is>
          <t>小型</t>
        </is>
      </c>
      <c r="J47" s="8" t="n">
        <v>35.86</v>
      </c>
      <c r="K47" s="8" t="n">
        <v>35.87</v>
      </c>
      <c r="L47" s="9">
        <f>J47/K47-1</f>
        <v/>
      </c>
      <c r="M47" s="8" t="n">
        <v>36.4</v>
      </c>
      <c r="N47" s="8" t="n">
        <v>35.18</v>
      </c>
      <c r="O47" s="10" t="n">
        <v>732800</v>
      </c>
      <c r="P47" s="10" t="n">
        <v>623210</v>
      </c>
      <c r="Q47" s="11">
        <f>O47/P47</f>
        <v/>
      </c>
      <c r="R47" s="8" t="n">
        <v>34.9538</v>
      </c>
      <c r="S47" s="8" t="n">
        <v>34.5472</v>
      </c>
      <c r="T47" s="8" t="n">
        <v>34.1605</v>
      </c>
      <c r="U47" s="9">
        <f>S47/T47-1</f>
        <v/>
      </c>
      <c r="V47" s="12" t="n">
        <v>0.9</v>
      </c>
      <c r="W47" s="9">
        <f>J47/R47-1</f>
        <v/>
      </c>
      <c r="X47" s="9">
        <f>J47/S47-1</f>
        <v/>
      </c>
      <c r="Y47" s="8" t="n">
        <v>1.2139</v>
      </c>
      <c r="Z47" s="13">
        <f>Y47/J47</f>
        <v/>
      </c>
      <c r="AA47" s="11">
        <f>(J47-R47)/Y47</f>
        <v/>
      </c>
      <c r="AB47" s="11">
        <f>(J47-S47)/Y47</f>
        <v/>
      </c>
      <c r="AC47" s="5">
        <f>IF(ABS(AA47)&lt;=ABS(AB47),"9EMA","21EMA")</f>
        <v/>
      </c>
      <c r="AD47" s="5" t="inlineStr">
        <is>
          <t>9+21EMA</t>
        </is>
      </c>
      <c r="AE47" s="5" t="inlineStr">
        <is>
          <t>持續在上方</t>
        </is>
      </c>
      <c r="AF47" s="5" t="inlineStr"/>
      <c r="AG47" s="5" t="inlineStr"/>
      <c r="AH47" s="5" t="inlineStr">
        <is>
          <t>✓</t>
        </is>
      </c>
      <c r="AI47" s="5" t="inlineStr">
        <is>
          <t>2026-09-16</t>
        </is>
      </c>
      <c r="AJ47" s="5" t="n">
        <v>11</v>
      </c>
      <c r="AK47" s="14" t="n">
        <v>3</v>
      </c>
      <c r="AL47" s="5" t="inlineStr">
        <is>
          <t>2026-09-24</t>
        </is>
      </c>
      <c r="AM47" s="8" t="n">
        <v>33.41</v>
      </c>
      <c r="AN47" s="8" t="n">
        <v>32.66</v>
      </c>
      <c r="AO47" s="9">
        <f>IF(ISNUMBER(AN47),AM47/AN47-1,"")</f>
        <v/>
      </c>
      <c r="AP47" s="14" t="n">
        <v>5</v>
      </c>
      <c r="AQ47" s="9">
        <f>IF(ISNUMBER(AM47),J47/AM47-1,"")</f>
        <v/>
      </c>
      <c r="AR47" s="8" t="n">
        <v>35.87</v>
      </c>
      <c r="AS47" s="9">
        <f>J47/AR47-1</f>
        <v/>
      </c>
      <c r="AT47" s="5" t="inlineStr">
        <is>
          <t>上升三角（平頂）</t>
        </is>
      </c>
      <c r="AU47" s="15" t="n">
        <v>-0.0214</v>
      </c>
      <c r="AV47" s="15" t="n">
        <v>0.2622</v>
      </c>
      <c r="AW47" s="15" t="n">
        <v>0.5337</v>
      </c>
      <c r="AX47" s="15" t="n">
        <v>0.4653</v>
      </c>
      <c r="AY47" s="14" t="n">
        <v>2</v>
      </c>
      <c r="AZ47" s="8" t="n">
        <v>36.4</v>
      </c>
      <c r="BA47" s="8" t="n">
        <v>32.03</v>
      </c>
      <c r="BB47" s="8" t="n">
        <v>34.3622</v>
      </c>
      <c r="BC47" s="15" t="n">
        <v>0.7467</v>
      </c>
      <c r="BD47" s="11">
        <f>IF(M47=N47,0.5,(J47-N47)/(M47-N47))</f>
        <v/>
      </c>
      <c r="BE47" s="16" t="n">
        <v>11.671</v>
      </c>
      <c r="BF47" s="16" t="n">
        <v>6.917</v>
      </c>
      <c r="BG47" s="17">
        <f>100*(0.4*MIN(1,MAX(0,((U47*100)-(0.0))/((2.5)-(0.0))))+0.3*MIN(1,MAX(0,((V47)-(0.6))/((1.0)-(0.6))))+0.3*MIN(1,MAX(0,((BE47)-(0.0))/((15.0)-(0.0)))))</f>
        <v/>
      </c>
      <c r="BH47" s="17">
        <f>100*(0.4*MIN(1,MAX(0,((MIN(ABS(AA47),ABS(AB47)))-(0.75))/((0.0)-(0.75))))+0.3*MIN(1,MAX(0,((BC47)-(1.2))/((0.6)-(1.2))))+0.3*BD47)</f>
        <v/>
      </c>
      <c r="BI47" s="17">
        <f>100*(0.5*MIN(1,MAX(0,((AK47)-(1.0))/((4.0)-(1.0))))+0.3*MIN(1,MAX(0,((IF(ISNUMBER(AO47),AO47,0)*100)-(0.0))/((8.0)-(0.0))))+0.2*MIN(1,MAX(0,((IF(ISNUMBER(AP47),AP47,0))-(25.0))/((5.0)-(25.0)))))</f>
        <v/>
      </c>
      <c r="BJ47" s="17">
        <f>100*(0.35*MIN(1,MAX(0,((ABS(AU47))-(0.3))/((0.05)-(0.3))))+0.3*MIN(1,MAX(0,((AV47)-(0.0))/((0.3)-(0.0))))+0.25*MIN(1,MAX(0,((AW47)-(0.4))/((0.7)-(0.4))))+0.1*IF(AY47&gt;=2,1,0.5))</f>
        <v/>
      </c>
      <c r="BK47" s="18">
        <f>0.25*BG47+0.25*BH47+0.2*BI47+0.3*BJ47</f>
        <v/>
      </c>
      <c r="BL47" s="5" t="inlineStr">
        <is>
          <t>全部通過</t>
        </is>
      </c>
      <c r="BM47" s="5" t="inlineStr"/>
    </row>
    <row r="48">
      <c r="A48" s="5" t="n">
        <v>1</v>
      </c>
      <c r="B48" s="5" t="n">
        <v>47</v>
      </c>
      <c r="C48" s="6" t="inlineStr">
        <is>
          <t>CNXN</t>
        </is>
      </c>
      <c r="D48" s="5" t="inlineStr">
        <is>
          <t>PC Connection Inc.</t>
        </is>
      </c>
      <c r="E48" s="5" t="inlineStr">
        <is>
          <t>NASDAQ</t>
        </is>
      </c>
      <c r="F48" s="5" t="inlineStr">
        <is>
          <t>非必需消費</t>
        </is>
      </c>
      <c r="G48" s="5" t="inlineStr">
        <is>
          <t>Catalog/Specialty Distribution</t>
        </is>
      </c>
      <c r="H48" s="7" t="n">
        <v>2.277</v>
      </c>
      <c r="I48" s="5" t="inlineStr">
        <is>
          <t>中型</t>
        </is>
      </c>
      <c r="J48" s="8" t="n">
        <v>92.56999999999999</v>
      </c>
      <c r="K48" s="8" t="n">
        <v>90.23</v>
      </c>
      <c r="L48" s="9">
        <f>J48/K48-1</f>
        <v/>
      </c>
      <c r="M48" s="8" t="n">
        <v>93.45999999999999</v>
      </c>
      <c r="N48" s="8" t="n">
        <v>90.3</v>
      </c>
      <c r="O48" s="10" t="n">
        <v>184100</v>
      </c>
      <c r="P48" s="10" t="n">
        <v>145765</v>
      </c>
      <c r="Q48" s="11">
        <f>O48/P48</f>
        <v/>
      </c>
      <c r="R48" s="8" t="n">
        <v>89.348</v>
      </c>
      <c r="S48" s="8" t="n">
        <v>86.9072</v>
      </c>
      <c r="T48" s="8" t="n">
        <v>84.7749</v>
      </c>
      <c r="U48" s="9">
        <f>S48/T48-1</f>
        <v/>
      </c>
      <c r="V48" s="12" t="n">
        <v>1</v>
      </c>
      <c r="W48" s="9">
        <f>J48/R48-1</f>
        <v/>
      </c>
      <c r="X48" s="9">
        <f>J48/S48-1</f>
        <v/>
      </c>
      <c r="Y48" s="8" t="n">
        <v>2.348</v>
      </c>
      <c r="Z48" s="13">
        <f>Y48/J48</f>
        <v/>
      </c>
      <c r="AA48" s="11">
        <f>(J48-R48)/Y48</f>
        <v/>
      </c>
      <c r="AB48" s="11">
        <f>(J48-S48)/Y48</f>
        <v/>
      </c>
      <c r="AC48" s="5">
        <f>IF(ABS(AA48)&lt;=ABS(AB48),"9EMA","21EMA")</f>
        <v/>
      </c>
      <c r="AD48" s="5" t="inlineStr">
        <is>
          <t>9EMA</t>
        </is>
      </c>
      <c r="AE48" s="5" t="inlineStr">
        <is>
          <t>持續在上方</t>
        </is>
      </c>
      <c r="AF48" s="5" t="inlineStr"/>
      <c r="AG48" s="5" t="inlineStr"/>
      <c r="AH48" s="5" t="inlineStr"/>
      <c r="AI48" s="5" t="inlineStr">
        <is>
          <t>2026-09-03</t>
        </is>
      </c>
      <c r="AJ48" s="5" t="n">
        <v>19</v>
      </c>
      <c r="AK48" s="14" t="n">
        <v>3</v>
      </c>
      <c r="AL48" s="5" t="inlineStr">
        <is>
          <t>2026-09-18</t>
        </is>
      </c>
      <c r="AM48" s="8" t="n">
        <v>84.11</v>
      </c>
      <c r="AN48" s="8" t="n">
        <v>77.98</v>
      </c>
      <c r="AO48" s="9">
        <f>IF(ISNUMBER(AN48),AM48/AN48-1,"")</f>
        <v/>
      </c>
      <c r="AP48" s="14" t="n">
        <v>9</v>
      </c>
      <c r="AQ48" s="9">
        <f>IF(ISNUMBER(AM48),J48/AM48-1,"")</f>
        <v/>
      </c>
      <c r="AR48" s="8" t="n">
        <v>92.56999999999999</v>
      </c>
      <c r="AS48" s="9">
        <f>J48/AR48-1</f>
        <v/>
      </c>
      <c r="AT48" s="5" t="inlineStr">
        <is>
          <t>上升通道</t>
        </is>
      </c>
      <c r="AU48" s="15" t="n">
        <v>0.5590000000000001</v>
      </c>
      <c r="AV48" s="15" t="n">
        <v>0.5518</v>
      </c>
      <c r="AW48" s="15" t="n">
        <v>0.5168</v>
      </c>
      <c r="AX48" s="15" t="n">
        <v>0.4892</v>
      </c>
      <c r="AY48" s="14" t="n">
        <v>1</v>
      </c>
      <c r="AZ48" s="8" t="n">
        <v>93.45999999999999</v>
      </c>
      <c r="BA48" s="8" t="n">
        <v>77.98</v>
      </c>
      <c r="BB48" s="8" t="n">
        <v>85.9807</v>
      </c>
      <c r="BC48" s="15" t="n">
        <v>0.9434</v>
      </c>
      <c r="BD48" s="11">
        <f>IF(M48=N48,0.5,(J48-N48)/(M48-N48))</f>
        <v/>
      </c>
      <c r="BE48" s="16" t="n">
        <v>20.365</v>
      </c>
      <c r="BF48" s="16" t="n">
        <v>15.611</v>
      </c>
      <c r="BG48" s="17">
        <f>100*(0.4*MIN(1,MAX(0,((U48*100)-(0.0))/((2.5)-(0.0))))+0.3*MIN(1,MAX(0,((V48)-(0.6))/((1.0)-(0.6))))+0.3*MIN(1,MAX(0,((BE48)-(0.0))/((15.0)-(0.0)))))</f>
        <v/>
      </c>
      <c r="BH48" s="17">
        <f>100*(0.4*MIN(1,MAX(0,((MIN(ABS(AA48),ABS(AB48)))-(0.75))/((0.0)-(0.75))))+0.3*MIN(1,MAX(0,((BC48)-(1.2))/((0.6)-(1.2))))+0.3*BD48)</f>
        <v/>
      </c>
      <c r="BI48" s="17">
        <f>100*(0.5*MIN(1,MAX(0,((AK48)-(1.0))/((4.0)-(1.0))))+0.3*MIN(1,MAX(0,((IF(ISNUMBER(AO48),AO48,0)*100)-(0.0))/((8.0)-(0.0))))+0.2*MIN(1,MAX(0,((IF(ISNUMBER(AP48),AP48,0))-(25.0))/((5.0)-(25.0)))))</f>
        <v/>
      </c>
      <c r="BJ48" s="17">
        <f>100*(0.35*MIN(1,MAX(0,((ABS(AU48))-(0.3))/((0.05)-(0.3))))+0.3*MIN(1,MAX(0,((AV48)-(0.0))/((0.3)-(0.0))))+0.25*MIN(1,MAX(0,((AW48)-(0.4))/((0.7)-(0.4))))+0.1*IF(AY48&gt;=2,1,0.5))</f>
        <v/>
      </c>
      <c r="BK48" s="18">
        <f>0.25*BG48+0.25*BH48+0.2*BI48+0.3*BJ48</f>
        <v/>
      </c>
      <c r="BL48" s="5" t="inlineStr">
        <is>
          <t>全部通過</t>
        </is>
      </c>
      <c r="BM48" s="5" t="inlineStr"/>
    </row>
    <row r="49">
      <c r="A49" s="5" t="n">
        <v>1</v>
      </c>
      <c r="B49" s="5" t="n">
        <v>48</v>
      </c>
      <c r="C49" s="6" t="inlineStr">
        <is>
          <t>GNE</t>
        </is>
      </c>
      <c r="D49" s="5" t="inlineStr">
        <is>
          <t>Genie Energy Ltd. Class B</t>
        </is>
      </c>
      <c r="E49" s="5" t="inlineStr">
        <is>
          <t>NYSE</t>
        </is>
      </c>
      <c r="F49" s="5" t="inlineStr">
        <is>
          <t>公用事業</t>
        </is>
      </c>
      <c r="G49" s="5" t="inlineStr">
        <is>
          <t>Power Generation</t>
        </is>
      </c>
      <c r="H49" s="7" t="n">
        <v>0.421</v>
      </c>
      <c r="I49" s="5" t="inlineStr">
        <is>
          <t>小型</t>
        </is>
      </c>
      <c r="J49" s="8" t="n">
        <v>16.42</v>
      </c>
      <c r="K49" s="8" t="n">
        <v>15.98</v>
      </c>
      <c r="L49" s="9">
        <f>J49/K49-1</f>
        <v/>
      </c>
      <c r="M49" s="8" t="n">
        <v>16.48</v>
      </c>
      <c r="N49" s="8" t="n">
        <v>15.9</v>
      </c>
      <c r="O49" s="10" t="n">
        <v>97700</v>
      </c>
      <c r="P49" s="10" t="n">
        <v>78130</v>
      </c>
      <c r="Q49" s="11">
        <f>O49/P49</f>
        <v/>
      </c>
      <c r="R49" s="8" t="n">
        <v>16.0691</v>
      </c>
      <c r="S49" s="8" t="n">
        <v>15.8343</v>
      </c>
      <c r="T49" s="8" t="n">
        <v>15.6642</v>
      </c>
      <c r="U49" s="9">
        <f>S49/T49-1</f>
        <v/>
      </c>
      <c r="V49" s="12" t="n">
        <v>1</v>
      </c>
      <c r="W49" s="9">
        <f>J49/R49-1</f>
        <v/>
      </c>
      <c r="X49" s="9">
        <f>J49/S49-1</f>
        <v/>
      </c>
      <c r="Y49" s="8" t="n">
        <v>0.3762</v>
      </c>
      <c r="Z49" s="13">
        <f>Y49/J49</f>
        <v/>
      </c>
      <c r="AA49" s="11">
        <f>(J49-R49)/Y49</f>
        <v/>
      </c>
      <c r="AB49" s="11">
        <f>(J49-S49)/Y49</f>
        <v/>
      </c>
      <c r="AC49" s="5">
        <f>IF(ABS(AA49)&lt;=ABS(AB49),"9EMA","21EMA")</f>
        <v/>
      </c>
      <c r="AD49" s="5" t="inlineStr">
        <is>
          <t>9+21EMA</t>
        </is>
      </c>
      <c r="AE49" s="5" t="inlineStr">
        <is>
          <t>持續在上方</t>
        </is>
      </c>
      <c r="AF49" s="5" t="inlineStr"/>
      <c r="AG49" s="5" t="inlineStr"/>
      <c r="AH49" s="5" t="inlineStr">
        <is>
          <t>✓</t>
        </is>
      </c>
      <c r="AI49" s="5" t="inlineStr">
        <is>
          <t>2026-08-06</t>
        </is>
      </c>
      <c r="AJ49" s="5" t="n">
        <v>39</v>
      </c>
      <c r="AK49" s="14" t="n">
        <v>4</v>
      </c>
      <c r="AL49" s="5" t="inlineStr">
        <is>
          <t>2026-09-25</t>
        </is>
      </c>
      <c r="AM49" s="8" t="n">
        <v>15.72</v>
      </c>
      <c r="AN49" s="8" t="n">
        <v>14.58</v>
      </c>
      <c r="AO49" s="9">
        <f>IF(ISNUMBER(AN49),AM49/AN49-1,"")</f>
        <v/>
      </c>
      <c r="AP49" s="14" t="n">
        <v>4</v>
      </c>
      <c r="AQ49" s="9">
        <f>IF(ISNUMBER(AM49),J49/AM49-1,"")</f>
        <v/>
      </c>
      <c r="AR49" s="8" t="n">
        <v>16.42</v>
      </c>
      <c r="AS49" s="9">
        <f>J49/AR49-1</f>
        <v/>
      </c>
      <c r="AT49" s="5" t="inlineStr">
        <is>
          <t>上傾收窄（楔形）</t>
        </is>
      </c>
      <c r="AU49" s="15" t="n">
        <v>0.3065</v>
      </c>
      <c r="AV49" s="15" t="n">
        <v>0.3857</v>
      </c>
      <c r="AW49" s="15" t="n">
        <v>0.6104000000000001</v>
      </c>
      <c r="AX49" s="15" t="n">
        <v>0.5965</v>
      </c>
      <c r="AY49" s="14" t="n">
        <v>5</v>
      </c>
      <c r="AZ49" s="8" t="n">
        <v>16.55</v>
      </c>
      <c r="BA49" s="8" t="n">
        <v>14.58</v>
      </c>
      <c r="BB49" s="8" t="n">
        <v>15.7824</v>
      </c>
      <c r="BC49" s="15" t="n">
        <v>1.2242</v>
      </c>
      <c r="BD49" s="11">
        <f>IF(M49=N49,0.5,(J49-N49)/(M49-N49))</f>
        <v/>
      </c>
      <c r="BE49" s="16" t="n">
        <v>12.923</v>
      </c>
      <c r="BF49" s="16" t="n">
        <v>8.169</v>
      </c>
      <c r="BG49" s="17">
        <f>100*(0.4*MIN(1,MAX(0,((U49*100)-(0.0))/((2.5)-(0.0))))+0.3*MIN(1,MAX(0,((V49)-(0.6))/((1.0)-(0.6))))+0.3*MIN(1,MAX(0,((BE49)-(0.0))/((15.0)-(0.0)))))</f>
        <v/>
      </c>
      <c r="BH49" s="17">
        <f>100*(0.4*MIN(1,MAX(0,((MIN(ABS(AA49),ABS(AB49)))-(0.75))/((0.0)-(0.75))))+0.3*MIN(1,MAX(0,((BC49)-(1.2))/((0.6)-(1.2))))+0.3*BD49)</f>
        <v/>
      </c>
      <c r="BI49" s="17">
        <f>100*(0.5*MIN(1,MAX(0,((AK49)-(1.0))/((4.0)-(1.0))))+0.3*MIN(1,MAX(0,((IF(ISNUMBER(AO49),AO49,0)*100)-(0.0))/((8.0)-(0.0))))+0.2*MIN(1,MAX(0,((IF(ISNUMBER(AP49),AP49,0))-(25.0))/((5.0)-(25.0)))))</f>
        <v/>
      </c>
      <c r="BJ49" s="17">
        <f>100*(0.35*MIN(1,MAX(0,((ABS(AU49))-(0.3))/((0.05)-(0.3))))+0.3*MIN(1,MAX(0,((AV49)-(0.0))/((0.3)-(0.0))))+0.25*MIN(1,MAX(0,((AW49)-(0.4))/((0.7)-(0.4))))+0.1*IF(AY49&gt;=2,1,0.5))</f>
        <v/>
      </c>
      <c r="BK49" s="18">
        <f>0.25*BG49+0.25*BH49+0.2*BI49+0.3*BJ49</f>
        <v/>
      </c>
      <c r="BL49" s="5" t="inlineStr">
        <is>
          <t>全部通過</t>
        </is>
      </c>
      <c r="BM49" s="5" t="inlineStr"/>
    </row>
    <row r="50">
      <c r="A50" s="5" t="n">
        <v>1</v>
      </c>
      <c r="B50" s="5" t="n">
        <v>49</v>
      </c>
      <c r="C50" s="6" t="inlineStr">
        <is>
          <t>CRUS</t>
        </is>
      </c>
      <c r="D50" s="5" t="inlineStr">
        <is>
          <t>Cirrus Logic Inc.</t>
        </is>
      </c>
      <c r="E50" s="5" t="inlineStr">
        <is>
          <t>NASDAQ</t>
        </is>
      </c>
      <c r="F50" s="5" t="inlineStr">
        <is>
          <t>科技</t>
        </is>
      </c>
      <c r="G50" s="5" t="inlineStr">
        <is>
          <t>Semiconductors</t>
        </is>
      </c>
      <c r="H50" s="7" t="n">
        <v>6.013</v>
      </c>
      <c r="I50" s="5" t="inlineStr">
        <is>
          <t>中型</t>
        </is>
      </c>
      <c r="J50" s="8" t="n">
        <v>120.17</v>
      </c>
      <c r="K50" s="8" t="n">
        <v>119.97</v>
      </c>
      <c r="L50" s="9">
        <f>J50/K50-1</f>
        <v/>
      </c>
      <c r="M50" s="8" t="n">
        <v>121.3</v>
      </c>
      <c r="N50" s="8" t="n">
        <v>118.63</v>
      </c>
      <c r="O50" s="10" t="n">
        <v>509500</v>
      </c>
      <c r="P50" s="10" t="n">
        <v>873185</v>
      </c>
      <c r="Q50" s="11">
        <f>O50/P50</f>
        <v/>
      </c>
      <c r="R50" s="8" t="n">
        <v>119.704</v>
      </c>
      <c r="S50" s="8" t="n">
        <v>118.8168</v>
      </c>
      <c r="T50" s="8" t="n">
        <v>118.0364</v>
      </c>
      <c r="U50" s="9">
        <f>S50/T50-1</f>
        <v/>
      </c>
      <c r="V50" s="12" t="n">
        <v>1</v>
      </c>
      <c r="W50" s="9">
        <f>J50/R50-1</f>
        <v/>
      </c>
      <c r="X50" s="9">
        <f>J50/S50-1</f>
        <v/>
      </c>
      <c r="Y50" s="8" t="n">
        <v>3.4221</v>
      </c>
      <c r="Z50" s="13">
        <f>Y50/J50</f>
        <v/>
      </c>
      <c r="AA50" s="11">
        <f>(J50-R50)/Y50</f>
        <v/>
      </c>
      <c r="AB50" s="11">
        <f>(J50-S50)/Y50</f>
        <v/>
      </c>
      <c r="AC50" s="5">
        <f>IF(ABS(AA50)&lt;=ABS(AB50),"9EMA","21EMA")</f>
        <v/>
      </c>
      <c r="AD50" s="5" t="inlineStr">
        <is>
          <t>9+21EMA</t>
        </is>
      </c>
      <c r="AE50" s="5" t="inlineStr">
        <is>
          <t>持續在上方</t>
        </is>
      </c>
      <c r="AF50" s="5" t="inlineStr"/>
      <c r="AG50" s="5" t="inlineStr"/>
      <c r="AH50" s="5" t="inlineStr">
        <is>
          <t>✓</t>
        </is>
      </c>
      <c r="AI50" s="5" t="inlineStr">
        <is>
          <t>2026-09-17</t>
        </is>
      </c>
      <c r="AJ50" s="5" t="n">
        <v>10</v>
      </c>
      <c r="AK50" s="14" t="n">
        <v>3</v>
      </c>
      <c r="AL50" s="5" t="inlineStr">
        <is>
          <t>2026-09-28</t>
        </is>
      </c>
      <c r="AM50" s="8" t="n">
        <v>116.94</v>
      </c>
      <c r="AN50" s="8" t="n">
        <v>108.21</v>
      </c>
      <c r="AO50" s="9">
        <f>IF(ISNUMBER(AN50),AM50/AN50-1,"")</f>
        <v/>
      </c>
      <c r="AP50" s="14" t="n">
        <v>3</v>
      </c>
      <c r="AQ50" s="9">
        <f>IF(ISNUMBER(AM50),J50/AM50-1,"")</f>
        <v/>
      </c>
      <c r="AR50" s="8" t="n">
        <v>122.21</v>
      </c>
      <c r="AS50" s="9">
        <f>J50/AR50-1</f>
        <v/>
      </c>
      <c r="AT50" s="5" t="inlineStr">
        <is>
          <t>上升通道</t>
        </is>
      </c>
      <c r="AU50" s="15" t="n">
        <v>0.4229</v>
      </c>
      <c r="AV50" s="15" t="n">
        <v>0.5068</v>
      </c>
      <c r="AW50" s="15" t="n">
        <v>0.5244</v>
      </c>
      <c r="AX50" s="15" t="n">
        <v>0.5445</v>
      </c>
      <c r="AY50" s="14" t="n">
        <v>2</v>
      </c>
      <c r="AZ50" s="8" t="n">
        <v>124.75</v>
      </c>
      <c r="BA50" s="8" t="n">
        <v>106.26</v>
      </c>
      <c r="BB50" s="8" t="n">
        <v>115.9565</v>
      </c>
      <c r="BC50" s="15" t="n">
        <v>1.816</v>
      </c>
      <c r="BD50" s="11">
        <f>IF(M50=N50,0.5,(J50-N50)/(M50-N50))</f>
        <v/>
      </c>
      <c r="BE50" s="16" t="n">
        <v>14.931</v>
      </c>
      <c r="BF50" s="16" t="n">
        <v>10.177</v>
      </c>
      <c r="BG50" s="17">
        <f>100*(0.4*MIN(1,MAX(0,((U50*100)-(0.0))/((2.5)-(0.0))))+0.3*MIN(1,MAX(0,((V50)-(0.6))/((1.0)-(0.6))))+0.3*MIN(1,MAX(0,((BE50)-(0.0))/((15.0)-(0.0)))))</f>
        <v/>
      </c>
      <c r="BH50" s="17">
        <f>100*(0.4*MIN(1,MAX(0,((MIN(ABS(AA50),ABS(AB50)))-(0.75))/((0.0)-(0.75))))+0.3*MIN(1,MAX(0,((BC50)-(1.2))/((0.6)-(1.2))))+0.3*BD50)</f>
        <v/>
      </c>
      <c r="BI50" s="17">
        <f>100*(0.5*MIN(1,MAX(0,((AK50)-(1.0))/((4.0)-(1.0))))+0.3*MIN(1,MAX(0,((IF(ISNUMBER(AO50),AO50,0)*100)-(0.0))/((8.0)-(0.0))))+0.2*MIN(1,MAX(0,((IF(ISNUMBER(AP50),AP50,0))-(25.0))/((5.0)-(25.0)))))</f>
        <v/>
      </c>
      <c r="BJ50" s="17">
        <f>100*(0.35*MIN(1,MAX(0,((ABS(AU50))-(0.3))/((0.05)-(0.3))))+0.3*MIN(1,MAX(0,((AV50)-(0.0))/((0.3)-(0.0))))+0.25*MIN(1,MAX(0,((AW50)-(0.4))/((0.7)-(0.4))))+0.1*IF(AY50&gt;=2,1,0.5))</f>
        <v/>
      </c>
      <c r="BK50" s="18">
        <f>0.25*BG50+0.25*BH50+0.2*BI50+0.3*BJ50</f>
        <v/>
      </c>
      <c r="BL50" s="5" t="inlineStr">
        <is>
          <t>全部通過</t>
        </is>
      </c>
      <c r="BM50" s="5" t="inlineStr"/>
    </row>
    <row r="51">
      <c r="A51" s="5" t="n">
        <v>1</v>
      </c>
      <c r="B51" s="5" t="n">
        <v>50</v>
      </c>
      <c r="C51" s="6" t="inlineStr">
        <is>
          <t>MAZE</t>
        </is>
      </c>
      <c r="D51" s="5" t="inlineStr">
        <is>
          <t>Maze Therapeutics Inc.</t>
        </is>
      </c>
      <c r="E51" s="5" t="inlineStr">
        <is>
          <t>NASDAQ</t>
        </is>
      </c>
      <c r="F51" s="5" t="inlineStr">
        <is>
          <t>醫療保健</t>
        </is>
      </c>
      <c r="G51" s="5" t="inlineStr">
        <is>
          <t>Biotechnology: Biological Products (No Diagnostic Substances)</t>
        </is>
      </c>
      <c r="H51" s="7" t="n">
        <v>1.51</v>
      </c>
      <c r="I51" s="5" t="inlineStr">
        <is>
          <t>小型</t>
        </is>
      </c>
      <c r="J51" s="8" t="n">
        <v>26.65</v>
      </c>
      <c r="K51" s="8" t="n">
        <v>27.18</v>
      </c>
      <c r="L51" s="9">
        <f>J51/K51-1</f>
        <v/>
      </c>
      <c r="M51" s="8" t="n">
        <v>27.79</v>
      </c>
      <c r="N51" s="8" t="n">
        <v>26.5</v>
      </c>
      <c r="O51" s="10" t="n">
        <v>589300</v>
      </c>
      <c r="P51" s="10" t="n">
        <v>875905</v>
      </c>
      <c r="Q51" s="11">
        <f>O51/P51</f>
        <v/>
      </c>
      <c r="R51" s="8" t="n">
        <v>26.4127</v>
      </c>
      <c r="S51" s="8" t="n">
        <v>26.2274</v>
      </c>
      <c r="T51" s="8" t="n">
        <v>25.892</v>
      </c>
      <c r="U51" s="9">
        <f>S51/T51-1</f>
        <v/>
      </c>
      <c r="V51" s="12" t="n">
        <v>0.8</v>
      </c>
      <c r="W51" s="9">
        <f>J51/R51-1</f>
        <v/>
      </c>
      <c r="X51" s="9">
        <f>J51/S51-1</f>
        <v/>
      </c>
      <c r="Y51" s="8" t="n">
        <v>1.806</v>
      </c>
      <c r="Z51" s="13">
        <f>Y51/J51</f>
        <v/>
      </c>
      <c r="AA51" s="11">
        <f>(J51-R51)/Y51</f>
        <v/>
      </c>
      <c r="AB51" s="11">
        <f>(J51-S51)/Y51</f>
        <v/>
      </c>
      <c r="AC51" s="5">
        <f>IF(ABS(AA51)&lt;=ABS(AB51),"9EMA","21EMA")</f>
        <v/>
      </c>
      <c r="AD51" s="5" t="inlineStr">
        <is>
          <t>9EMA</t>
        </is>
      </c>
      <c r="AE51" s="19" t="inlineStr">
        <is>
          <t>剛黃金交叉</t>
        </is>
      </c>
      <c r="AF51" s="5" t="inlineStr">
        <is>
          <t>✓</t>
        </is>
      </c>
      <c r="AG51" s="5" t="inlineStr"/>
      <c r="AH51" s="5" t="inlineStr">
        <is>
          <t>✓</t>
        </is>
      </c>
      <c r="AI51" s="5" t="inlineStr">
        <is>
          <t>2026-09-29</t>
        </is>
      </c>
      <c r="AJ51" s="5" t="n">
        <v>2</v>
      </c>
      <c r="AK51" s="14" t="n">
        <v>2</v>
      </c>
      <c r="AL51" s="5" t="inlineStr">
        <is>
          <t>2026-09-28</t>
        </is>
      </c>
      <c r="AM51" s="8" t="n">
        <v>24.84</v>
      </c>
      <c r="AN51" s="8" t="n">
        <v>21.95</v>
      </c>
      <c r="AO51" s="9">
        <f>IF(ISNUMBER(AN51),AM51/AN51-1,"")</f>
        <v/>
      </c>
      <c r="AP51" s="14" t="n">
        <v>3</v>
      </c>
      <c r="AQ51" s="9">
        <f>IF(ISNUMBER(AM51),J51/AM51-1,"")</f>
        <v/>
      </c>
      <c r="AR51" s="8" t="n">
        <v>28.38</v>
      </c>
      <c r="AS51" s="9">
        <f>J51/AR51-1</f>
        <v/>
      </c>
      <c r="AT51" s="5" t="inlineStr">
        <is>
          <t>上升三角（平頂）</t>
        </is>
      </c>
      <c r="AU51" s="15" t="n">
        <v>0.0515</v>
      </c>
      <c r="AV51" s="15" t="n">
        <v>0.1948</v>
      </c>
      <c r="AW51" s="15" t="n">
        <v>0.5358000000000001</v>
      </c>
      <c r="AX51" s="15" t="n">
        <v>0.616</v>
      </c>
      <c r="AY51" s="14" t="n">
        <v>1</v>
      </c>
      <c r="AZ51" s="8" t="n">
        <v>29.91</v>
      </c>
      <c r="BA51" s="8" t="n">
        <v>21.95</v>
      </c>
      <c r="BB51" s="8" t="n">
        <v>26.2152</v>
      </c>
      <c r="BC51" s="15" t="n">
        <v>0.6721</v>
      </c>
      <c r="BD51" s="11">
        <f>IF(M51=N51,0.5,(J51-N51)/(M51-N51))</f>
        <v/>
      </c>
      <c r="BE51" s="16" t="n">
        <v>5.206</v>
      </c>
      <c r="BF51" s="16" t="n">
        <v>0.452</v>
      </c>
      <c r="BG51" s="17">
        <f>100*(0.4*MIN(1,MAX(0,((U51*100)-(0.0))/((2.5)-(0.0))))+0.3*MIN(1,MAX(0,((V51)-(0.6))/((1.0)-(0.6))))+0.3*MIN(1,MAX(0,((BE51)-(0.0))/((15.0)-(0.0)))))</f>
        <v/>
      </c>
      <c r="BH51" s="17">
        <f>100*(0.4*MIN(1,MAX(0,((MIN(ABS(AA51),ABS(AB51)))-(0.75))/((0.0)-(0.75))))+0.3*MIN(1,MAX(0,((BC51)-(1.2))/((0.6)-(1.2))))+0.3*BD51)</f>
        <v/>
      </c>
      <c r="BI51" s="17">
        <f>100*(0.5*MIN(1,MAX(0,((AK51)-(1.0))/((4.0)-(1.0))))+0.3*MIN(1,MAX(0,((IF(ISNUMBER(AO51),AO51,0)*100)-(0.0))/((8.0)-(0.0))))+0.2*MIN(1,MAX(0,((IF(ISNUMBER(AP51),AP51,0))-(25.0))/((5.0)-(25.0)))))</f>
        <v/>
      </c>
      <c r="BJ51" s="17">
        <f>100*(0.35*MIN(1,MAX(0,((ABS(AU51))-(0.3))/((0.05)-(0.3))))+0.3*MIN(1,MAX(0,((AV51)-(0.0))/((0.3)-(0.0))))+0.25*MIN(1,MAX(0,((AW51)-(0.4))/((0.7)-(0.4))))+0.1*IF(AY51&gt;=2,1,0.5))</f>
        <v/>
      </c>
      <c r="BK51" s="18">
        <f>0.25*BG51+0.25*BH51+0.2*BI51+0.3*BJ51</f>
        <v/>
      </c>
      <c r="BL51" s="5" t="inlineStr">
        <is>
          <t>全部通過</t>
        </is>
      </c>
      <c r="BM51" s="5" t="inlineStr"/>
    </row>
    <row r="52">
      <c r="A52" s="5" t="n">
        <v>1</v>
      </c>
      <c r="B52" s="5" t="n">
        <v>51</v>
      </c>
      <c r="C52" s="6" t="inlineStr">
        <is>
          <t>KODK</t>
        </is>
      </c>
      <c r="D52" s="5" t="inlineStr">
        <is>
          <t>Eastman Kodak Company Common New</t>
        </is>
      </c>
      <c r="E52" s="5" t="inlineStr">
        <is>
          <t>NYSE</t>
        </is>
      </c>
      <c r="F52" s="5" t="inlineStr">
        <is>
          <t>非必需消費</t>
        </is>
      </c>
      <c r="G52" s="5" t="inlineStr">
        <is>
          <t>Industrial Machinery/Components</t>
        </is>
      </c>
      <c r="H52" s="7" t="n">
        <v>0.9360000000000001</v>
      </c>
      <c r="I52" s="5" t="inlineStr">
        <is>
          <t>小型</t>
        </is>
      </c>
      <c r="J52" s="8" t="n">
        <v>9.85</v>
      </c>
      <c r="K52" s="8" t="n">
        <v>9.56</v>
      </c>
      <c r="L52" s="9">
        <f>J52/K52-1</f>
        <v/>
      </c>
      <c r="M52" s="8" t="n">
        <v>9.880000000000001</v>
      </c>
      <c r="N52" s="8" t="n">
        <v>9.49</v>
      </c>
      <c r="O52" s="10" t="n">
        <v>977500</v>
      </c>
      <c r="P52" s="10" t="n">
        <v>778140</v>
      </c>
      <c r="Q52" s="11">
        <f>O52/P52</f>
        <v/>
      </c>
      <c r="R52" s="8" t="n">
        <v>9.609299999999999</v>
      </c>
      <c r="S52" s="8" t="n">
        <v>9.504099999999999</v>
      </c>
      <c r="T52" s="8" t="n">
        <v>9.425599999999999</v>
      </c>
      <c r="U52" s="9">
        <f>S52/T52-1</f>
        <v/>
      </c>
      <c r="V52" s="12" t="n">
        <v>1</v>
      </c>
      <c r="W52" s="9">
        <f>J52/R52-1</f>
        <v/>
      </c>
      <c r="X52" s="9">
        <f>J52/S52-1</f>
        <v/>
      </c>
      <c r="Y52" s="8" t="n">
        <v>0.3077</v>
      </c>
      <c r="Z52" s="13">
        <f>Y52/J52</f>
        <v/>
      </c>
      <c r="AA52" s="11">
        <f>(J52-R52)/Y52</f>
        <v/>
      </c>
      <c r="AB52" s="11">
        <f>(J52-S52)/Y52</f>
        <v/>
      </c>
      <c r="AC52" s="5">
        <f>IF(ABS(AA52)&lt;=ABS(AB52),"9EMA","21EMA")</f>
        <v/>
      </c>
      <c r="AD52" s="5" t="inlineStr">
        <is>
          <t>9+21EMA</t>
        </is>
      </c>
      <c r="AE52" s="5" t="inlineStr">
        <is>
          <t>持續在上方</t>
        </is>
      </c>
      <c r="AF52" s="5" t="inlineStr"/>
      <c r="AG52" s="5" t="inlineStr"/>
      <c r="AH52" s="5" t="inlineStr">
        <is>
          <t>✓</t>
        </is>
      </c>
      <c r="AI52" s="5" t="inlineStr">
        <is>
          <t>2026-09-17</t>
        </is>
      </c>
      <c r="AJ52" s="5" t="n">
        <v>10</v>
      </c>
      <c r="AK52" s="14" t="n">
        <v>4</v>
      </c>
      <c r="AL52" s="5" t="inlineStr">
        <is>
          <t>2026-09-28</t>
        </is>
      </c>
      <c r="AM52" s="8" t="n">
        <v>9.359999999999999</v>
      </c>
      <c r="AN52" s="8" t="n">
        <v>8.85</v>
      </c>
      <c r="AO52" s="9">
        <f>IF(ISNUMBER(AN52),AM52/AN52-1,"")</f>
        <v/>
      </c>
      <c r="AP52" s="14" t="n">
        <v>3</v>
      </c>
      <c r="AQ52" s="9">
        <f>IF(ISNUMBER(AM52),J52/AM52-1,"")</f>
        <v/>
      </c>
      <c r="AR52" s="8" t="n">
        <v>9.85</v>
      </c>
      <c r="AS52" s="9">
        <f>J52/AR52-1</f>
        <v/>
      </c>
      <c r="AT52" s="5" t="inlineStr">
        <is>
          <t>上傾收窄（楔形）</t>
        </is>
      </c>
      <c r="AU52" s="15" t="n">
        <v>0.2486</v>
      </c>
      <c r="AV52" s="15" t="n">
        <v>0.3759</v>
      </c>
      <c r="AW52" s="15" t="n">
        <v>0.5469000000000001</v>
      </c>
      <c r="AX52" s="15" t="n">
        <v>0.4623</v>
      </c>
      <c r="AY52" s="14" t="n">
        <v>6</v>
      </c>
      <c r="AZ52" s="8" t="n">
        <v>9.890000000000001</v>
      </c>
      <c r="BA52" s="8" t="n">
        <v>8.710000000000001</v>
      </c>
      <c r="BB52" s="8" t="n">
        <v>9.355399999999999</v>
      </c>
      <c r="BC52" s="15" t="n">
        <v>1.2482</v>
      </c>
      <c r="BD52" s="11">
        <f>IF(M52=N52,0.5,(J52-N52)/(M52-N52))</f>
        <v/>
      </c>
      <c r="BE52" s="16" t="n">
        <v>14.933</v>
      </c>
      <c r="BF52" s="16" t="n">
        <v>10.179</v>
      </c>
      <c r="BG52" s="17">
        <f>100*(0.4*MIN(1,MAX(0,((U52*100)-(0.0))/((2.5)-(0.0))))+0.3*MIN(1,MAX(0,((V52)-(0.6))/((1.0)-(0.6))))+0.3*MIN(1,MAX(0,((BE52)-(0.0))/((15.0)-(0.0)))))</f>
        <v/>
      </c>
      <c r="BH52" s="17">
        <f>100*(0.4*MIN(1,MAX(0,((MIN(ABS(AA52),ABS(AB52)))-(0.75))/((0.0)-(0.75))))+0.3*MIN(1,MAX(0,((BC52)-(1.2))/((0.6)-(1.2))))+0.3*BD52)</f>
        <v/>
      </c>
      <c r="BI52" s="17">
        <f>100*(0.5*MIN(1,MAX(0,((AK52)-(1.0))/((4.0)-(1.0))))+0.3*MIN(1,MAX(0,((IF(ISNUMBER(AO52),AO52,0)*100)-(0.0))/((8.0)-(0.0))))+0.2*MIN(1,MAX(0,((IF(ISNUMBER(AP52),AP52,0))-(25.0))/((5.0)-(25.0)))))</f>
        <v/>
      </c>
      <c r="BJ52" s="17">
        <f>100*(0.35*MIN(1,MAX(0,((ABS(AU52))-(0.3))/((0.05)-(0.3))))+0.3*MIN(1,MAX(0,((AV52)-(0.0))/((0.3)-(0.0))))+0.25*MIN(1,MAX(0,((AW52)-(0.4))/((0.7)-(0.4))))+0.1*IF(AY52&gt;=2,1,0.5))</f>
        <v/>
      </c>
      <c r="BK52" s="18">
        <f>0.25*BG52+0.25*BH52+0.2*BI52+0.3*BJ52</f>
        <v/>
      </c>
      <c r="BL52" s="5" t="inlineStr">
        <is>
          <t>全部通過</t>
        </is>
      </c>
      <c r="BM52" s="5" t="inlineStr"/>
    </row>
    <row r="53">
      <c r="A53" s="5" t="n">
        <v>1</v>
      </c>
      <c r="B53" s="5" t="n">
        <v>52</v>
      </c>
      <c r="C53" s="6" t="inlineStr">
        <is>
          <t>NEU</t>
        </is>
      </c>
      <c r="D53" s="5" t="inlineStr">
        <is>
          <t>NewMarket Corp</t>
        </is>
      </c>
      <c r="E53" s="5" t="inlineStr">
        <is>
          <t>NYSE</t>
        </is>
      </c>
      <c r="F53" s="5" t="inlineStr">
        <is>
          <t>工業</t>
        </is>
      </c>
      <c r="G53" s="5" t="inlineStr">
        <is>
          <t>Major Chemicals</t>
        </is>
      </c>
      <c r="H53" s="7" t="n">
        <v>8.254</v>
      </c>
      <c r="I53" s="5" t="inlineStr">
        <is>
          <t>中型</t>
        </is>
      </c>
      <c r="J53" s="8" t="n">
        <v>921.14</v>
      </c>
      <c r="K53" s="8" t="n">
        <v>897.52</v>
      </c>
      <c r="L53" s="9">
        <f>J53/K53-1</f>
        <v/>
      </c>
      <c r="M53" s="8" t="n">
        <v>923.47</v>
      </c>
      <c r="N53" s="8" t="n">
        <v>893.05</v>
      </c>
      <c r="O53" s="10" t="n">
        <v>125100</v>
      </c>
      <c r="P53" s="10" t="n">
        <v>119955</v>
      </c>
      <c r="Q53" s="11">
        <f>O53/P53</f>
        <v/>
      </c>
      <c r="R53" s="8" t="n">
        <v>902.08</v>
      </c>
      <c r="S53" s="8" t="n">
        <v>897.3208</v>
      </c>
      <c r="T53" s="8" t="n">
        <v>891.1874</v>
      </c>
      <c r="U53" s="9">
        <f>S53/T53-1</f>
        <v/>
      </c>
      <c r="V53" s="12" t="n">
        <v>0.6</v>
      </c>
      <c r="W53" s="9">
        <f>J53/R53-1</f>
        <v/>
      </c>
      <c r="X53" s="9">
        <f>J53/S53-1</f>
        <v/>
      </c>
      <c r="Y53" s="8" t="n">
        <v>23.2389</v>
      </c>
      <c r="Z53" s="13">
        <f>Y53/J53</f>
        <v/>
      </c>
      <c r="AA53" s="11">
        <f>(J53-R53)/Y53</f>
        <v/>
      </c>
      <c r="AB53" s="11">
        <f>(J53-S53)/Y53</f>
        <v/>
      </c>
      <c r="AC53" s="5">
        <f>IF(ABS(AA53)&lt;=ABS(AB53),"9EMA","21EMA")</f>
        <v/>
      </c>
      <c r="AD53" s="5" t="inlineStr">
        <is>
          <t>9+21EMA</t>
        </is>
      </c>
      <c r="AE53" s="19" t="inlineStr">
        <is>
          <t>剛黃金交叉</t>
        </is>
      </c>
      <c r="AF53" s="5" t="inlineStr">
        <is>
          <t>✓</t>
        </is>
      </c>
      <c r="AG53" s="5" t="inlineStr"/>
      <c r="AH53" s="5" t="inlineStr">
        <is>
          <t>✓</t>
        </is>
      </c>
      <c r="AI53" s="5" t="inlineStr">
        <is>
          <t>2026-09-28</t>
        </is>
      </c>
      <c r="AJ53" s="5" t="n">
        <v>3</v>
      </c>
      <c r="AK53" s="14" t="n">
        <v>4</v>
      </c>
      <c r="AL53" s="5" t="inlineStr">
        <is>
          <t>2026-09-22</t>
        </is>
      </c>
      <c r="AM53" s="8" t="n">
        <v>874.71</v>
      </c>
      <c r="AN53" s="8" t="n">
        <v>833.4299999999999</v>
      </c>
      <c r="AO53" s="9">
        <f>IF(ISNUMBER(AN53),AM53/AN53-1,"")</f>
        <v/>
      </c>
      <c r="AP53" s="14" t="n">
        <v>7</v>
      </c>
      <c r="AQ53" s="9">
        <f>IF(ISNUMBER(AM53),J53/AM53-1,"")</f>
        <v/>
      </c>
      <c r="AR53" s="8" t="n">
        <v>921.14</v>
      </c>
      <c r="AS53" s="9">
        <f>J53/AR53-1</f>
        <v/>
      </c>
      <c r="AT53" s="5" t="inlineStr">
        <is>
          <t>上升三角（平頂）</t>
        </is>
      </c>
      <c r="AU53" s="15" t="n">
        <v>-0.0398</v>
      </c>
      <c r="AV53" s="15" t="n">
        <v>0.4979</v>
      </c>
      <c r="AW53" s="15" t="n">
        <v>0.5851</v>
      </c>
      <c r="AX53" s="15" t="n">
        <v>0.5145999999999999</v>
      </c>
      <c r="AY53" s="14" t="n">
        <v>3</v>
      </c>
      <c r="AZ53" s="8" t="n">
        <v>936.77</v>
      </c>
      <c r="BA53" s="8" t="n">
        <v>833.4299999999999</v>
      </c>
      <c r="BB53" s="8" t="n">
        <v>893.8921</v>
      </c>
      <c r="BC53" s="15" t="n">
        <v>0.9019</v>
      </c>
      <c r="BD53" s="11">
        <f>IF(M53=N53,0.5,(J53-N53)/(M53-N53))</f>
        <v/>
      </c>
      <c r="BE53" s="16" t="n">
        <v>6.749</v>
      </c>
      <c r="BF53" s="16" t="n">
        <v>1.995</v>
      </c>
      <c r="BG53" s="17">
        <f>100*(0.4*MIN(1,MAX(0,((U53*100)-(0.0))/((2.5)-(0.0))))+0.3*MIN(1,MAX(0,((V53)-(0.6))/((1.0)-(0.6))))+0.3*MIN(1,MAX(0,((BE53)-(0.0))/((15.0)-(0.0)))))</f>
        <v/>
      </c>
      <c r="BH53" s="17">
        <f>100*(0.4*MIN(1,MAX(0,((MIN(ABS(AA53),ABS(AB53)))-(0.75))/((0.0)-(0.75))))+0.3*MIN(1,MAX(0,((BC53)-(1.2))/((0.6)-(1.2))))+0.3*BD53)</f>
        <v/>
      </c>
      <c r="BI53" s="17">
        <f>100*(0.5*MIN(1,MAX(0,((AK53)-(1.0))/((4.0)-(1.0))))+0.3*MIN(1,MAX(0,((IF(ISNUMBER(AO53),AO53,0)*100)-(0.0))/((8.0)-(0.0))))+0.2*MIN(1,MAX(0,((IF(ISNUMBER(AP53),AP53,0))-(25.0))/((5.0)-(25.0)))))</f>
        <v/>
      </c>
      <c r="BJ53" s="17">
        <f>100*(0.35*MIN(1,MAX(0,((ABS(AU53))-(0.3))/((0.05)-(0.3))))+0.3*MIN(1,MAX(0,((AV53)-(0.0))/((0.3)-(0.0))))+0.25*MIN(1,MAX(0,((AW53)-(0.4))/((0.7)-(0.4))))+0.1*IF(AY53&gt;=2,1,0.5))</f>
        <v/>
      </c>
      <c r="BK53" s="18">
        <f>0.25*BG53+0.25*BH53+0.2*BI53+0.3*BJ53</f>
        <v/>
      </c>
      <c r="BL53" s="5" t="inlineStr">
        <is>
          <t>全部通過</t>
        </is>
      </c>
      <c r="BM53" s="5" t="inlineStr"/>
    </row>
    <row r="54">
      <c r="A54" s="5" t="n">
        <v>1</v>
      </c>
      <c r="B54" s="5" t="n">
        <v>53</v>
      </c>
      <c r="C54" s="6" t="inlineStr">
        <is>
          <t>EXEL</t>
        </is>
      </c>
      <c r="D54" s="5" t="inlineStr">
        <is>
          <t>Exelixis Inc.</t>
        </is>
      </c>
      <c r="E54" s="5" t="inlineStr">
        <is>
          <t>NASDAQ</t>
        </is>
      </c>
      <c r="F54" s="5" t="inlineStr">
        <is>
          <t>醫療保健</t>
        </is>
      </c>
      <c r="G54" s="5" t="inlineStr">
        <is>
          <t>Biotechnology: Biological Products (No Diagnostic Substances)</t>
        </is>
      </c>
      <c r="H54" s="7" t="n">
        <v>14.473</v>
      </c>
      <c r="I54" s="5" t="inlineStr">
        <is>
          <t>大型</t>
        </is>
      </c>
      <c r="J54" s="8" t="n">
        <v>57.94</v>
      </c>
      <c r="K54" s="8" t="n">
        <v>58.41</v>
      </c>
      <c r="L54" s="9">
        <f>J54/K54-1</f>
        <v/>
      </c>
      <c r="M54" s="8" t="n">
        <v>59.28</v>
      </c>
      <c r="N54" s="8" t="n">
        <v>57.76</v>
      </c>
      <c r="O54" s="10" t="n">
        <v>1369400</v>
      </c>
      <c r="P54" s="10" t="n">
        <v>2131605</v>
      </c>
      <c r="Q54" s="11">
        <f>O54/P54</f>
        <v/>
      </c>
      <c r="R54" s="8" t="n">
        <v>58.0236</v>
      </c>
      <c r="S54" s="8" t="n">
        <v>57.4456</v>
      </c>
      <c r="T54" s="8" t="n">
        <v>56.926</v>
      </c>
      <c r="U54" s="9">
        <f>S54/T54-1</f>
        <v/>
      </c>
      <c r="V54" s="12" t="n">
        <v>0.9</v>
      </c>
      <c r="W54" s="9">
        <f>J54/R54-1</f>
        <v/>
      </c>
      <c r="X54" s="9">
        <f>J54/S54-1</f>
        <v/>
      </c>
      <c r="Y54" s="8" t="n">
        <v>1.6709</v>
      </c>
      <c r="Z54" s="13">
        <f>Y54/J54</f>
        <v/>
      </c>
      <c r="AA54" s="11">
        <f>(J54-R54)/Y54</f>
        <v/>
      </c>
      <c r="AB54" s="11">
        <f>(J54-S54)/Y54</f>
        <v/>
      </c>
      <c r="AC54" s="5">
        <f>IF(ABS(AA54)&lt;=ABS(AB54),"9EMA","21EMA")</f>
        <v/>
      </c>
      <c r="AD54" s="5" t="inlineStr">
        <is>
          <t>9+21EMA</t>
        </is>
      </c>
      <c r="AE54" s="5" t="inlineStr">
        <is>
          <t>持續在上方</t>
        </is>
      </c>
      <c r="AF54" s="5" t="inlineStr"/>
      <c r="AG54" s="5" t="inlineStr"/>
      <c r="AH54" s="5" t="inlineStr">
        <is>
          <t>✓</t>
        </is>
      </c>
      <c r="AI54" s="5" t="inlineStr">
        <is>
          <t>2026-08-25</t>
        </is>
      </c>
      <c r="AJ54" s="5" t="n">
        <v>26</v>
      </c>
      <c r="AK54" s="14" t="n">
        <v>4</v>
      </c>
      <c r="AL54" s="5" t="inlineStr">
        <is>
          <t>2026-09-23</t>
        </is>
      </c>
      <c r="AM54" s="8" t="n">
        <v>56.26</v>
      </c>
      <c r="AN54" s="8" t="n">
        <v>54.55</v>
      </c>
      <c r="AO54" s="9">
        <f>IF(ISNUMBER(AN54),AM54/AN54-1,"")</f>
        <v/>
      </c>
      <c r="AP54" s="14" t="n">
        <v>6</v>
      </c>
      <c r="AQ54" s="9">
        <f>IF(ISNUMBER(AM54),J54/AM54-1,"")</f>
        <v/>
      </c>
      <c r="AR54" s="8" t="n">
        <v>58.65</v>
      </c>
      <c r="AS54" s="9">
        <f>J54/AR54-1</f>
        <v/>
      </c>
      <c r="AT54" s="5" t="inlineStr">
        <is>
          <t>上升三角（平頂）</t>
        </is>
      </c>
      <c r="AU54" s="15" t="n">
        <v>-0.0984</v>
      </c>
      <c r="AV54" s="15" t="n">
        <v>0.3053</v>
      </c>
      <c r="AW54" s="15" t="n">
        <v>0.5305</v>
      </c>
      <c r="AX54" s="15" t="n">
        <v>0.656</v>
      </c>
      <c r="AY54" s="14" t="n">
        <v>1</v>
      </c>
      <c r="AZ54" s="8" t="n">
        <v>61.14</v>
      </c>
      <c r="BA54" s="8" t="n">
        <v>53.43</v>
      </c>
      <c r="BB54" s="8" t="n">
        <v>57.5202</v>
      </c>
      <c r="BC54" s="15" t="n">
        <v>1.4208</v>
      </c>
      <c r="BD54" s="11">
        <f>IF(M54=N54,0.5,(J54-N54)/(M54-N54))</f>
        <v/>
      </c>
      <c r="BE54" s="16" t="n">
        <v>6.6</v>
      </c>
      <c r="BF54" s="16" t="n">
        <v>1.846</v>
      </c>
      <c r="BG54" s="17">
        <f>100*(0.4*MIN(1,MAX(0,((U54*100)-(0.0))/((2.5)-(0.0))))+0.3*MIN(1,MAX(0,((V54)-(0.6))/((1.0)-(0.6))))+0.3*MIN(1,MAX(0,((BE54)-(0.0))/((15.0)-(0.0)))))</f>
        <v/>
      </c>
      <c r="BH54" s="17">
        <f>100*(0.4*MIN(1,MAX(0,((MIN(ABS(AA54),ABS(AB54)))-(0.75))/((0.0)-(0.75))))+0.3*MIN(1,MAX(0,((BC54)-(1.2))/((0.6)-(1.2))))+0.3*BD54)</f>
        <v/>
      </c>
      <c r="BI54" s="17">
        <f>100*(0.5*MIN(1,MAX(0,((AK54)-(1.0))/((4.0)-(1.0))))+0.3*MIN(1,MAX(0,((IF(ISNUMBER(AO54),AO54,0)*100)-(0.0))/((8.0)-(0.0))))+0.2*MIN(1,MAX(0,((IF(ISNUMBER(AP54),AP54,0))-(25.0))/((5.0)-(25.0)))))</f>
        <v/>
      </c>
      <c r="BJ54" s="17">
        <f>100*(0.35*MIN(1,MAX(0,((ABS(AU54))-(0.3))/((0.05)-(0.3))))+0.3*MIN(1,MAX(0,((AV54)-(0.0))/((0.3)-(0.0))))+0.25*MIN(1,MAX(0,((AW54)-(0.4))/((0.7)-(0.4))))+0.1*IF(AY54&gt;=2,1,0.5))</f>
        <v/>
      </c>
      <c r="BK54" s="18">
        <f>0.25*BG54+0.25*BH54+0.2*BI54+0.3*BJ54</f>
        <v/>
      </c>
      <c r="BL54" s="5" t="inlineStr">
        <is>
          <t>全部通過</t>
        </is>
      </c>
      <c r="BM54" s="5" t="inlineStr"/>
    </row>
    <row r="55">
      <c r="A55" s="5" t="n">
        <v>1</v>
      </c>
      <c r="B55" s="5" t="n">
        <v>54</v>
      </c>
      <c r="C55" s="6" t="inlineStr">
        <is>
          <t>AZTA</t>
        </is>
      </c>
      <c r="D55" s="5" t="inlineStr">
        <is>
          <t>Azenta Inc.</t>
        </is>
      </c>
      <c r="E55" s="5" t="inlineStr">
        <is>
          <t>NASDAQ</t>
        </is>
      </c>
      <c r="F55" s="5" t="inlineStr">
        <is>
          <t>科技</t>
        </is>
      </c>
      <c r="G55" s="5" t="inlineStr">
        <is>
          <t>Industrial Machinery/Components</t>
        </is>
      </c>
      <c r="H55" s="7" t="n">
        <v>1.528</v>
      </c>
      <c r="I55" s="5" t="inlineStr">
        <is>
          <t>小型</t>
        </is>
      </c>
      <c r="J55" s="8" t="n">
        <v>34.48</v>
      </c>
      <c r="K55" s="8" t="n">
        <v>34.89</v>
      </c>
      <c r="L55" s="9">
        <f>J55/K55-1</f>
        <v/>
      </c>
      <c r="M55" s="8" t="n">
        <v>35.03</v>
      </c>
      <c r="N55" s="8" t="n">
        <v>34.19</v>
      </c>
      <c r="O55" s="10" t="n">
        <v>936000</v>
      </c>
      <c r="P55" s="10" t="n">
        <v>860225</v>
      </c>
      <c r="Q55" s="11">
        <f>O55/P55</f>
        <v/>
      </c>
      <c r="R55" s="8" t="n">
        <v>34.1241</v>
      </c>
      <c r="S55" s="8" t="n">
        <v>33.4234</v>
      </c>
      <c r="T55" s="8" t="n">
        <v>32.8192</v>
      </c>
      <c r="U55" s="9">
        <f>S55/T55-1</f>
        <v/>
      </c>
      <c r="V55" s="12" t="n">
        <v>1</v>
      </c>
      <c r="W55" s="9">
        <f>J55/R55-1</f>
        <v/>
      </c>
      <c r="X55" s="9">
        <f>J55/S55-1</f>
        <v/>
      </c>
      <c r="Y55" s="8" t="n">
        <v>1.1668</v>
      </c>
      <c r="Z55" s="13">
        <f>Y55/J55</f>
        <v/>
      </c>
      <c r="AA55" s="11">
        <f>(J55-R55)/Y55</f>
        <v/>
      </c>
      <c r="AB55" s="11">
        <f>(J55-S55)/Y55</f>
        <v/>
      </c>
      <c r="AC55" s="5">
        <f>IF(ABS(AA55)&lt;=ABS(AB55),"9EMA","21EMA")</f>
        <v/>
      </c>
      <c r="AD55" s="5" t="inlineStr">
        <is>
          <t>9EMA</t>
        </is>
      </c>
      <c r="AE55" s="5" t="inlineStr">
        <is>
          <t>持續在上方</t>
        </is>
      </c>
      <c r="AF55" s="5" t="inlineStr"/>
      <c r="AG55" s="5" t="inlineStr"/>
      <c r="AH55" s="5" t="inlineStr">
        <is>
          <t>✓</t>
        </is>
      </c>
      <c r="AI55" s="5" t="inlineStr">
        <is>
          <t>2026-09-16</t>
        </is>
      </c>
      <c r="AJ55" s="5" t="n">
        <v>11</v>
      </c>
      <c r="AK55" s="14" t="n">
        <v>2</v>
      </c>
      <c r="AL55" s="5" t="inlineStr">
        <is>
          <t>2026-09-28</t>
        </is>
      </c>
      <c r="AM55" s="8" t="n">
        <v>33.28</v>
      </c>
      <c r="AN55" s="8" t="n">
        <v>29.64</v>
      </c>
      <c r="AO55" s="9">
        <f>IF(ISNUMBER(AN55),AM55/AN55-1,"")</f>
        <v/>
      </c>
      <c r="AP55" s="14" t="n">
        <v>3</v>
      </c>
      <c r="AQ55" s="9">
        <f>IF(ISNUMBER(AM55),J55/AM55-1,"")</f>
        <v/>
      </c>
      <c r="AR55" s="8" t="n">
        <v>34.89</v>
      </c>
      <c r="AS55" s="9">
        <f>J55/AR55-1</f>
        <v/>
      </c>
      <c r="AT55" s="5" t="inlineStr">
        <is>
          <t>上傾收窄（楔形）</t>
        </is>
      </c>
      <c r="AU55" s="15" t="n">
        <v>0.3487</v>
      </c>
      <c r="AV55" s="15" t="n">
        <v>0.4999</v>
      </c>
      <c r="AW55" s="15" t="n">
        <v>0.5617</v>
      </c>
      <c r="AX55" s="15" t="n">
        <v>0.5561</v>
      </c>
      <c r="AY55" s="14" t="n">
        <v>5</v>
      </c>
      <c r="AZ55" s="8" t="n">
        <v>35.24</v>
      </c>
      <c r="BA55" s="8" t="n">
        <v>29.64</v>
      </c>
      <c r="BB55" s="8" t="n">
        <v>32.7857</v>
      </c>
      <c r="BC55" s="15" t="n">
        <v>1.1195</v>
      </c>
      <c r="BD55" s="11">
        <f>IF(M55=N55,0.5,(J55-N55)/(M55-N55))</f>
        <v/>
      </c>
      <c r="BE55" s="16" t="n">
        <v>13.972</v>
      </c>
      <c r="BF55" s="16" t="n">
        <v>9.218</v>
      </c>
      <c r="BG55" s="17">
        <f>100*(0.4*MIN(1,MAX(0,((U55*100)-(0.0))/((2.5)-(0.0))))+0.3*MIN(1,MAX(0,((V55)-(0.6))/((1.0)-(0.6))))+0.3*MIN(1,MAX(0,((BE55)-(0.0))/((15.0)-(0.0)))))</f>
        <v/>
      </c>
      <c r="BH55" s="17">
        <f>100*(0.4*MIN(1,MAX(0,((MIN(ABS(AA55),ABS(AB55)))-(0.75))/((0.0)-(0.75))))+0.3*MIN(1,MAX(0,((BC55)-(1.2))/((0.6)-(1.2))))+0.3*BD55)</f>
        <v/>
      </c>
      <c r="BI55" s="17">
        <f>100*(0.5*MIN(1,MAX(0,((AK55)-(1.0))/((4.0)-(1.0))))+0.3*MIN(1,MAX(0,((IF(ISNUMBER(AO55),AO55,0)*100)-(0.0))/((8.0)-(0.0))))+0.2*MIN(1,MAX(0,((IF(ISNUMBER(AP55),AP55,0))-(25.0))/((5.0)-(25.0)))))</f>
        <v/>
      </c>
      <c r="BJ55" s="17">
        <f>100*(0.35*MIN(1,MAX(0,((ABS(AU55))-(0.3))/((0.05)-(0.3))))+0.3*MIN(1,MAX(0,((AV55)-(0.0))/((0.3)-(0.0))))+0.25*MIN(1,MAX(0,((AW55)-(0.4))/((0.7)-(0.4))))+0.1*IF(AY55&gt;=2,1,0.5))</f>
        <v/>
      </c>
      <c r="BK55" s="18">
        <f>0.25*BG55+0.25*BH55+0.2*BI55+0.3*BJ55</f>
        <v/>
      </c>
      <c r="BL55" s="5" t="inlineStr">
        <is>
          <t>全部通過</t>
        </is>
      </c>
      <c r="BM55" s="5" t="inlineStr"/>
    </row>
    <row r="56">
      <c r="A56" s="5" t="n">
        <v>1</v>
      </c>
      <c r="B56" s="5" t="n">
        <v>55</v>
      </c>
      <c r="C56" s="6" t="inlineStr">
        <is>
          <t>SWBI</t>
        </is>
      </c>
      <c r="D56" s="5" t="inlineStr">
        <is>
          <t>Smith &amp; Wesson Brands Inc.</t>
        </is>
      </c>
      <c r="E56" s="5" t="inlineStr">
        <is>
          <t>NASDAQ</t>
        </is>
      </c>
      <c r="F56" s="5" t="inlineStr">
        <is>
          <t>工業</t>
        </is>
      </c>
      <c r="G56" s="5" t="inlineStr">
        <is>
          <t>Ordnance And Accessories</t>
        </is>
      </c>
      <c r="H56" s="7" t="n">
        <v>0.63</v>
      </c>
      <c r="I56" s="5" t="inlineStr">
        <is>
          <t>小型</t>
        </is>
      </c>
      <c r="J56" s="8" t="n">
        <v>14.41</v>
      </c>
      <c r="K56" s="8" t="n">
        <v>14.06</v>
      </c>
      <c r="L56" s="9">
        <f>J56/K56-1</f>
        <v/>
      </c>
      <c r="M56" s="8" t="n">
        <v>14.43</v>
      </c>
      <c r="N56" s="8" t="n">
        <v>14.03</v>
      </c>
      <c r="O56" s="10" t="n">
        <v>439000</v>
      </c>
      <c r="P56" s="10" t="n">
        <v>678300</v>
      </c>
      <c r="Q56" s="11">
        <f>O56/P56</f>
        <v/>
      </c>
      <c r="R56" s="8" t="n">
        <v>14.0244</v>
      </c>
      <c r="S56" s="8" t="n">
        <v>13.7931</v>
      </c>
      <c r="T56" s="8" t="n">
        <v>13.5623</v>
      </c>
      <c r="U56" s="9">
        <f>S56/T56-1</f>
        <v/>
      </c>
      <c r="V56" s="12" t="n">
        <v>1</v>
      </c>
      <c r="W56" s="9">
        <f>J56/R56-1</f>
        <v/>
      </c>
      <c r="X56" s="9">
        <f>J56/S56-1</f>
        <v/>
      </c>
      <c r="Y56" s="8" t="n">
        <v>0.3878</v>
      </c>
      <c r="Z56" s="13">
        <f>Y56/J56</f>
        <v/>
      </c>
      <c r="AA56" s="11">
        <f>(J56-R56)/Y56</f>
        <v/>
      </c>
      <c r="AB56" s="11">
        <f>(J56-S56)/Y56</f>
        <v/>
      </c>
      <c r="AC56" s="5">
        <f>IF(ABS(AA56)&lt;=ABS(AB56),"9EMA","21EMA")</f>
        <v/>
      </c>
      <c r="AD56" s="5" t="inlineStr">
        <is>
          <t>9EMA</t>
        </is>
      </c>
      <c r="AE56" s="5" t="inlineStr">
        <is>
          <t>持續在上方</t>
        </is>
      </c>
      <c r="AF56" s="5" t="inlineStr"/>
      <c r="AG56" s="5" t="inlineStr"/>
      <c r="AH56" s="5" t="inlineStr">
        <is>
          <t>✓</t>
        </is>
      </c>
      <c r="AI56" s="5" t="inlineStr">
        <is>
          <t>2026-09-22</t>
        </is>
      </c>
      <c r="AJ56" s="5" t="n">
        <v>7</v>
      </c>
      <c r="AK56" s="14" t="n">
        <v>2</v>
      </c>
      <c r="AL56" s="5" t="inlineStr">
        <is>
          <t>2026-09-17</t>
        </is>
      </c>
      <c r="AM56" s="8" t="n">
        <v>12.9</v>
      </c>
      <c r="AN56" s="8" t="n">
        <v>12.09</v>
      </c>
      <c r="AO56" s="9">
        <f>IF(ISNUMBER(AN56),AM56/AN56-1,"")</f>
        <v/>
      </c>
      <c r="AP56" s="14" t="n">
        <v>10</v>
      </c>
      <c r="AQ56" s="9">
        <f>IF(ISNUMBER(AM56),J56/AM56-1,"")</f>
        <v/>
      </c>
      <c r="AR56" s="8" t="n">
        <v>14.41</v>
      </c>
      <c r="AS56" s="9">
        <f>J56/AR56-1</f>
        <v/>
      </c>
      <c r="AT56" s="5" t="inlineStr">
        <is>
          <t>上傾收窄（楔形）</t>
        </is>
      </c>
      <c r="AU56" s="15" t="n">
        <v>0.4053</v>
      </c>
      <c r="AV56" s="15" t="n">
        <v>0.6246</v>
      </c>
      <c r="AW56" s="15" t="n">
        <v>0.5124</v>
      </c>
      <c r="AX56" s="15" t="n">
        <v>0.4762</v>
      </c>
      <c r="AY56" s="14" t="n">
        <v>3</v>
      </c>
      <c r="AZ56" s="8" t="n">
        <v>14.43</v>
      </c>
      <c r="BA56" s="8" t="n">
        <v>12.09</v>
      </c>
      <c r="BB56" s="8" t="n">
        <v>13.289</v>
      </c>
      <c r="BC56" s="15" t="n">
        <v>0.7484</v>
      </c>
      <c r="BD56" s="11">
        <f>IF(M56=N56,0.5,(J56-N56)/(M56-N56))</f>
        <v/>
      </c>
      <c r="BE56" s="16" t="n">
        <v>17.597</v>
      </c>
      <c r="BF56" s="16" t="n">
        <v>12.843</v>
      </c>
      <c r="BG56" s="17">
        <f>100*(0.4*MIN(1,MAX(0,((U56*100)-(0.0))/((2.5)-(0.0))))+0.3*MIN(1,MAX(0,((V56)-(0.6))/((1.0)-(0.6))))+0.3*MIN(1,MAX(0,((BE56)-(0.0))/((15.0)-(0.0)))))</f>
        <v/>
      </c>
      <c r="BH56" s="17">
        <f>100*(0.4*MIN(1,MAX(0,((MIN(ABS(AA56),ABS(AB56)))-(0.75))/((0.0)-(0.75))))+0.3*MIN(1,MAX(0,((BC56)-(1.2))/((0.6)-(1.2))))+0.3*BD56)</f>
        <v/>
      </c>
      <c r="BI56" s="17">
        <f>100*(0.5*MIN(1,MAX(0,((AK56)-(1.0))/((4.0)-(1.0))))+0.3*MIN(1,MAX(0,((IF(ISNUMBER(AO56),AO56,0)*100)-(0.0))/((8.0)-(0.0))))+0.2*MIN(1,MAX(0,((IF(ISNUMBER(AP56),AP56,0))-(25.0))/((5.0)-(25.0)))))</f>
        <v/>
      </c>
      <c r="BJ56" s="17">
        <f>100*(0.35*MIN(1,MAX(0,((ABS(AU56))-(0.3))/((0.05)-(0.3))))+0.3*MIN(1,MAX(0,((AV56)-(0.0))/((0.3)-(0.0))))+0.25*MIN(1,MAX(0,((AW56)-(0.4))/((0.7)-(0.4))))+0.1*IF(AY56&gt;=2,1,0.5))</f>
        <v/>
      </c>
      <c r="BK56" s="18">
        <f>0.25*BG56+0.25*BH56+0.2*BI56+0.3*BJ56</f>
        <v/>
      </c>
      <c r="BL56" s="5" t="inlineStr">
        <is>
          <t>全部通過</t>
        </is>
      </c>
      <c r="BM56" s="5" t="inlineStr"/>
    </row>
    <row r="57">
      <c r="A57" s="5" t="n">
        <v>1</v>
      </c>
      <c r="B57" s="5" t="n">
        <v>56</v>
      </c>
      <c r="C57" s="6" t="inlineStr">
        <is>
          <t>CSTL</t>
        </is>
      </c>
      <c r="D57" s="5" t="inlineStr">
        <is>
          <t>Castle Biosciences Inc.</t>
        </is>
      </c>
      <c r="E57" s="5" t="inlineStr">
        <is>
          <t>NASDAQ</t>
        </is>
      </c>
      <c r="F57" s="5" t="inlineStr">
        <is>
          <t>醫療保健</t>
        </is>
      </c>
      <c r="G57" s="5" t="inlineStr">
        <is>
          <t>Medical Specialities</t>
        </is>
      </c>
      <c r="H57" s="7" t="n">
        <v>1.085</v>
      </c>
      <c r="I57" s="5" t="inlineStr">
        <is>
          <t>小型</t>
        </is>
      </c>
      <c r="J57" s="8" t="n">
        <v>35.255</v>
      </c>
      <c r="K57" s="8" t="n">
        <v>35.53</v>
      </c>
      <c r="L57" s="9">
        <f>J57/K57-1</f>
        <v/>
      </c>
      <c r="M57" s="8" t="n">
        <v>36.99</v>
      </c>
      <c r="N57" s="8" t="n">
        <v>35.17</v>
      </c>
      <c r="O57" s="10" t="n">
        <v>522300</v>
      </c>
      <c r="P57" s="10" t="n">
        <v>361270</v>
      </c>
      <c r="Q57" s="11">
        <f>O57/P57</f>
        <v/>
      </c>
      <c r="R57" s="8" t="n">
        <v>35.2251</v>
      </c>
      <c r="S57" s="8" t="n">
        <v>34.4861</v>
      </c>
      <c r="T57" s="8" t="n">
        <v>33.8957</v>
      </c>
      <c r="U57" s="9">
        <f>S57/T57-1</f>
        <v/>
      </c>
      <c r="V57" s="12" t="n">
        <v>1</v>
      </c>
      <c r="W57" s="9">
        <f>J57/R57-1</f>
        <v/>
      </c>
      <c r="X57" s="9">
        <f>J57/S57-1</f>
        <v/>
      </c>
      <c r="Y57" s="8" t="n">
        <v>1.5727</v>
      </c>
      <c r="Z57" s="13">
        <f>Y57/J57</f>
        <v/>
      </c>
      <c r="AA57" s="11">
        <f>(J57-R57)/Y57</f>
        <v/>
      </c>
      <c r="AB57" s="11">
        <f>(J57-S57)/Y57</f>
        <v/>
      </c>
      <c r="AC57" s="5">
        <f>IF(ABS(AA57)&lt;=ABS(AB57),"9EMA","21EMA")</f>
        <v/>
      </c>
      <c r="AD57" s="5" t="inlineStr">
        <is>
          <t>9+21EMA</t>
        </is>
      </c>
      <c r="AE57" s="5" t="inlineStr">
        <is>
          <t>持續在上方</t>
        </is>
      </c>
      <c r="AF57" s="5" t="inlineStr"/>
      <c r="AG57" s="5" t="inlineStr"/>
      <c r="AH57" s="5" t="inlineStr">
        <is>
          <t>✓</t>
        </is>
      </c>
      <c r="AI57" s="5" t="inlineStr">
        <is>
          <t>2026-06-23</t>
        </is>
      </c>
      <c r="AJ57" s="5" t="n">
        <v>70</v>
      </c>
      <c r="AK57" s="14" t="n">
        <v>2</v>
      </c>
      <c r="AL57" s="5" t="inlineStr">
        <is>
          <t>2026-09-24</t>
        </is>
      </c>
      <c r="AM57" s="8" t="n">
        <v>33.9</v>
      </c>
      <c r="AN57" s="8" t="n">
        <v>31.44</v>
      </c>
      <c r="AO57" s="9">
        <f>IF(ISNUMBER(AN57),AM57/AN57-1,"")</f>
        <v/>
      </c>
      <c r="AP57" s="14" t="n">
        <v>5</v>
      </c>
      <c r="AQ57" s="9">
        <f>IF(ISNUMBER(AM57),J57/AM57-1,"")</f>
        <v/>
      </c>
      <c r="AR57" s="8" t="n">
        <v>36.78</v>
      </c>
      <c r="AS57" s="9">
        <f>J57/AR57-1</f>
        <v/>
      </c>
      <c r="AT57" s="5" t="inlineStr">
        <is>
          <t>上傾擴張</t>
        </is>
      </c>
      <c r="AU57" s="15" t="n">
        <v>0.6012999999999999</v>
      </c>
      <c r="AV57" s="15" t="n">
        <v>0.2871</v>
      </c>
      <c r="AW57" s="15" t="n">
        <v>0.5714</v>
      </c>
      <c r="AX57" s="15" t="n">
        <v>0.5149</v>
      </c>
      <c r="AY57" s="14" t="n">
        <v>4</v>
      </c>
      <c r="AZ57" s="8" t="n">
        <v>36.99</v>
      </c>
      <c r="BA57" s="8" t="n">
        <v>31.44</v>
      </c>
      <c r="BB57" s="8" t="n">
        <v>34.6115</v>
      </c>
      <c r="BC57" s="15" t="n">
        <v>1.0481</v>
      </c>
      <c r="BD57" s="11">
        <f>IF(M57=N57,0.5,(J57-N57)/(M57-N57))</f>
        <v/>
      </c>
      <c r="BE57" s="16" t="n">
        <v>10.182</v>
      </c>
      <c r="BF57" s="16" t="n">
        <v>5.428</v>
      </c>
      <c r="BG57" s="17">
        <f>100*(0.4*MIN(1,MAX(0,((U57*100)-(0.0))/((2.5)-(0.0))))+0.3*MIN(1,MAX(0,((V57)-(0.6))/((1.0)-(0.6))))+0.3*MIN(1,MAX(0,((BE57)-(0.0))/((15.0)-(0.0)))))</f>
        <v/>
      </c>
      <c r="BH57" s="17">
        <f>100*(0.4*MIN(1,MAX(0,((MIN(ABS(AA57),ABS(AB57)))-(0.75))/((0.0)-(0.75))))+0.3*MIN(1,MAX(0,((BC57)-(1.2))/((0.6)-(1.2))))+0.3*BD57)</f>
        <v/>
      </c>
      <c r="BI57" s="17">
        <f>100*(0.5*MIN(1,MAX(0,((AK57)-(1.0))/((4.0)-(1.0))))+0.3*MIN(1,MAX(0,((IF(ISNUMBER(AO57),AO57,0)*100)-(0.0))/((8.0)-(0.0))))+0.2*MIN(1,MAX(0,((IF(ISNUMBER(AP57),AP57,0))-(25.0))/((5.0)-(25.0)))))</f>
        <v/>
      </c>
      <c r="BJ57" s="17">
        <f>100*(0.35*MIN(1,MAX(0,((ABS(AU57))-(0.3))/((0.05)-(0.3))))+0.3*MIN(1,MAX(0,((AV57)-(0.0))/((0.3)-(0.0))))+0.25*MIN(1,MAX(0,((AW57)-(0.4))/((0.7)-(0.4))))+0.1*IF(AY57&gt;=2,1,0.5))</f>
        <v/>
      </c>
      <c r="BK57" s="18">
        <f>0.25*BG57+0.25*BH57+0.2*BI57+0.3*BJ57</f>
        <v/>
      </c>
      <c r="BL57" s="5" t="inlineStr">
        <is>
          <t>全部通過</t>
        </is>
      </c>
      <c r="BM57" s="5" t="inlineStr"/>
    </row>
    <row r="58">
      <c r="A58" s="5" t="n">
        <v>1</v>
      </c>
      <c r="B58" s="5" t="n">
        <v>57</v>
      </c>
      <c r="C58" s="6" t="inlineStr">
        <is>
          <t>PBYI</t>
        </is>
      </c>
      <c r="D58" s="5" t="inlineStr">
        <is>
          <t>Puma Biotechnology Inc</t>
        </is>
      </c>
      <c r="E58" s="5" t="inlineStr">
        <is>
          <t>NASDAQ</t>
        </is>
      </c>
      <c r="F58" s="5" t="inlineStr">
        <is>
          <t>醫療保健</t>
        </is>
      </c>
      <c r="G58" s="5" t="inlineStr">
        <is>
          <t>Biotechnology: Pharmaceutical Preparations</t>
        </is>
      </c>
      <c r="H58" s="7" t="n">
        <v>0.513</v>
      </c>
      <c r="I58" s="5" t="inlineStr">
        <is>
          <t>小型</t>
        </is>
      </c>
      <c r="J58" s="8" t="n">
        <v>9.84</v>
      </c>
      <c r="K58" s="8" t="n">
        <v>9.93</v>
      </c>
      <c r="L58" s="9">
        <f>J58/K58-1</f>
        <v/>
      </c>
      <c r="M58" s="8" t="n">
        <v>10.08</v>
      </c>
      <c r="N58" s="8" t="n">
        <v>9.77</v>
      </c>
      <c r="O58" s="10" t="n">
        <v>518400</v>
      </c>
      <c r="P58" s="10" t="n">
        <v>309220</v>
      </c>
      <c r="Q58" s="11">
        <f>O58/P58</f>
        <v/>
      </c>
      <c r="R58" s="8" t="n">
        <v>9.735799999999999</v>
      </c>
      <c r="S58" s="8" t="n">
        <v>9.5327</v>
      </c>
      <c r="T58" s="8" t="n">
        <v>9.349500000000001</v>
      </c>
      <c r="U58" s="9">
        <f>S58/T58-1</f>
        <v/>
      </c>
      <c r="V58" s="12" t="n">
        <v>0.9</v>
      </c>
      <c r="W58" s="9">
        <f>J58/R58-1</f>
        <v/>
      </c>
      <c r="X58" s="9">
        <f>J58/S58-1</f>
        <v/>
      </c>
      <c r="Y58" s="8" t="n">
        <v>0.3794</v>
      </c>
      <c r="Z58" s="13">
        <f>Y58/J58</f>
        <v/>
      </c>
      <c r="AA58" s="11">
        <f>(J58-R58)/Y58</f>
        <v/>
      </c>
      <c r="AB58" s="11">
        <f>(J58-S58)/Y58</f>
        <v/>
      </c>
      <c r="AC58" s="5">
        <f>IF(ABS(AA58)&lt;=ABS(AB58),"9EMA","21EMA")</f>
        <v/>
      </c>
      <c r="AD58" s="5" t="inlineStr">
        <is>
          <t>9EMA</t>
        </is>
      </c>
      <c r="AE58" s="5" t="inlineStr">
        <is>
          <t>持續在上方</t>
        </is>
      </c>
      <c r="AF58" s="5" t="inlineStr"/>
      <c r="AG58" s="5" t="inlineStr"/>
      <c r="AH58" s="5" t="inlineStr">
        <is>
          <t>✓</t>
        </is>
      </c>
      <c r="AI58" s="5" t="inlineStr">
        <is>
          <t>2026-08-07</t>
        </is>
      </c>
      <c r="AJ58" s="5" t="n">
        <v>38</v>
      </c>
      <c r="AK58" s="14" t="n">
        <v>4</v>
      </c>
      <c r="AL58" s="5" t="inlineStr">
        <is>
          <t>2026-09-24</t>
        </is>
      </c>
      <c r="AM58" s="8" t="n">
        <v>9.02</v>
      </c>
      <c r="AN58" s="8" t="n">
        <v>8.85</v>
      </c>
      <c r="AO58" s="9">
        <f>IF(ISNUMBER(AN58),AM58/AN58-1,"")</f>
        <v/>
      </c>
      <c r="AP58" s="14" t="n">
        <v>5</v>
      </c>
      <c r="AQ58" s="9">
        <f>IF(ISNUMBER(AM58),J58/AM58-1,"")</f>
        <v/>
      </c>
      <c r="AR58" s="8" t="n">
        <v>9.93</v>
      </c>
      <c r="AS58" s="9">
        <f>J58/AR58-1</f>
        <v/>
      </c>
      <c r="AT58" s="5" t="inlineStr">
        <is>
          <t>上傾擴張</t>
        </is>
      </c>
      <c r="AU58" s="15" t="n">
        <v>0.1876</v>
      </c>
      <c r="AV58" s="15" t="n">
        <v>0.1436</v>
      </c>
      <c r="AW58" s="15" t="n">
        <v>0.537</v>
      </c>
      <c r="AX58" s="15" t="n">
        <v>0.4986</v>
      </c>
      <c r="AY58" s="14" t="n">
        <v>3</v>
      </c>
      <c r="AZ58" s="8" t="n">
        <v>10.1</v>
      </c>
      <c r="BA58" s="8" t="n">
        <v>8.779999999999999</v>
      </c>
      <c r="BB58" s="8" t="n">
        <v>9.488799999999999</v>
      </c>
      <c r="BC58" s="15" t="n">
        <v>0.9413</v>
      </c>
      <c r="BD58" s="11">
        <f>IF(M58=N58,0.5,(J58-N58)/(M58-N58))</f>
        <v/>
      </c>
      <c r="BE58" s="16" t="n">
        <v>9.994999999999999</v>
      </c>
      <c r="BF58" s="16" t="n">
        <v>5.241</v>
      </c>
      <c r="BG58" s="17">
        <f>100*(0.4*MIN(1,MAX(0,((U58*100)-(0.0))/((2.5)-(0.0))))+0.3*MIN(1,MAX(0,((V58)-(0.6))/((1.0)-(0.6))))+0.3*MIN(1,MAX(0,((BE58)-(0.0))/((15.0)-(0.0)))))</f>
        <v/>
      </c>
      <c r="BH58" s="17">
        <f>100*(0.4*MIN(1,MAX(0,((MIN(ABS(AA58),ABS(AB58)))-(0.75))/((0.0)-(0.75))))+0.3*MIN(1,MAX(0,((BC58)-(1.2))/((0.6)-(1.2))))+0.3*BD58)</f>
        <v/>
      </c>
      <c r="BI58" s="17">
        <f>100*(0.5*MIN(1,MAX(0,((AK58)-(1.0))/((4.0)-(1.0))))+0.3*MIN(1,MAX(0,((IF(ISNUMBER(AO58),AO58,0)*100)-(0.0))/((8.0)-(0.0))))+0.2*MIN(1,MAX(0,((IF(ISNUMBER(AP58),AP58,0))-(25.0))/((5.0)-(25.0)))))</f>
        <v/>
      </c>
      <c r="BJ58" s="17">
        <f>100*(0.35*MIN(1,MAX(0,((ABS(AU58))-(0.3))/((0.05)-(0.3))))+0.3*MIN(1,MAX(0,((AV58)-(0.0))/((0.3)-(0.0))))+0.25*MIN(1,MAX(0,((AW58)-(0.4))/((0.7)-(0.4))))+0.1*IF(AY58&gt;=2,1,0.5))</f>
        <v/>
      </c>
      <c r="BK58" s="18">
        <f>0.25*BG58+0.25*BH58+0.2*BI58+0.3*BJ58</f>
        <v/>
      </c>
      <c r="BL58" s="5" t="inlineStr">
        <is>
          <t>全部通過</t>
        </is>
      </c>
      <c r="BM58" s="5" t="inlineStr"/>
    </row>
    <row r="59">
      <c r="A59" s="5" t="n">
        <v>1</v>
      </c>
      <c r="B59" s="5" t="n">
        <v>58</v>
      </c>
      <c r="C59" s="6" t="inlineStr">
        <is>
          <t>HWKN</t>
        </is>
      </c>
      <c r="D59" s="5" t="inlineStr">
        <is>
          <t>Hawkins Inc.</t>
        </is>
      </c>
      <c r="E59" s="5" t="inlineStr">
        <is>
          <t>NASDAQ</t>
        </is>
      </c>
      <c r="F59" s="5" t="inlineStr">
        <is>
          <t>非必需消費</t>
        </is>
      </c>
      <c r="G59" s="5" t="inlineStr">
        <is>
          <t>Specialty Chemicals</t>
        </is>
      </c>
      <c r="H59" s="7" t="n">
        <v>2.63</v>
      </c>
      <c r="I59" s="5" t="inlineStr">
        <is>
          <t>中型</t>
        </is>
      </c>
      <c r="J59" s="8" t="n">
        <v>127.19</v>
      </c>
      <c r="K59" s="8" t="n">
        <v>126</v>
      </c>
      <c r="L59" s="9">
        <f>J59/K59-1</f>
        <v/>
      </c>
      <c r="M59" s="8" t="n">
        <v>127.32</v>
      </c>
      <c r="N59" s="8" t="n">
        <v>123.23</v>
      </c>
      <c r="O59" s="10" t="n">
        <v>165500</v>
      </c>
      <c r="P59" s="10" t="n">
        <v>186630</v>
      </c>
      <c r="Q59" s="11">
        <f>O59/P59</f>
        <v/>
      </c>
      <c r="R59" s="8" t="n">
        <v>126.1157</v>
      </c>
      <c r="S59" s="8" t="n">
        <v>125.4812</v>
      </c>
      <c r="T59" s="8" t="n">
        <v>124.4678</v>
      </c>
      <c r="U59" s="9">
        <f>S59/T59-1</f>
        <v/>
      </c>
      <c r="V59" s="12" t="n">
        <v>0.8</v>
      </c>
      <c r="W59" s="9">
        <f>J59/R59-1</f>
        <v/>
      </c>
      <c r="X59" s="9">
        <f>J59/S59-1</f>
        <v/>
      </c>
      <c r="Y59" s="8" t="n">
        <v>3.9301</v>
      </c>
      <c r="Z59" s="13">
        <f>Y59/J59</f>
        <v/>
      </c>
      <c r="AA59" s="11">
        <f>(J59-R59)/Y59</f>
        <v/>
      </c>
      <c r="AB59" s="11">
        <f>(J59-S59)/Y59</f>
        <v/>
      </c>
      <c r="AC59" s="5">
        <f>IF(ABS(AA59)&lt;=ABS(AB59),"9EMA","21EMA")</f>
        <v/>
      </c>
      <c r="AD59" s="5" t="inlineStr">
        <is>
          <t>9+21EMA</t>
        </is>
      </c>
      <c r="AE59" s="19" t="inlineStr">
        <is>
          <t>剛黃金交叉</t>
        </is>
      </c>
      <c r="AF59" s="5" t="inlineStr">
        <is>
          <t>✓</t>
        </is>
      </c>
      <c r="AG59" s="5" t="inlineStr"/>
      <c r="AH59" s="5" t="inlineStr">
        <is>
          <t>✓</t>
        </is>
      </c>
      <c r="AI59" s="5" t="inlineStr">
        <is>
          <t>2026-09-25</t>
        </is>
      </c>
      <c r="AJ59" s="5" t="n">
        <v>4</v>
      </c>
      <c r="AK59" s="14" t="n">
        <v>2</v>
      </c>
      <c r="AL59" s="5" t="inlineStr">
        <is>
          <t>2026-09-15</t>
        </is>
      </c>
      <c r="AM59" s="8" t="n">
        <v>118.71</v>
      </c>
      <c r="AN59" s="8" t="n">
        <v>116.05</v>
      </c>
      <c r="AO59" s="9">
        <f>IF(ISNUMBER(AN59),AM59/AN59-1,"")</f>
        <v/>
      </c>
      <c r="AP59" s="14" t="n">
        <v>12</v>
      </c>
      <c r="AQ59" s="9">
        <f>IF(ISNUMBER(AM59),J59/AM59-1,"")</f>
        <v/>
      </c>
      <c r="AR59" s="8" t="n">
        <v>129.03</v>
      </c>
      <c r="AS59" s="9">
        <f>J59/AR59-1</f>
        <v/>
      </c>
      <c r="AT59" s="5" t="inlineStr">
        <is>
          <t>上升三角（平頂）</t>
        </is>
      </c>
      <c r="AU59" s="15" t="n">
        <v>-0.0298</v>
      </c>
      <c r="AV59" s="15" t="n">
        <v>0.1743</v>
      </c>
      <c r="AW59" s="15" t="n">
        <v>0.5789</v>
      </c>
      <c r="AX59" s="15" t="n">
        <v>0.5794</v>
      </c>
      <c r="AY59" s="14" t="n">
        <v>6</v>
      </c>
      <c r="AZ59" s="8" t="n">
        <v>130.52</v>
      </c>
      <c r="BA59" s="8" t="n">
        <v>116.05</v>
      </c>
      <c r="BB59" s="8" t="n">
        <v>124.4264</v>
      </c>
      <c r="BC59" s="15" t="n">
        <v>0.7497</v>
      </c>
      <c r="BD59" s="11">
        <f>IF(M59=N59,0.5,(J59-N59)/(M59-N59))</f>
        <v/>
      </c>
      <c r="BE59" s="16" t="n">
        <v>6.849</v>
      </c>
      <c r="BF59" s="16" t="n">
        <v>2.095</v>
      </c>
      <c r="BG59" s="17">
        <f>100*(0.4*MIN(1,MAX(0,((U59*100)-(0.0))/((2.5)-(0.0))))+0.3*MIN(1,MAX(0,((V59)-(0.6))/((1.0)-(0.6))))+0.3*MIN(1,MAX(0,((BE59)-(0.0))/((15.0)-(0.0)))))</f>
        <v/>
      </c>
      <c r="BH59" s="17">
        <f>100*(0.4*MIN(1,MAX(0,((MIN(ABS(AA59),ABS(AB59)))-(0.75))/((0.0)-(0.75))))+0.3*MIN(1,MAX(0,((BC59)-(1.2))/((0.6)-(1.2))))+0.3*BD59)</f>
        <v/>
      </c>
      <c r="BI59" s="17">
        <f>100*(0.5*MIN(1,MAX(0,((AK59)-(1.0))/((4.0)-(1.0))))+0.3*MIN(1,MAX(0,((IF(ISNUMBER(AO59),AO59,0)*100)-(0.0))/((8.0)-(0.0))))+0.2*MIN(1,MAX(0,((IF(ISNUMBER(AP59),AP59,0))-(25.0))/((5.0)-(25.0)))))</f>
        <v/>
      </c>
      <c r="BJ59" s="17">
        <f>100*(0.35*MIN(1,MAX(0,((ABS(AU59))-(0.3))/((0.05)-(0.3))))+0.3*MIN(1,MAX(0,((AV59)-(0.0))/((0.3)-(0.0))))+0.25*MIN(1,MAX(0,((AW59)-(0.4))/((0.7)-(0.4))))+0.1*IF(AY59&gt;=2,1,0.5))</f>
        <v/>
      </c>
      <c r="BK59" s="18">
        <f>0.25*BG59+0.25*BH59+0.2*BI59+0.3*BJ59</f>
        <v/>
      </c>
      <c r="BL59" s="5" t="inlineStr">
        <is>
          <t>全部通過</t>
        </is>
      </c>
      <c r="BM59" s="5" t="inlineStr"/>
    </row>
    <row r="60">
      <c r="A60" s="5" t="n">
        <v>1</v>
      </c>
      <c r="B60" s="5" t="n">
        <v>59</v>
      </c>
      <c r="C60" s="6" t="inlineStr">
        <is>
          <t>S</t>
        </is>
      </c>
      <c r="D60" s="5" t="inlineStr">
        <is>
          <t>SentinelOne Inc.</t>
        </is>
      </c>
      <c r="E60" s="5" t="inlineStr">
        <is>
          <t>NYSE</t>
        </is>
      </c>
      <c r="F60" s="5" t="inlineStr">
        <is>
          <t>科技</t>
        </is>
      </c>
      <c r="G60" s="5" t="inlineStr">
        <is>
          <t>Computer Software: Prepackaged Software</t>
        </is>
      </c>
      <c r="H60" s="7" t="n">
        <v>8.27</v>
      </c>
      <c r="I60" s="5" t="inlineStr">
        <is>
          <t>中型</t>
        </is>
      </c>
      <c r="J60" s="8" t="n">
        <v>24.67</v>
      </c>
      <c r="K60" s="8" t="n">
        <v>23.76</v>
      </c>
      <c r="L60" s="9">
        <f>J60/K60-1</f>
        <v/>
      </c>
      <c r="M60" s="8" t="n">
        <v>24.69</v>
      </c>
      <c r="N60" s="8" t="n">
        <v>23.41</v>
      </c>
      <c r="O60" s="10" t="n">
        <v>8961500</v>
      </c>
      <c r="P60" s="10" t="n">
        <v>8949675</v>
      </c>
      <c r="Q60" s="11">
        <f>O60/P60</f>
        <v/>
      </c>
      <c r="R60" s="8" t="n">
        <v>23.4682</v>
      </c>
      <c r="S60" s="8" t="n">
        <v>22.6827</v>
      </c>
      <c r="T60" s="8" t="n">
        <v>22.1964</v>
      </c>
      <c r="U60" s="9">
        <f>S60/T60-1</f>
        <v/>
      </c>
      <c r="V60" s="12" t="n">
        <v>1</v>
      </c>
      <c r="W60" s="9">
        <f>J60/R60-1</f>
        <v/>
      </c>
      <c r="X60" s="9">
        <f>J60/S60-1</f>
        <v/>
      </c>
      <c r="Y60" s="8" t="n">
        <v>1.1296</v>
      </c>
      <c r="Z60" s="13">
        <f>Y60/J60</f>
        <v/>
      </c>
      <c r="AA60" s="11">
        <f>(J60-R60)/Y60</f>
        <v/>
      </c>
      <c r="AB60" s="11">
        <f>(J60-S60)/Y60</f>
        <v/>
      </c>
      <c r="AC60" s="5">
        <f>IF(ABS(AA60)&lt;=ABS(AB60),"9EMA","21EMA")</f>
        <v/>
      </c>
      <c r="AD60" s="5" t="inlineStr">
        <is>
          <t>9EMA</t>
        </is>
      </c>
      <c r="AE60" s="5" t="inlineStr">
        <is>
          <t>持續在上方</t>
        </is>
      </c>
      <c r="AF60" s="5" t="inlineStr"/>
      <c r="AG60" s="5" t="inlineStr"/>
      <c r="AH60" s="5" t="inlineStr"/>
      <c r="AI60" s="5" t="inlineStr">
        <is>
          <t>2026-09-15</t>
        </is>
      </c>
      <c r="AJ60" s="5" t="n">
        <v>12</v>
      </c>
      <c r="AK60" s="14" t="n">
        <v>2</v>
      </c>
      <c r="AL60" s="5" t="inlineStr">
        <is>
          <t>2026-09-28</t>
        </is>
      </c>
      <c r="AM60" s="8" t="n">
        <v>21.79</v>
      </c>
      <c r="AN60" s="8" t="n">
        <v>19.07</v>
      </c>
      <c r="AO60" s="9">
        <f>IF(ISNUMBER(AN60),AM60/AN60-1,"")</f>
        <v/>
      </c>
      <c r="AP60" s="14" t="n">
        <v>3</v>
      </c>
      <c r="AQ60" s="9">
        <f>IF(ISNUMBER(AM60),J60/AM60-1,"")</f>
        <v/>
      </c>
      <c r="AR60" s="8" t="n">
        <v>24.67</v>
      </c>
      <c r="AS60" s="9">
        <f>J60/AR60-1</f>
        <v/>
      </c>
      <c r="AT60" s="5" t="inlineStr">
        <is>
          <t>上傾收窄（楔形）</t>
        </is>
      </c>
      <c r="AU60" s="15" t="n">
        <v>0.325</v>
      </c>
      <c r="AV60" s="15" t="n">
        <v>0.7875</v>
      </c>
      <c r="AW60" s="15" t="n">
        <v>0.5522</v>
      </c>
      <c r="AX60" s="15" t="n">
        <v>0.5236</v>
      </c>
      <c r="AY60" s="14" t="n">
        <v>2</v>
      </c>
      <c r="AZ60" s="8" t="n">
        <v>24.69</v>
      </c>
      <c r="BA60" s="8" t="n">
        <v>19.07</v>
      </c>
      <c r="BB60" s="8" t="n">
        <v>22.1735</v>
      </c>
      <c r="BC60" s="15" t="n">
        <v>1.2657</v>
      </c>
      <c r="BD60" s="11">
        <f>IF(M60=N60,0.5,(J60-N60)/(M60-N60))</f>
        <v/>
      </c>
      <c r="BE60" s="16" t="n">
        <v>24.337</v>
      </c>
      <c r="BF60" s="16" t="n">
        <v>19.583</v>
      </c>
      <c r="BG60" s="17">
        <f>100*(0.4*MIN(1,MAX(0,((U60*100)-(0.0))/((2.5)-(0.0))))+0.3*MIN(1,MAX(0,((V60)-(0.6))/((1.0)-(0.6))))+0.3*MIN(1,MAX(0,((BE60)-(0.0))/((15.0)-(0.0)))))</f>
        <v/>
      </c>
      <c r="BH60" s="17">
        <f>100*(0.4*MIN(1,MAX(0,((MIN(ABS(AA60),ABS(AB60)))-(0.75))/((0.0)-(0.75))))+0.3*MIN(1,MAX(0,((BC60)-(1.2))/((0.6)-(1.2))))+0.3*BD60)</f>
        <v/>
      </c>
      <c r="BI60" s="17">
        <f>100*(0.5*MIN(1,MAX(0,((AK60)-(1.0))/((4.0)-(1.0))))+0.3*MIN(1,MAX(0,((IF(ISNUMBER(AO60),AO60,0)*100)-(0.0))/((8.0)-(0.0))))+0.2*MIN(1,MAX(0,((IF(ISNUMBER(AP60),AP60,0))-(25.0))/((5.0)-(25.0)))))</f>
        <v/>
      </c>
      <c r="BJ60" s="17">
        <f>100*(0.35*MIN(1,MAX(0,((ABS(AU60))-(0.3))/((0.05)-(0.3))))+0.3*MIN(1,MAX(0,((AV60)-(0.0))/((0.3)-(0.0))))+0.25*MIN(1,MAX(0,((AW60)-(0.4))/((0.7)-(0.4))))+0.1*IF(AY60&gt;=2,1,0.5))</f>
        <v/>
      </c>
      <c r="BK60" s="18">
        <f>0.25*BG60+0.25*BH60+0.2*BI60+0.3*BJ60</f>
        <v/>
      </c>
      <c r="BL60" s="5" t="inlineStr">
        <is>
          <t>全部通過</t>
        </is>
      </c>
      <c r="BM60" s="5" t="inlineStr"/>
    </row>
    <row r="61">
      <c r="A61" s="5" t="n">
        <v>1</v>
      </c>
      <c r="B61" s="5" t="n">
        <v>60</v>
      </c>
      <c r="C61" s="6" t="inlineStr">
        <is>
          <t>BRKR</t>
        </is>
      </c>
      <c r="D61" s="5" t="inlineStr">
        <is>
          <t>Bruker Corporation</t>
        </is>
      </c>
      <c r="E61" s="5" t="inlineStr">
        <is>
          <t>NASDAQ</t>
        </is>
      </c>
      <c r="F61" s="5" t="inlineStr">
        <is>
          <t>工業</t>
        </is>
      </c>
      <c r="G61" s="5" t="inlineStr">
        <is>
          <t>Biotechnology: Laboratory Analytical Instruments</t>
        </is>
      </c>
      <c r="H61" s="7" t="n">
        <v>9.865</v>
      </c>
      <c r="I61" s="5" t="inlineStr">
        <is>
          <t>中型</t>
        </is>
      </c>
      <c r="J61" s="8" t="n">
        <v>61.94</v>
      </c>
      <c r="K61" s="8" t="n">
        <v>64.75</v>
      </c>
      <c r="L61" s="9">
        <f>J61/K61-1</f>
        <v/>
      </c>
      <c r="M61" s="8" t="n">
        <v>64.81999999999999</v>
      </c>
      <c r="N61" s="8" t="n">
        <v>61.7</v>
      </c>
      <c r="O61" s="10" t="n">
        <v>2378100</v>
      </c>
      <c r="P61" s="10" t="n">
        <v>2302435</v>
      </c>
      <c r="Q61" s="11">
        <f>O61/P61</f>
        <v/>
      </c>
      <c r="R61" s="8" t="n">
        <v>62.553</v>
      </c>
      <c r="S61" s="8" t="n">
        <v>60.8002</v>
      </c>
      <c r="T61" s="8" t="n">
        <v>59.0479</v>
      </c>
      <c r="U61" s="9">
        <f>S61/T61-1</f>
        <v/>
      </c>
      <c r="V61" s="12" t="n">
        <v>1</v>
      </c>
      <c r="W61" s="9">
        <f>J61/R61-1</f>
        <v/>
      </c>
      <c r="X61" s="9">
        <f>J61/S61-1</f>
        <v/>
      </c>
      <c r="Y61" s="8" t="n">
        <v>2.9845</v>
      </c>
      <c r="Z61" s="13">
        <f>Y61/J61</f>
        <v/>
      </c>
      <c r="AA61" s="11">
        <f>(J61-R61)/Y61</f>
        <v/>
      </c>
      <c r="AB61" s="11">
        <f>(J61-S61)/Y61</f>
        <v/>
      </c>
      <c r="AC61" s="5">
        <f>IF(ABS(AA61)&lt;=ABS(AB61),"9EMA","21EMA")</f>
        <v/>
      </c>
      <c r="AD61" s="5" t="inlineStr">
        <is>
          <t>9EMA</t>
        </is>
      </c>
      <c r="AE61" s="5" t="inlineStr">
        <is>
          <t>持續在上方</t>
        </is>
      </c>
      <c r="AF61" s="5" t="inlineStr"/>
      <c r="AG61" s="5" t="inlineStr"/>
      <c r="AH61" s="5" t="inlineStr">
        <is>
          <t>✓</t>
        </is>
      </c>
      <c r="AI61" s="5" t="inlineStr">
        <is>
          <t>2026-09-17</t>
        </is>
      </c>
      <c r="AJ61" s="5" t="n">
        <v>10</v>
      </c>
      <c r="AK61" s="14" t="n">
        <v>2</v>
      </c>
      <c r="AL61" s="5" t="inlineStr">
        <is>
          <t>2026-09-24</t>
        </is>
      </c>
      <c r="AM61" s="8" t="n">
        <v>59.17</v>
      </c>
      <c r="AN61" s="8" t="n">
        <v>51.54</v>
      </c>
      <c r="AO61" s="9">
        <f>IF(ISNUMBER(AN61),AM61/AN61-1,"")</f>
        <v/>
      </c>
      <c r="AP61" s="14" t="n">
        <v>5</v>
      </c>
      <c r="AQ61" s="9">
        <f>IF(ISNUMBER(AM61),J61/AM61-1,"")</f>
        <v/>
      </c>
      <c r="AR61" s="8" t="n">
        <v>64.75</v>
      </c>
      <c r="AS61" s="9">
        <f>J61/AR61-1</f>
        <v/>
      </c>
      <c r="AT61" s="5" t="inlineStr">
        <is>
          <t>上傾擴張</t>
        </is>
      </c>
      <c r="AU61" s="15" t="n">
        <v>0.586</v>
      </c>
      <c r="AV61" s="15" t="n">
        <v>0.3542</v>
      </c>
      <c r="AW61" s="15" t="n">
        <v>0.5132</v>
      </c>
      <c r="AX61" s="15" t="n">
        <v>0.5628</v>
      </c>
      <c r="AY61" s="14" t="n">
        <v>1</v>
      </c>
      <c r="AZ61" s="8" t="n">
        <v>66.98</v>
      </c>
      <c r="BA61" s="8" t="n">
        <v>51.54</v>
      </c>
      <c r="BB61" s="8" t="n">
        <v>59.464</v>
      </c>
      <c r="BC61" s="15" t="n">
        <v>1.1975</v>
      </c>
      <c r="BD61" s="11">
        <f>IF(M61=N61,0.5,(J61-N61)/(M61-N61))</f>
        <v/>
      </c>
      <c r="BE61" s="16" t="n">
        <v>15.302</v>
      </c>
      <c r="BF61" s="16" t="n">
        <v>10.548</v>
      </c>
      <c r="BG61" s="17">
        <f>100*(0.4*MIN(1,MAX(0,((U61*100)-(0.0))/((2.5)-(0.0))))+0.3*MIN(1,MAX(0,((V61)-(0.6))/((1.0)-(0.6))))+0.3*MIN(1,MAX(0,((BE61)-(0.0))/((15.0)-(0.0)))))</f>
        <v/>
      </c>
      <c r="BH61" s="17">
        <f>100*(0.4*MIN(1,MAX(0,((MIN(ABS(AA61),ABS(AB61)))-(0.75))/((0.0)-(0.75))))+0.3*MIN(1,MAX(0,((BC61)-(1.2))/((0.6)-(1.2))))+0.3*BD61)</f>
        <v/>
      </c>
      <c r="BI61" s="17">
        <f>100*(0.5*MIN(1,MAX(0,((AK61)-(1.0))/((4.0)-(1.0))))+0.3*MIN(1,MAX(0,((IF(ISNUMBER(AO61),AO61,0)*100)-(0.0))/((8.0)-(0.0))))+0.2*MIN(1,MAX(0,((IF(ISNUMBER(AP61),AP61,0))-(25.0))/((5.0)-(25.0)))))</f>
        <v/>
      </c>
      <c r="BJ61" s="17">
        <f>100*(0.35*MIN(1,MAX(0,((ABS(AU61))-(0.3))/((0.05)-(0.3))))+0.3*MIN(1,MAX(0,((AV61)-(0.0))/((0.3)-(0.0))))+0.25*MIN(1,MAX(0,((AW61)-(0.4))/((0.7)-(0.4))))+0.1*IF(AY61&gt;=2,1,0.5))</f>
        <v/>
      </c>
      <c r="BK61" s="18">
        <f>0.25*BG61+0.25*BH61+0.2*BI61+0.3*BJ61</f>
        <v/>
      </c>
      <c r="BL61" s="5" t="inlineStr">
        <is>
          <t>全部通過</t>
        </is>
      </c>
      <c r="BM61" s="5" t="inlineStr"/>
    </row>
    <row r="62">
      <c r="A62" s="5" t="n">
        <v>1</v>
      </c>
      <c r="B62" s="5" t="n">
        <v>61</v>
      </c>
      <c r="C62" s="6" t="inlineStr">
        <is>
          <t>BTGO</t>
        </is>
      </c>
      <c r="D62" s="5" t="inlineStr">
        <is>
          <t>BitGo Holdings Inc.</t>
        </is>
      </c>
      <c r="E62" s="5" t="inlineStr">
        <is>
          <t>NYSE</t>
        </is>
      </c>
      <c r="F62" s="5" t="inlineStr">
        <is>
          <t>金融</t>
        </is>
      </c>
      <c r="G62" s="5" t="inlineStr">
        <is>
          <t>Finance: Consumer Services</t>
        </is>
      </c>
      <c r="H62" s="7" t="n">
        <v>0.87</v>
      </c>
      <c r="I62" s="5" t="inlineStr">
        <is>
          <t>小型</t>
        </is>
      </c>
      <c r="J62" s="8" t="n">
        <v>7.36</v>
      </c>
      <c r="K62" s="8" t="n">
        <v>7.4</v>
      </c>
      <c r="L62" s="9">
        <f>J62/K62-1</f>
        <v/>
      </c>
      <c r="M62" s="8" t="n">
        <v>7.57</v>
      </c>
      <c r="N62" s="8" t="n">
        <v>7.21</v>
      </c>
      <c r="O62" s="10" t="n">
        <v>766600</v>
      </c>
      <c r="P62" s="10" t="n">
        <v>2226155</v>
      </c>
      <c r="Q62" s="11">
        <f>O62/P62</f>
        <v/>
      </c>
      <c r="R62" s="8" t="n">
        <v>7.4687</v>
      </c>
      <c r="S62" s="8" t="n">
        <v>7.3272</v>
      </c>
      <c r="T62" s="8" t="n">
        <v>7.3118</v>
      </c>
      <c r="U62" s="9">
        <f>S62/T62-1</f>
        <v/>
      </c>
      <c r="V62" s="12" t="n">
        <v>0.8</v>
      </c>
      <c r="W62" s="9">
        <f>J62/R62-1</f>
        <v/>
      </c>
      <c r="X62" s="9">
        <f>J62/S62-1</f>
        <v/>
      </c>
      <c r="Y62" s="8" t="n">
        <v>0.5537</v>
      </c>
      <c r="Z62" s="13">
        <f>Y62/J62</f>
        <v/>
      </c>
      <c r="AA62" s="11">
        <f>(J62-R62)/Y62</f>
        <v/>
      </c>
      <c r="AB62" s="11">
        <f>(J62-S62)/Y62</f>
        <v/>
      </c>
      <c r="AC62" s="5">
        <f>IF(ABS(AA62)&lt;=ABS(AB62),"9EMA","21EMA")</f>
        <v/>
      </c>
      <c r="AD62" s="5" t="inlineStr">
        <is>
          <t>9+21EMA</t>
        </is>
      </c>
      <c r="AE62" s="5" t="inlineStr">
        <is>
          <t>持續在上方</t>
        </is>
      </c>
      <c r="AF62" s="5" t="inlineStr"/>
      <c r="AG62" s="5" t="inlineStr">
        <is>
          <t>✓</t>
        </is>
      </c>
      <c r="AH62" s="5" t="inlineStr"/>
      <c r="AI62" s="5" t="inlineStr">
        <is>
          <t>2026-08-13</t>
        </is>
      </c>
      <c r="AJ62" s="5" t="n">
        <v>34</v>
      </c>
      <c r="AK62" s="14" t="n">
        <v>2</v>
      </c>
      <c r="AL62" s="5" t="inlineStr">
        <is>
          <t>2026-09-28</t>
        </is>
      </c>
      <c r="AM62" s="8" t="n">
        <v>7.1</v>
      </c>
      <c r="AN62" s="8" t="n">
        <v>6.19</v>
      </c>
      <c r="AO62" s="9">
        <f>IF(ISNUMBER(AN62),AM62/AN62-1,"")</f>
        <v/>
      </c>
      <c r="AP62" s="14" t="n">
        <v>3</v>
      </c>
      <c r="AQ62" s="9">
        <f>IF(ISNUMBER(AM62),J62/AM62-1,"")</f>
        <v/>
      </c>
      <c r="AR62" s="8" t="n">
        <v>8.279999999999999</v>
      </c>
      <c r="AS62" s="9">
        <f>J62/AR62-1</f>
        <v/>
      </c>
      <c r="AT62" s="5" t="inlineStr">
        <is>
          <t>上傾擴張</t>
        </is>
      </c>
      <c r="AU62" s="15" t="n">
        <v>0.7018</v>
      </c>
      <c r="AV62" s="15" t="n">
        <v>0.3053</v>
      </c>
      <c r="AW62" s="15" t="n">
        <v>0.5658</v>
      </c>
      <c r="AX62" s="15" t="n">
        <v>0.536</v>
      </c>
      <c r="AY62" s="14" t="n">
        <v>3</v>
      </c>
      <c r="AZ62" s="8" t="n">
        <v>8.35</v>
      </c>
      <c r="BA62" s="8" t="n">
        <v>6.19</v>
      </c>
      <c r="BB62" s="8" t="n">
        <v>7.4122</v>
      </c>
      <c r="BC62" s="15" t="n">
        <v>0.2927</v>
      </c>
      <c r="BD62" s="11">
        <f>IF(M62=N62,0.5,(J62-N62)/(M62-N62))</f>
        <v/>
      </c>
      <c r="BE62" s="16" t="n">
        <v>10.959</v>
      </c>
      <c r="BF62" s="16" t="n">
        <v>6.205</v>
      </c>
      <c r="BG62" s="17">
        <f>100*(0.4*MIN(1,MAX(0,((U62*100)-(0.0))/((2.5)-(0.0))))+0.3*MIN(1,MAX(0,((V62)-(0.6))/((1.0)-(0.6))))+0.3*MIN(1,MAX(0,((BE62)-(0.0))/((15.0)-(0.0)))))</f>
        <v/>
      </c>
      <c r="BH62" s="17">
        <f>100*(0.4*MIN(1,MAX(0,((MIN(ABS(AA62),ABS(AB62)))-(0.75))/((0.0)-(0.75))))+0.3*MIN(1,MAX(0,((BC62)-(1.2))/((0.6)-(1.2))))+0.3*BD62)</f>
        <v/>
      </c>
      <c r="BI62" s="17">
        <f>100*(0.5*MIN(1,MAX(0,((AK62)-(1.0))/((4.0)-(1.0))))+0.3*MIN(1,MAX(0,((IF(ISNUMBER(AO62),AO62,0)*100)-(0.0))/((8.0)-(0.0))))+0.2*MIN(1,MAX(0,((IF(ISNUMBER(AP62),AP62,0))-(25.0))/((5.0)-(25.0)))))</f>
        <v/>
      </c>
      <c r="BJ62" s="17">
        <f>100*(0.35*MIN(1,MAX(0,((ABS(AU62))-(0.3))/((0.05)-(0.3))))+0.3*MIN(1,MAX(0,((AV62)-(0.0))/((0.3)-(0.0))))+0.25*MIN(1,MAX(0,((AW62)-(0.4))/((0.7)-(0.4))))+0.1*IF(AY62&gt;=2,1,0.5))</f>
        <v/>
      </c>
      <c r="BK62" s="18">
        <f>0.25*BG62+0.25*BH62+0.2*BI62+0.3*BJ62</f>
        <v/>
      </c>
      <c r="BL62" s="5" t="inlineStr">
        <is>
          <t>全部通過</t>
        </is>
      </c>
      <c r="BM62" s="5" t="inlineStr"/>
    </row>
    <row r="63">
      <c r="A63" s="5" t="n">
        <v>1</v>
      </c>
      <c r="B63" s="5" t="n">
        <v>62</v>
      </c>
      <c r="C63" s="6" t="inlineStr">
        <is>
          <t>GFS</t>
        </is>
      </c>
      <c r="D63" s="5" t="inlineStr">
        <is>
          <t>GlobalFoundries Inc.</t>
        </is>
      </c>
      <c r="E63" s="5" t="inlineStr">
        <is>
          <t>NASDAQ</t>
        </is>
      </c>
      <c r="F63" s="5" t="inlineStr">
        <is>
          <t>科技</t>
        </is>
      </c>
      <c r="G63" s="5" t="inlineStr">
        <is>
          <t>Semiconductors</t>
        </is>
      </c>
      <c r="H63" s="7" t="n">
        <v>26.711</v>
      </c>
      <c r="I63" s="5" t="inlineStr">
        <is>
          <t>大型</t>
        </is>
      </c>
      <c r="J63" s="8" t="n">
        <v>48.68</v>
      </c>
      <c r="K63" s="8" t="n">
        <v>47.92</v>
      </c>
      <c r="L63" s="9">
        <f>J63/K63-1</f>
        <v/>
      </c>
      <c r="M63" s="8" t="n">
        <v>48.99</v>
      </c>
      <c r="N63" s="8" t="n">
        <v>47.61</v>
      </c>
      <c r="O63" s="10" t="n">
        <v>2334000</v>
      </c>
      <c r="P63" s="10" t="n">
        <v>3876080</v>
      </c>
      <c r="Q63" s="11">
        <f>O63/P63</f>
        <v/>
      </c>
      <c r="R63" s="8" t="n">
        <v>47.6834</v>
      </c>
      <c r="S63" s="8" t="n">
        <v>47.2927</v>
      </c>
      <c r="T63" s="8" t="n">
        <v>46.713</v>
      </c>
      <c r="U63" s="9">
        <f>S63/T63-1</f>
        <v/>
      </c>
      <c r="V63" s="12" t="n">
        <v>0.9</v>
      </c>
      <c r="W63" s="9">
        <f>J63/R63-1</f>
        <v/>
      </c>
      <c r="X63" s="9">
        <f>J63/S63-1</f>
        <v/>
      </c>
      <c r="Y63" s="8" t="n">
        <v>1.9848</v>
      </c>
      <c r="Z63" s="13">
        <f>Y63/J63</f>
        <v/>
      </c>
      <c r="AA63" s="11">
        <f>(J63-R63)/Y63</f>
        <v/>
      </c>
      <c r="AB63" s="11">
        <f>(J63-S63)/Y63</f>
        <v/>
      </c>
      <c r="AC63" s="5">
        <f>IF(ABS(AA63)&lt;=ABS(AB63),"9EMA","21EMA")</f>
        <v/>
      </c>
      <c r="AD63" s="5" t="inlineStr">
        <is>
          <t>9EMA</t>
        </is>
      </c>
      <c r="AE63" s="19" t="inlineStr">
        <is>
          <t>剛黃金交叉</t>
        </is>
      </c>
      <c r="AF63" s="5" t="inlineStr">
        <is>
          <t>✓</t>
        </is>
      </c>
      <c r="AG63" s="5" t="inlineStr"/>
      <c r="AH63" s="5" t="inlineStr">
        <is>
          <t>✓</t>
        </is>
      </c>
      <c r="AI63" s="5" t="inlineStr">
        <is>
          <t>2026-09-25</t>
        </is>
      </c>
      <c r="AJ63" s="5" t="n">
        <v>4</v>
      </c>
      <c r="AK63" s="14" t="n">
        <v>2</v>
      </c>
      <c r="AL63" s="5" t="inlineStr">
        <is>
          <t>2026-09-24</t>
        </is>
      </c>
      <c r="AM63" s="8" t="n">
        <v>45.39</v>
      </c>
      <c r="AN63" s="8" t="n">
        <v>42.15</v>
      </c>
      <c r="AO63" s="9">
        <f>IF(ISNUMBER(AN63),AM63/AN63-1,"")</f>
        <v/>
      </c>
      <c r="AP63" s="14" t="n">
        <v>5</v>
      </c>
      <c r="AQ63" s="9">
        <f>IF(ISNUMBER(AM63),J63/AM63-1,"")</f>
        <v/>
      </c>
      <c r="AR63" s="8" t="n">
        <v>49</v>
      </c>
      <c r="AS63" s="9">
        <f>J63/AR63-1</f>
        <v/>
      </c>
      <c r="AT63" s="5" t="inlineStr">
        <is>
          <t>上升通道</t>
        </is>
      </c>
      <c r="AU63" s="15" t="n">
        <v>0.4304</v>
      </c>
      <c r="AV63" s="15" t="n">
        <v>0.3947</v>
      </c>
      <c r="AW63" s="15" t="n">
        <v>0.5414</v>
      </c>
      <c r="AX63" s="15" t="n">
        <v>0.5342</v>
      </c>
      <c r="AY63" s="14" t="n">
        <v>6</v>
      </c>
      <c r="AZ63" s="8" t="n">
        <v>49.425</v>
      </c>
      <c r="BA63" s="8" t="n">
        <v>42.15</v>
      </c>
      <c r="BB63" s="8" t="n">
        <v>46.0885</v>
      </c>
      <c r="BC63" s="15" t="n">
        <v>0.9438</v>
      </c>
      <c r="BD63" s="11">
        <f>IF(M63=N63,0.5,(J63-N63)/(M63-N63))</f>
        <v/>
      </c>
      <c r="BE63" s="16" t="n">
        <v>15.567</v>
      </c>
      <c r="BF63" s="16" t="n">
        <v>10.813</v>
      </c>
      <c r="BG63" s="17">
        <f>100*(0.4*MIN(1,MAX(0,((U63*100)-(0.0))/((2.5)-(0.0))))+0.3*MIN(1,MAX(0,((V63)-(0.6))/((1.0)-(0.6))))+0.3*MIN(1,MAX(0,((BE63)-(0.0))/((15.0)-(0.0)))))</f>
        <v/>
      </c>
      <c r="BH63" s="17">
        <f>100*(0.4*MIN(1,MAX(0,((MIN(ABS(AA63),ABS(AB63)))-(0.75))/((0.0)-(0.75))))+0.3*MIN(1,MAX(0,((BC63)-(1.2))/((0.6)-(1.2))))+0.3*BD63)</f>
        <v/>
      </c>
      <c r="BI63" s="17">
        <f>100*(0.5*MIN(1,MAX(0,((AK63)-(1.0))/((4.0)-(1.0))))+0.3*MIN(1,MAX(0,((IF(ISNUMBER(AO63),AO63,0)*100)-(0.0))/((8.0)-(0.0))))+0.2*MIN(1,MAX(0,((IF(ISNUMBER(AP63),AP63,0))-(25.0))/((5.0)-(25.0)))))</f>
        <v/>
      </c>
      <c r="BJ63" s="17">
        <f>100*(0.35*MIN(1,MAX(0,((ABS(AU63))-(0.3))/((0.05)-(0.3))))+0.3*MIN(1,MAX(0,((AV63)-(0.0))/((0.3)-(0.0))))+0.25*MIN(1,MAX(0,((AW63)-(0.4))/((0.7)-(0.4))))+0.1*IF(AY63&gt;=2,1,0.5))</f>
        <v/>
      </c>
      <c r="BK63" s="18">
        <f>0.25*BG63+0.25*BH63+0.2*BI63+0.3*BJ63</f>
        <v/>
      </c>
      <c r="BL63" s="5" t="inlineStr">
        <is>
          <t>全部通過</t>
        </is>
      </c>
      <c r="BM63" s="5" t="inlineStr"/>
    </row>
    <row r="64">
      <c r="A64" s="5" t="n">
        <v>1</v>
      </c>
      <c r="B64" s="5" t="n">
        <v>63</v>
      </c>
      <c r="C64" s="6" t="inlineStr">
        <is>
          <t>EGBN</t>
        </is>
      </c>
      <c r="D64" s="5" t="inlineStr">
        <is>
          <t>Eagle Bancorp Inc.</t>
        </is>
      </c>
      <c r="E64" s="5" t="inlineStr">
        <is>
          <t>NASDAQ</t>
        </is>
      </c>
      <c r="F64" s="5" t="inlineStr">
        <is>
          <t>金融</t>
        </is>
      </c>
      <c r="G64" s="5" t="inlineStr">
        <is>
          <t>Major Banks</t>
        </is>
      </c>
      <c r="H64" s="7" t="n">
        <v>0.847</v>
      </c>
      <c r="I64" s="5" t="inlineStr">
        <is>
          <t>小型</t>
        </is>
      </c>
      <c r="J64" s="8" t="n">
        <v>28.21</v>
      </c>
      <c r="K64" s="8" t="n">
        <v>27.79</v>
      </c>
      <c r="L64" s="9">
        <f>J64/K64-1</f>
        <v/>
      </c>
      <c r="M64" s="8" t="n">
        <v>28.23</v>
      </c>
      <c r="N64" s="8" t="n">
        <v>27.01</v>
      </c>
      <c r="O64" s="10" t="n">
        <v>337900</v>
      </c>
      <c r="P64" s="10" t="n">
        <v>334955</v>
      </c>
      <c r="Q64" s="11">
        <f>O64/P64</f>
        <v/>
      </c>
      <c r="R64" s="8" t="n">
        <v>28.1232</v>
      </c>
      <c r="S64" s="8" t="n">
        <v>28.0508</v>
      </c>
      <c r="T64" s="8" t="n">
        <v>27.9803</v>
      </c>
      <c r="U64" s="9">
        <f>S64/T64-1</f>
        <v/>
      </c>
      <c r="V64" s="12" t="n">
        <v>0.8</v>
      </c>
      <c r="W64" s="9">
        <f>J64/R64-1</f>
        <v/>
      </c>
      <c r="X64" s="9">
        <f>J64/S64-1</f>
        <v/>
      </c>
      <c r="Y64" s="8" t="n">
        <v>0.6604</v>
      </c>
      <c r="Z64" s="13">
        <f>Y64/J64</f>
        <v/>
      </c>
      <c r="AA64" s="11">
        <f>(J64-R64)/Y64</f>
        <v/>
      </c>
      <c r="AB64" s="11">
        <f>(J64-S64)/Y64</f>
        <v/>
      </c>
      <c r="AC64" s="5">
        <f>IF(ABS(AA64)&lt;=ABS(AB64),"9EMA","21EMA")</f>
        <v/>
      </c>
      <c r="AD64" s="5" t="inlineStr">
        <is>
          <t>9+21EMA</t>
        </is>
      </c>
      <c r="AE64" s="5" t="inlineStr">
        <is>
          <t>持續在上方</t>
        </is>
      </c>
      <c r="AF64" s="5" t="inlineStr"/>
      <c r="AG64" s="5" t="inlineStr"/>
      <c r="AH64" s="5" t="inlineStr">
        <is>
          <t>✓</t>
        </is>
      </c>
      <c r="AI64" s="5" t="inlineStr">
        <is>
          <t>2026-09-15</t>
        </is>
      </c>
      <c r="AJ64" s="5" t="n">
        <v>12</v>
      </c>
      <c r="AK64" s="14" t="n">
        <v>2</v>
      </c>
      <c r="AL64" s="5" t="inlineStr">
        <is>
          <t>2026-09-10</t>
        </is>
      </c>
      <c r="AM64" s="8" t="n">
        <v>27.12</v>
      </c>
      <c r="AN64" s="8" t="n">
        <v>26.52</v>
      </c>
      <c r="AO64" s="9">
        <f>IF(ISNUMBER(AN64),AM64/AN64-1,"")</f>
        <v/>
      </c>
      <c r="AP64" s="14" t="n">
        <v>15</v>
      </c>
      <c r="AQ64" s="9">
        <f>IF(ISNUMBER(AM64),J64/AM64-1,"")</f>
        <v/>
      </c>
      <c r="AR64" s="8" t="n">
        <v>28.54</v>
      </c>
      <c r="AS64" s="9">
        <f>J64/AR64-1</f>
        <v/>
      </c>
      <c r="AT64" s="5" t="inlineStr">
        <is>
          <t>上傾收窄（楔形）</t>
        </is>
      </c>
      <c r="AU64" s="15" t="n">
        <v>0.1868</v>
      </c>
      <c r="AV64" s="15" t="n">
        <v>0.3545</v>
      </c>
      <c r="AW64" s="15" t="n">
        <v>0.597</v>
      </c>
      <c r="AX64" s="15" t="n">
        <v>0.6848</v>
      </c>
      <c r="AY64" s="14" t="n">
        <v>4</v>
      </c>
      <c r="AZ64" s="8" t="n">
        <v>28.99</v>
      </c>
      <c r="BA64" s="8" t="n">
        <v>26.52</v>
      </c>
      <c r="BB64" s="8" t="n">
        <v>27.9946</v>
      </c>
      <c r="BC64" s="15" t="n">
        <v>0.8073</v>
      </c>
      <c r="BD64" s="11">
        <f>IF(M64=N64,0.5,(J64-N64)/(M64-N64))</f>
        <v/>
      </c>
      <c r="BE64" s="16" t="n">
        <v>9.976000000000001</v>
      </c>
      <c r="BF64" s="16" t="n">
        <v>5.222</v>
      </c>
      <c r="BG64" s="17">
        <f>100*(0.4*MIN(1,MAX(0,((U64*100)-(0.0))/((2.5)-(0.0))))+0.3*MIN(1,MAX(0,((V64)-(0.6))/((1.0)-(0.6))))+0.3*MIN(1,MAX(0,((BE64)-(0.0))/((15.0)-(0.0)))))</f>
        <v/>
      </c>
      <c r="BH64" s="17">
        <f>100*(0.4*MIN(1,MAX(0,((MIN(ABS(AA64),ABS(AB64)))-(0.75))/((0.0)-(0.75))))+0.3*MIN(1,MAX(0,((BC64)-(1.2))/((0.6)-(1.2))))+0.3*BD64)</f>
        <v/>
      </c>
      <c r="BI64" s="17">
        <f>100*(0.5*MIN(1,MAX(0,((AK64)-(1.0))/((4.0)-(1.0))))+0.3*MIN(1,MAX(0,((IF(ISNUMBER(AO64),AO64,0)*100)-(0.0))/((8.0)-(0.0))))+0.2*MIN(1,MAX(0,((IF(ISNUMBER(AP64),AP64,0))-(25.0))/((5.0)-(25.0)))))</f>
        <v/>
      </c>
      <c r="BJ64" s="17">
        <f>100*(0.35*MIN(1,MAX(0,((ABS(AU64))-(0.3))/((0.05)-(0.3))))+0.3*MIN(1,MAX(0,((AV64)-(0.0))/((0.3)-(0.0))))+0.25*MIN(1,MAX(0,((AW64)-(0.4))/((0.7)-(0.4))))+0.1*IF(AY64&gt;=2,1,0.5))</f>
        <v/>
      </c>
      <c r="BK64" s="18">
        <f>0.25*BG64+0.25*BH64+0.2*BI64+0.3*BJ64</f>
        <v/>
      </c>
      <c r="BL64" s="5" t="inlineStr">
        <is>
          <t>全部通過</t>
        </is>
      </c>
      <c r="BM64" s="5" t="inlineStr"/>
    </row>
    <row r="65">
      <c r="A65" s="5" t="n">
        <v>1</v>
      </c>
      <c r="B65" s="5" t="n">
        <v>64</v>
      </c>
      <c r="C65" s="6" t="inlineStr">
        <is>
          <t>DJCO</t>
        </is>
      </c>
      <c r="D65" s="5" t="inlineStr">
        <is>
          <t>Daily Journal Corp. (S.C.)</t>
        </is>
      </c>
      <c r="E65" s="5" t="inlineStr">
        <is>
          <t>NASDAQ</t>
        </is>
      </c>
      <c r="F65" s="5" t="inlineStr">
        <is>
          <t>非必需消費</t>
        </is>
      </c>
      <c r="G65" s="5" t="inlineStr">
        <is>
          <t>Newspapers/Magazines</t>
        </is>
      </c>
      <c r="H65" s="7" t="n">
        <v>0.89</v>
      </c>
      <c r="I65" s="5" t="inlineStr">
        <is>
          <t>小型</t>
        </is>
      </c>
      <c r="J65" s="8" t="n">
        <v>653.04</v>
      </c>
      <c r="K65" s="8" t="n">
        <v>646.22</v>
      </c>
      <c r="L65" s="9">
        <f>J65/K65-1</f>
        <v/>
      </c>
      <c r="M65" s="8" t="n">
        <v>661.45</v>
      </c>
      <c r="N65" s="8" t="n">
        <v>631.97</v>
      </c>
      <c r="O65" s="10" t="n">
        <v>68300</v>
      </c>
      <c r="P65" s="10" t="n">
        <v>64935</v>
      </c>
      <c r="Q65" s="11">
        <f>O65/P65</f>
        <v/>
      </c>
      <c r="R65" s="8" t="n">
        <v>655.2064</v>
      </c>
      <c r="S65" s="8" t="n">
        <v>649.0879</v>
      </c>
      <c r="T65" s="8" t="n">
        <v>646.0161000000001</v>
      </c>
      <c r="U65" s="9">
        <f>S65/T65-1</f>
        <v/>
      </c>
      <c r="V65" s="12" t="n">
        <v>0.9</v>
      </c>
      <c r="W65" s="9">
        <f>J65/R65-1</f>
        <v/>
      </c>
      <c r="X65" s="9">
        <f>J65/S65-1</f>
        <v/>
      </c>
      <c r="Y65" s="8" t="n">
        <v>24.1067</v>
      </c>
      <c r="Z65" s="13">
        <f>Y65/J65</f>
        <v/>
      </c>
      <c r="AA65" s="11">
        <f>(J65-R65)/Y65</f>
        <v/>
      </c>
      <c r="AB65" s="11">
        <f>(J65-S65)/Y65</f>
        <v/>
      </c>
      <c r="AC65" s="5">
        <f>IF(ABS(AA65)&lt;=ABS(AB65),"9EMA","21EMA")</f>
        <v/>
      </c>
      <c r="AD65" s="5" t="inlineStr">
        <is>
          <t>9+21EMA</t>
        </is>
      </c>
      <c r="AE65" s="5" t="inlineStr">
        <is>
          <t>持續在上方</t>
        </is>
      </c>
      <c r="AF65" s="5" t="inlineStr"/>
      <c r="AG65" s="5" t="inlineStr"/>
      <c r="AH65" s="5" t="inlineStr">
        <is>
          <t>✓</t>
        </is>
      </c>
      <c r="AI65" s="5" t="inlineStr">
        <is>
          <t>2026-08-14</t>
        </is>
      </c>
      <c r="AJ65" s="5" t="n">
        <v>33</v>
      </c>
      <c r="AK65" s="14" t="n">
        <v>3</v>
      </c>
      <c r="AL65" s="5" t="inlineStr">
        <is>
          <t>2026-09-22</t>
        </is>
      </c>
      <c r="AM65" s="8" t="n">
        <v>640.05</v>
      </c>
      <c r="AN65" s="8" t="n">
        <v>594.83</v>
      </c>
      <c r="AO65" s="9">
        <f>IF(ISNUMBER(AN65),AM65/AN65-1,"")</f>
        <v/>
      </c>
      <c r="AP65" s="14" t="n">
        <v>7</v>
      </c>
      <c r="AQ65" s="9">
        <f>IF(ISNUMBER(AM65),J65/AM65-1,"")</f>
        <v/>
      </c>
      <c r="AR65" s="8" t="n">
        <v>687.66</v>
      </c>
      <c r="AS65" s="9">
        <f>J65/AR65-1</f>
        <v/>
      </c>
      <c r="AT65" s="5" t="inlineStr">
        <is>
          <t>上升通道</t>
        </is>
      </c>
      <c r="AU65" s="15" t="n">
        <v>0.4811</v>
      </c>
      <c r="AV65" s="15" t="n">
        <v>0.5327</v>
      </c>
      <c r="AW65" s="15" t="n">
        <v>0.5533</v>
      </c>
      <c r="AX65" s="15" t="n">
        <v>0.4644</v>
      </c>
      <c r="AY65" s="14" t="n">
        <v>2</v>
      </c>
      <c r="AZ65" s="8" t="n">
        <v>692.5</v>
      </c>
      <c r="BA65" s="8" t="n">
        <v>594.83</v>
      </c>
      <c r="BB65" s="8" t="n">
        <v>648.871</v>
      </c>
      <c r="BC65" s="15" t="n">
        <v>1.3745</v>
      </c>
      <c r="BD65" s="11">
        <f>IF(M65=N65,0.5,(J65-N65)/(M65-N65))</f>
        <v/>
      </c>
      <c r="BE65" s="16" t="n">
        <v>10.898</v>
      </c>
      <c r="BF65" s="16" t="n">
        <v>6.144</v>
      </c>
      <c r="BG65" s="17">
        <f>100*(0.4*MIN(1,MAX(0,((U65*100)-(0.0))/((2.5)-(0.0))))+0.3*MIN(1,MAX(0,((V65)-(0.6))/((1.0)-(0.6))))+0.3*MIN(1,MAX(0,((BE65)-(0.0))/((15.0)-(0.0)))))</f>
        <v/>
      </c>
      <c r="BH65" s="17">
        <f>100*(0.4*MIN(1,MAX(0,((MIN(ABS(AA65),ABS(AB65)))-(0.75))/((0.0)-(0.75))))+0.3*MIN(1,MAX(0,((BC65)-(1.2))/((0.6)-(1.2))))+0.3*BD65)</f>
        <v/>
      </c>
      <c r="BI65" s="17">
        <f>100*(0.5*MIN(1,MAX(0,((AK65)-(1.0))/((4.0)-(1.0))))+0.3*MIN(1,MAX(0,((IF(ISNUMBER(AO65),AO65,0)*100)-(0.0))/((8.0)-(0.0))))+0.2*MIN(1,MAX(0,((IF(ISNUMBER(AP65),AP65,0))-(25.0))/((5.0)-(25.0)))))</f>
        <v/>
      </c>
      <c r="BJ65" s="17">
        <f>100*(0.35*MIN(1,MAX(0,((ABS(AU65))-(0.3))/((0.05)-(0.3))))+0.3*MIN(1,MAX(0,((AV65)-(0.0))/((0.3)-(0.0))))+0.25*MIN(1,MAX(0,((AW65)-(0.4))/((0.7)-(0.4))))+0.1*IF(AY65&gt;=2,1,0.5))</f>
        <v/>
      </c>
      <c r="BK65" s="18">
        <f>0.25*BG65+0.25*BH65+0.2*BI65+0.3*BJ65</f>
        <v/>
      </c>
      <c r="BL65" s="5" t="inlineStr">
        <is>
          <t>全部通過</t>
        </is>
      </c>
      <c r="BM65" s="5" t="inlineStr"/>
    </row>
    <row r="66">
      <c r="A66" s="5" t="n">
        <v>1</v>
      </c>
      <c r="B66" s="5" t="n">
        <v>65</v>
      </c>
      <c r="C66" s="6" t="inlineStr">
        <is>
          <t>XMTR</t>
        </is>
      </c>
      <c r="D66" s="5" t="inlineStr">
        <is>
          <t>Xometry Inc.</t>
        </is>
      </c>
      <c r="E66" s="5" t="inlineStr">
        <is>
          <t>NASDAQ</t>
        </is>
      </c>
      <c r="F66" s="5" t="inlineStr">
        <is>
          <t>非必需消費</t>
        </is>
      </c>
      <c r="G66" s="5" t="inlineStr">
        <is>
          <t>Business Services</t>
        </is>
      </c>
      <c r="H66" s="7" t="n">
        <v>5.896</v>
      </c>
      <c r="I66" s="5" t="inlineStr">
        <is>
          <t>中型</t>
        </is>
      </c>
      <c r="J66" s="8" t="n">
        <v>104.23</v>
      </c>
      <c r="K66" s="8" t="n">
        <v>102.85</v>
      </c>
      <c r="L66" s="9">
        <f>J66/K66-1</f>
        <v/>
      </c>
      <c r="M66" s="8" t="n">
        <v>106.24</v>
      </c>
      <c r="N66" s="8" t="n">
        <v>101.515</v>
      </c>
      <c r="O66" s="10" t="n">
        <v>533500</v>
      </c>
      <c r="P66" s="10" t="n">
        <v>848670</v>
      </c>
      <c r="Q66" s="11">
        <f>O66/P66</f>
        <v/>
      </c>
      <c r="R66" s="8" t="n">
        <v>101.3768</v>
      </c>
      <c r="S66" s="8" t="n">
        <v>97.5125</v>
      </c>
      <c r="T66" s="8" t="n">
        <v>94.0809</v>
      </c>
      <c r="U66" s="9">
        <f>S66/T66-1</f>
        <v/>
      </c>
      <c r="V66" s="12" t="n">
        <v>1</v>
      </c>
      <c r="W66" s="9">
        <f>J66/R66-1</f>
        <v/>
      </c>
      <c r="X66" s="9">
        <f>J66/S66-1</f>
        <v/>
      </c>
      <c r="Y66" s="8" t="n">
        <v>5.0895</v>
      </c>
      <c r="Z66" s="13">
        <f>Y66/J66</f>
        <v/>
      </c>
      <c r="AA66" s="11">
        <f>(J66-R66)/Y66</f>
        <v/>
      </c>
      <c r="AB66" s="11">
        <f>(J66-S66)/Y66</f>
        <v/>
      </c>
      <c r="AC66" s="5">
        <f>IF(ABS(AA66)&lt;=ABS(AB66),"9EMA","21EMA")</f>
        <v/>
      </c>
      <c r="AD66" s="5" t="inlineStr">
        <is>
          <t>9EMA</t>
        </is>
      </c>
      <c r="AE66" s="5" t="inlineStr">
        <is>
          <t>持續在上方</t>
        </is>
      </c>
      <c r="AF66" s="5" t="inlineStr"/>
      <c r="AG66" s="5" t="inlineStr"/>
      <c r="AH66" s="5" t="inlineStr">
        <is>
          <t>✓</t>
        </is>
      </c>
      <c r="AI66" s="5" t="inlineStr">
        <is>
          <t>2026-09-17</t>
        </is>
      </c>
      <c r="AJ66" s="5" t="n">
        <v>10</v>
      </c>
      <c r="AK66" s="14" t="n">
        <v>2</v>
      </c>
      <c r="AL66" s="5" t="inlineStr">
        <is>
          <t>2026-09-24</t>
        </is>
      </c>
      <c r="AM66" s="8" t="n">
        <v>96.16</v>
      </c>
      <c r="AN66" s="8" t="n">
        <v>83</v>
      </c>
      <c r="AO66" s="9">
        <f>IF(ISNUMBER(AN66),AM66/AN66-1,"")</f>
        <v/>
      </c>
      <c r="AP66" s="14" t="n">
        <v>5</v>
      </c>
      <c r="AQ66" s="9">
        <f>IF(ISNUMBER(AM66),J66/AM66-1,"")</f>
        <v/>
      </c>
      <c r="AR66" s="8" t="n">
        <v>105.13</v>
      </c>
      <c r="AS66" s="9">
        <f>J66/AR66-1</f>
        <v/>
      </c>
      <c r="AT66" s="5" t="inlineStr">
        <is>
          <t>上升通道</t>
        </is>
      </c>
      <c r="AU66" s="15" t="n">
        <v>0.5238</v>
      </c>
      <c r="AV66" s="15" t="n">
        <v>0.5343</v>
      </c>
      <c r="AW66" s="15" t="n">
        <v>0.5299</v>
      </c>
      <c r="AX66" s="15" t="n">
        <v>0.5602</v>
      </c>
      <c r="AY66" s="14" t="n">
        <v>1</v>
      </c>
      <c r="AZ66" s="8" t="n">
        <v>107.93</v>
      </c>
      <c r="BA66" s="8" t="n">
        <v>83</v>
      </c>
      <c r="BB66" s="8" t="n">
        <v>96.20999999999999</v>
      </c>
      <c r="BC66" s="15" t="n">
        <v>1.2762</v>
      </c>
      <c r="BD66" s="11">
        <f>IF(M66=N66,0.5,(J66-N66)/(M66-N66))</f>
        <v/>
      </c>
      <c r="BE66" s="16" t="n">
        <v>19.104</v>
      </c>
      <c r="BF66" s="16" t="n">
        <v>14.35</v>
      </c>
      <c r="BG66" s="17">
        <f>100*(0.4*MIN(1,MAX(0,((U66*100)-(0.0))/((2.5)-(0.0))))+0.3*MIN(1,MAX(0,((V66)-(0.6))/((1.0)-(0.6))))+0.3*MIN(1,MAX(0,((BE66)-(0.0))/((15.0)-(0.0)))))</f>
        <v/>
      </c>
      <c r="BH66" s="17">
        <f>100*(0.4*MIN(1,MAX(0,((MIN(ABS(AA66),ABS(AB66)))-(0.75))/((0.0)-(0.75))))+0.3*MIN(1,MAX(0,((BC66)-(1.2))/((0.6)-(1.2))))+0.3*BD66)</f>
        <v/>
      </c>
      <c r="BI66" s="17">
        <f>100*(0.5*MIN(1,MAX(0,((AK66)-(1.0))/((4.0)-(1.0))))+0.3*MIN(1,MAX(0,((IF(ISNUMBER(AO66),AO66,0)*100)-(0.0))/((8.0)-(0.0))))+0.2*MIN(1,MAX(0,((IF(ISNUMBER(AP66),AP66,0))-(25.0))/((5.0)-(25.0)))))</f>
        <v/>
      </c>
      <c r="BJ66" s="17">
        <f>100*(0.35*MIN(1,MAX(0,((ABS(AU66))-(0.3))/((0.05)-(0.3))))+0.3*MIN(1,MAX(0,((AV66)-(0.0))/((0.3)-(0.0))))+0.25*MIN(1,MAX(0,((AW66)-(0.4))/((0.7)-(0.4))))+0.1*IF(AY66&gt;=2,1,0.5))</f>
        <v/>
      </c>
      <c r="BK66" s="18">
        <f>0.25*BG66+0.25*BH66+0.2*BI66+0.3*BJ66</f>
        <v/>
      </c>
      <c r="BL66" s="5" t="inlineStr">
        <is>
          <t>全部通過</t>
        </is>
      </c>
      <c r="BM66" s="5" t="inlineStr"/>
    </row>
    <row r="67">
      <c r="A67" s="5" t="n">
        <v>1</v>
      </c>
      <c r="B67" s="5" t="n">
        <v>66</v>
      </c>
      <c r="C67" s="6" t="inlineStr">
        <is>
          <t>QLYS</t>
        </is>
      </c>
      <c r="D67" s="5" t="inlineStr">
        <is>
          <t>Qualys Inc.</t>
        </is>
      </c>
      <c r="E67" s="5" t="inlineStr">
        <is>
          <t>NASDAQ</t>
        </is>
      </c>
      <c r="F67" s="5" t="inlineStr">
        <is>
          <t>科技</t>
        </is>
      </c>
      <c r="G67" s="5" t="inlineStr">
        <is>
          <t>Computer Software: Prepackaged Software</t>
        </is>
      </c>
      <c r="H67" s="7" t="n">
        <v>6.476</v>
      </c>
      <c r="I67" s="5" t="inlineStr">
        <is>
          <t>中型</t>
        </is>
      </c>
      <c r="J67" s="8" t="n">
        <v>187.43</v>
      </c>
      <c r="K67" s="8" t="n">
        <v>187.2</v>
      </c>
      <c r="L67" s="9">
        <f>J67/K67-1</f>
        <v/>
      </c>
      <c r="M67" s="8" t="n">
        <v>190.92</v>
      </c>
      <c r="N67" s="8" t="n">
        <v>184.38</v>
      </c>
      <c r="O67" s="10" t="n">
        <v>654000</v>
      </c>
      <c r="P67" s="10" t="n">
        <v>730315</v>
      </c>
      <c r="Q67" s="11">
        <f>O67/P67</f>
        <v/>
      </c>
      <c r="R67" s="8" t="n">
        <v>181.1269</v>
      </c>
      <c r="S67" s="8" t="n">
        <v>178.5106</v>
      </c>
      <c r="T67" s="8" t="n">
        <v>177.1905</v>
      </c>
      <c r="U67" s="9">
        <f>S67/T67-1</f>
        <v/>
      </c>
      <c r="V67" s="12" t="n">
        <v>0.8</v>
      </c>
      <c r="W67" s="9">
        <f>J67/R67-1</f>
        <v/>
      </c>
      <c r="X67" s="9">
        <f>J67/S67-1</f>
        <v/>
      </c>
      <c r="Y67" s="8" t="n">
        <v>9.177300000000001</v>
      </c>
      <c r="Z67" s="13">
        <f>Y67/J67</f>
        <v/>
      </c>
      <c r="AA67" s="11">
        <f>(J67-R67)/Y67</f>
        <v/>
      </c>
      <c r="AB67" s="11">
        <f>(J67-S67)/Y67</f>
        <v/>
      </c>
      <c r="AC67" s="5">
        <f>IF(ABS(AA67)&lt;=ABS(AB67),"9EMA","21EMA")</f>
        <v/>
      </c>
      <c r="AD67" s="5" t="inlineStr">
        <is>
          <t>9+21EMA</t>
        </is>
      </c>
      <c r="AE67" s="5" t="inlineStr">
        <is>
          <t>持續在上方</t>
        </is>
      </c>
      <c r="AF67" s="5" t="inlineStr"/>
      <c r="AG67" s="5" t="inlineStr"/>
      <c r="AH67" s="5" t="inlineStr"/>
      <c r="AI67" s="5" t="inlineStr">
        <is>
          <t>2026-09-16</t>
        </is>
      </c>
      <c r="AJ67" s="5" t="n">
        <v>11</v>
      </c>
      <c r="AK67" s="14" t="n">
        <v>2</v>
      </c>
      <c r="AL67" s="5" t="inlineStr">
        <is>
          <t>2026-09-28</t>
        </is>
      </c>
      <c r="AM67" s="8" t="n">
        <v>168.06</v>
      </c>
      <c r="AN67" s="8" t="n">
        <v>149.13</v>
      </c>
      <c r="AO67" s="9">
        <f>IF(ISNUMBER(AN67),AM67/AN67-1,"")</f>
        <v/>
      </c>
      <c r="AP67" s="14" t="n">
        <v>3</v>
      </c>
      <c r="AQ67" s="9">
        <f>IF(ISNUMBER(AM67),J67/AM67-1,"")</f>
        <v/>
      </c>
      <c r="AR67" s="8" t="n">
        <v>187.43</v>
      </c>
      <c r="AS67" s="9">
        <f>J67/AR67-1</f>
        <v/>
      </c>
      <c r="AT67" s="5" t="inlineStr">
        <is>
          <t>上升三角（平頂）</t>
        </is>
      </c>
      <c r="AU67" s="15" t="n">
        <v>-0.044</v>
      </c>
      <c r="AV67" s="15" t="n">
        <v>0.9182</v>
      </c>
      <c r="AW67" s="15" t="n">
        <v>0.653</v>
      </c>
      <c r="AX67" s="15" t="n">
        <v>0.6835</v>
      </c>
      <c r="AY67" s="14" t="n">
        <v>6</v>
      </c>
      <c r="AZ67" s="8" t="n">
        <v>190.99</v>
      </c>
      <c r="BA67" s="8" t="n">
        <v>149.13</v>
      </c>
      <c r="BB67" s="8" t="n">
        <v>176.4647</v>
      </c>
      <c r="BC67" s="15" t="n">
        <v>1.4438</v>
      </c>
      <c r="BD67" s="11">
        <f>IF(M67=N67,0.5,(J67-N67)/(M67-N67))</f>
        <v/>
      </c>
      <c r="BE67" s="16" t="n">
        <v>10.641</v>
      </c>
      <c r="BF67" s="16" t="n">
        <v>5.887</v>
      </c>
      <c r="BG67" s="17">
        <f>100*(0.4*MIN(1,MAX(0,((U67*100)-(0.0))/((2.5)-(0.0))))+0.3*MIN(1,MAX(0,((V67)-(0.6))/((1.0)-(0.6))))+0.3*MIN(1,MAX(0,((BE67)-(0.0))/((15.0)-(0.0)))))</f>
        <v/>
      </c>
      <c r="BH67" s="17">
        <f>100*(0.4*MIN(1,MAX(0,((MIN(ABS(AA67),ABS(AB67)))-(0.75))/((0.0)-(0.75))))+0.3*MIN(1,MAX(0,((BC67)-(1.2))/((0.6)-(1.2))))+0.3*BD67)</f>
        <v/>
      </c>
      <c r="BI67" s="17">
        <f>100*(0.5*MIN(1,MAX(0,((AK67)-(1.0))/((4.0)-(1.0))))+0.3*MIN(1,MAX(0,((IF(ISNUMBER(AO67),AO67,0)*100)-(0.0))/((8.0)-(0.0))))+0.2*MIN(1,MAX(0,((IF(ISNUMBER(AP67),AP67,0))-(25.0))/((5.0)-(25.0)))))</f>
        <v/>
      </c>
      <c r="BJ67" s="17">
        <f>100*(0.35*MIN(1,MAX(0,((ABS(AU67))-(0.3))/((0.05)-(0.3))))+0.3*MIN(1,MAX(0,((AV67)-(0.0))/((0.3)-(0.0))))+0.25*MIN(1,MAX(0,((AW67)-(0.4))/((0.7)-(0.4))))+0.1*IF(AY67&gt;=2,1,0.5))</f>
        <v/>
      </c>
      <c r="BK67" s="18">
        <f>0.25*BG67+0.25*BH67+0.2*BI67+0.3*BJ67</f>
        <v/>
      </c>
      <c r="BL67" s="5" t="inlineStr">
        <is>
          <t>全部通過</t>
        </is>
      </c>
      <c r="BM67" s="5" t="inlineStr"/>
    </row>
    <row r="68">
      <c r="A68" s="5" t="n">
        <v>1</v>
      </c>
      <c r="B68" s="5" t="n">
        <v>67</v>
      </c>
      <c r="C68" s="6" t="inlineStr">
        <is>
          <t>BWIN</t>
        </is>
      </c>
      <c r="D68" s="5" t="inlineStr">
        <is>
          <t>The Baldwin Insurance Group Inc.</t>
        </is>
      </c>
      <c r="E68" s="5" t="inlineStr">
        <is>
          <t>NASDAQ</t>
        </is>
      </c>
      <c r="F68" s="5" t="inlineStr">
        <is>
          <t>金融</t>
        </is>
      </c>
      <c r="G68" s="5" t="inlineStr">
        <is>
          <t>Specialty Insurers</t>
        </is>
      </c>
      <c r="H68" s="7" t="n">
        <v>4.435</v>
      </c>
      <c r="I68" s="5" t="inlineStr">
        <is>
          <t>中型</t>
        </is>
      </c>
      <c r="J68" s="8" t="n">
        <v>31.77</v>
      </c>
      <c r="K68" s="8" t="n">
        <v>31.79</v>
      </c>
      <c r="L68" s="9">
        <f>J68/K68-1</f>
        <v/>
      </c>
      <c r="M68" s="8" t="n">
        <v>31.93</v>
      </c>
      <c r="N68" s="8" t="n">
        <v>31.77</v>
      </c>
      <c r="O68" s="10" t="n">
        <v>5514700</v>
      </c>
      <c r="P68" s="10" t="n">
        <v>5347480</v>
      </c>
      <c r="Q68" s="11">
        <f>O68/P68</f>
        <v/>
      </c>
      <c r="R68" s="8" t="n">
        <v>31.75</v>
      </c>
      <c r="S68" s="8" t="n">
        <v>31.3795</v>
      </c>
      <c r="T68" s="8" t="n">
        <v>31.1237</v>
      </c>
      <c r="U68" s="9">
        <f>S68/T68-1</f>
        <v/>
      </c>
      <c r="V68" s="12" t="n">
        <v>1</v>
      </c>
      <c r="W68" s="9">
        <f>J68/R68-1</f>
        <v/>
      </c>
      <c r="X68" s="9">
        <f>J68/S68-1</f>
        <v/>
      </c>
      <c r="Y68" s="8" t="n">
        <v>0.6274999999999999</v>
      </c>
      <c r="Z68" s="13">
        <f>Y68/J68</f>
        <v/>
      </c>
      <c r="AA68" s="11">
        <f>(J68-R68)/Y68</f>
        <v/>
      </c>
      <c r="AB68" s="11">
        <f>(J68-S68)/Y68</f>
        <v/>
      </c>
      <c r="AC68" s="5">
        <f>IF(ABS(AA68)&lt;=ABS(AB68),"9EMA","21EMA")</f>
        <v/>
      </c>
      <c r="AD68" s="5" t="inlineStr">
        <is>
          <t>9EMA</t>
        </is>
      </c>
      <c r="AE68" s="5" t="inlineStr">
        <is>
          <t>持續在上方</t>
        </is>
      </c>
      <c r="AF68" s="5" t="inlineStr"/>
      <c r="AG68" s="5" t="inlineStr"/>
      <c r="AH68" s="5" t="inlineStr">
        <is>
          <t>✓</t>
        </is>
      </c>
      <c r="AI68" s="5" t="inlineStr">
        <is>
          <t>2026-09-14</t>
        </is>
      </c>
      <c r="AJ68" s="5" t="n">
        <v>13</v>
      </c>
      <c r="AK68" s="14" t="n">
        <v>2</v>
      </c>
      <c r="AL68" s="5" t="inlineStr">
        <is>
          <t>2026-09-24</t>
        </is>
      </c>
      <c r="AM68" s="8" t="n">
        <v>31.7</v>
      </c>
      <c r="AN68" s="8" t="n">
        <v>27.74</v>
      </c>
      <c r="AO68" s="9">
        <f>IF(ISNUMBER(AN68),AM68/AN68-1,"")</f>
        <v/>
      </c>
      <c r="AP68" s="14" t="n">
        <v>5</v>
      </c>
      <c r="AQ68" s="9">
        <f>IF(ISNUMBER(AM68),J68/AM68-1,"")</f>
        <v/>
      </c>
      <c r="AR68" s="8" t="n">
        <v>32.49</v>
      </c>
      <c r="AS68" s="9">
        <f>J68/AR68-1</f>
        <v/>
      </c>
      <c r="AT68" s="5" t="inlineStr">
        <is>
          <t>上升通道</t>
        </is>
      </c>
      <c r="AU68" s="15" t="n">
        <v>0.362</v>
      </c>
      <c r="AV68" s="15" t="n">
        <v>0.3549</v>
      </c>
      <c r="AW68" s="15" t="n">
        <v>0.8217</v>
      </c>
      <c r="AX68" s="15" t="n">
        <v>0.8426</v>
      </c>
      <c r="AY68" s="14" t="n">
        <v>2</v>
      </c>
      <c r="AZ68" s="8" t="n">
        <v>32.705</v>
      </c>
      <c r="BA68" s="8" t="n">
        <v>27.74</v>
      </c>
      <c r="BB68" s="8" t="n">
        <v>31.8196</v>
      </c>
      <c r="BC68" s="15" t="n">
        <v>1.287</v>
      </c>
      <c r="BD68" s="11">
        <f>IF(M68=N68,0.5,(J68-N68)/(M68-N68))</f>
        <v/>
      </c>
      <c r="BE68" s="16" t="n">
        <v>9.744</v>
      </c>
      <c r="BF68" s="16" t="n">
        <v>4.99</v>
      </c>
      <c r="BG68" s="17">
        <f>100*(0.4*MIN(1,MAX(0,((U68*100)-(0.0))/((2.5)-(0.0))))+0.3*MIN(1,MAX(0,((V68)-(0.6))/((1.0)-(0.6))))+0.3*MIN(1,MAX(0,((BE68)-(0.0))/((15.0)-(0.0)))))</f>
        <v/>
      </c>
      <c r="BH68" s="17">
        <f>100*(0.4*MIN(1,MAX(0,((MIN(ABS(AA68),ABS(AB68)))-(0.75))/((0.0)-(0.75))))+0.3*MIN(1,MAX(0,((BC68)-(1.2))/((0.6)-(1.2))))+0.3*BD68)</f>
        <v/>
      </c>
      <c r="BI68" s="17">
        <f>100*(0.5*MIN(1,MAX(0,((AK68)-(1.0))/((4.0)-(1.0))))+0.3*MIN(1,MAX(0,((IF(ISNUMBER(AO68),AO68,0)*100)-(0.0))/((8.0)-(0.0))))+0.2*MIN(1,MAX(0,((IF(ISNUMBER(AP68),AP68,0))-(25.0))/((5.0)-(25.0)))))</f>
        <v/>
      </c>
      <c r="BJ68" s="17">
        <f>100*(0.35*MIN(1,MAX(0,((ABS(AU68))-(0.3))/((0.05)-(0.3))))+0.3*MIN(1,MAX(0,((AV68)-(0.0))/((0.3)-(0.0))))+0.25*MIN(1,MAX(0,((AW68)-(0.4))/((0.7)-(0.4))))+0.1*IF(AY68&gt;=2,1,0.5))</f>
        <v/>
      </c>
      <c r="BK68" s="18">
        <f>0.25*BG68+0.25*BH68+0.2*BI68+0.3*BJ68</f>
        <v/>
      </c>
      <c r="BL68" s="5" t="inlineStr">
        <is>
          <t>全部通過</t>
        </is>
      </c>
      <c r="BM68" s="5" t="inlineStr"/>
    </row>
    <row r="69">
      <c r="A69" s="5" t="n">
        <v>1</v>
      </c>
      <c r="B69" s="5" t="n">
        <v>68</v>
      </c>
      <c r="C69" s="6" t="inlineStr">
        <is>
          <t>CAT</t>
        </is>
      </c>
      <c r="D69" s="5" t="inlineStr">
        <is>
          <t>Caterpillar Inc.</t>
        </is>
      </c>
      <c r="E69" s="5" t="inlineStr">
        <is>
          <t>NYSE</t>
        </is>
      </c>
      <c r="F69" s="5" t="inlineStr">
        <is>
          <t>工業</t>
        </is>
      </c>
      <c r="G69" s="5" t="inlineStr">
        <is>
          <t>Construction/Ag Equipment/Trucks</t>
        </is>
      </c>
      <c r="H69" s="7" t="n">
        <v>372.7</v>
      </c>
      <c r="I69" s="5" t="inlineStr">
        <is>
          <t>大型</t>
        </is>
      </c>
      <c r="J69" s="8" t="n">
        <v>826.35</v>
      </c>
      <c r="K69" s="8" t="n">
        <v>810.79</v>
      </c>
      <c r="L69" s="9">
        <f>J69/K69-1</f>
        <v/>
      </c>
      <c r="M69" s="8" t="n">
        <v>833.62</v>
      </c>
      <c r="N69" s="8" t="n">
        <v>802.4400000000001</v>
      </c>
      <c r="O69" s="10" t="n">
        <v>2153800</v>
      </c>
      <c r="P69" s="10" t="n">
        <v>2326385</v>
      </c>
      <c r="Q69" s="11">
        <f>O69/P69</f>
        <v/>
      </c>
      <c r="R69" s="8" t="n">
        <v>816.0889</v>
      </c>
      <c r="S69" s="8" t="n">
        <v>814.0842</v>
      </c>
      <c r="T69" s="8" t="n">
        <v>809.8128</v>
      </c>
      <c r="U69" s="9">
        <f>S69/T69-1</f>
        <v/>
      </c>
      <c r="V69" s="12" t="n">
        <v>0.6</v>
      </c>
      <c r="W69" s="9">
        <f>J69/R69-1</f>
        <v/>
      </c>
      <c r="X69" s="9">
        <f>J69/S69-1</f>
        <v/>
      </c>
      <c r="Y69" s="8" t="n">
        <v>22.598</v>
      </c>
      <c r="Z69" s="13">
        <f>Y69/J69</f>
        <v/>
      </c>
      <c r="AA69" s="11">
        <f>(J69-R69)/Y69</f>
        <v/>
      </c>
      <c r="AB69" s="11">
        <f>(J69-S69)/Y69</f>
        <v/>
      </c>
      <c r="AC69" s="5">
        <f>IF(ABS(AA69)&lt;=ABS(AB69),"9EMA","21EMA")</f>
        <v/>
      </c>
      <c r="AD69" s="5" t="inlineStr">
        <is>
          <t>9+21EMA</t>
        </is>
      </c>
      <c r="AE69" s="19" t="inlineStr">
        <is>
          <t>剛黃金交叉</t>
        </is>
      </c>
      <c r="AF69" s="5" t="inlineStr">
        <is>
          <t>✓</t>
        </is>
      </c>
      <c r="AG69" s="5" t="inlineStr"/>
      <c r="AH69" s="5" t="inlineStr">
        <is>
          <t>✓</t>
        </is>
      </c>
      <c r="AI69" s="5" t="inlineStr">
        <is>
          <t>2026-09-29</t>
        </is>
      </c>
      <c r="AJ69" s="5" t="n">
        <v>2</v>
      </c>
      <c r="AK69" s="14" t="n">
        <v>3</v>
      </c>
      <c r="AL69" s="5" t="inlineStr">
        <is>
          <t>2026-09-24</t>
        </is>
      </c>
      <c r="AM69" s="8" t="n">
        <v>794.2</v>
      </c>
      <c r="AN69" s="8" t="n">
        <v>772.86</v>
      </c>
      <c r="AO69" s="9">
        <f>IF(ISNUMBER(AN69),AM69/AN69-1,"")</f>
        <v/>
      </c>
      <c r="AP69" s="14" t="n">
        <v>5</v>
      </c>
      <c r="AQ69" s="9">
        <f>IF(ISNUMBER(AM69),J69/AM69-1,"")</f>
        <v/>
      </c>
      <c r="AR69" s="8" t="n">
        <v>826.64</v>
      </c>
      <c r="AS69" s="9">
        <f>J69/AR69-1</f>
        <v/>
      </c>
      <c r="AT69" s="5" t="inlineStr">
        <is>
          <t>上升三角（平頂）</t>
        </is>
      </c>
      <c r="AU69" s="15" t="n">
        <v>-0.0362</v>
      </c>
      <c r="AV69" s="15" t="n">
        <v>0.1873</v>
      </c>
      <c r="AW69" s="15" t="n">
        <v>0.552</v>
      </c>
      <c r="AX69" s="15" t="n">
        <v>0.5599</v>
      </c>
      <c r="AY69" s="14" t="n">
        <v>11</v>
      </c>
      <c r="AZ69" s="8" t="n">
        <v>833.62</v>
      </c>
      <c r="BA69" s="8" t="n">
        <v>771.39</v>
      </c>
      <c r="BB69" s="8" t="n">
        <v>805.7417</v>
      </c>
      <c r="BC69" s="15" t="n">
        <v>0.7926</v>
      </c>
      <c r="BD69" s="11">
        <f>IF(M69=N69,0.5,(J69-N69)/(M69-N69))</f>
        <v/>
      </c>
      <c r="BE69" s="16" t="n">
        <v>10.811</v>
      </c>
      <c r="BF69" s="16" t="n">
        <v>6.057</v>
      </c>
      <c r="BG69" s="17">
        <f>100*(0.4*MIN(1,MAX(0,((U69*100)-(0.0))/((2.5)-(0.0))))+0.3*MIN(1,MAX(0,((V69)-(0.6))/((1.0)-(0.6))))+0.3*MIN(1,MAX(0,((BE69)-(0.0))/((15.0)-(0.0)))))</f>
        <v/>
      </c>
      <c r="BH69" s="17">
        <f>100*(0.4*MIN(1,MAX(0,((MIN(ABS(AA69),ABS(AB69)))-(0.75))/((0.0)-(0.75))))+0.3*MIN(1,MAX(0,((BC69)-(1.2))/((0.6)-(1.2))))+0.3*BD69)</f>
        <v/>
      </c>
      <c r="BI69" s="17">
        <f>100*(0.5*MIN(1,MAX(0,((AK69)-(1.0))/((4.0)-(1.0))))+0.3*MIN(1,MAX(0,((IF(ISNUMBER(AO69),AO69,0)*100)-(0.0))/((8.0)-(0.0))))+0.2*MIN(1,MAX(0,((IF(ISNUMBER(AP69),AP69,0))-(25.0))/((5.0)-(25.0)))))</f>
        <v/>
      </c>
      <c r="BJ69" s="17">
        <f>100*(0.35*MIN(1,MAX(0,((ABS(AU69))-(0.3))/((0.05)-(0.3))))+0.3*MIN(1,MAX(0,((AV69)-(0.0))/((0.3)-(0.0))))+0.25*MIN(1,MAX(0,((AW69)-(0.4))/((0.7)-(0.4))))+0.1*IF(AY69&gt;=2,1,0.5))</f>
        <v/>
      </c>
      <c r="BK69" s="18">
        <f>0.25*BG69+0.25*BH69+0.2*BI69+0.3*BJ69</f>
        <v/>
      </c>
      <c r="BL69" s="5" t="inlineStr">
        <is>
          <t>全部通過</t>
        </is>
      </c>
      <c r="BM69" s="5" t="inlineStr"/>
    </row>
    <row r="70">
      <c r="A70" s="5" t="n">
        <v>1</v>
      </c>
      <c r="B70" s="5" t="n">
        <v>69</v>
      </c>
      <c r="C70" s="6" t="inlineStr">
        <is>
          <t>CRVL</t>
        </is>
      </c>
      <c r="D70" s="5" t="inlineStr">
        <is>
          <t>CorVel Corp.</t>
        </is>
      </c>
      <c r="E70" s="5" t="inlineStr">
        <is>
          <t>NASDAQ</t>
        </is>
      </c>
      <c r="F70" s="5" t="inlineStr">
        <is>
          <t>金融</t>
        </is>
      </c>
      <c r="G70" s="5" t="inlineStr">
        <is>
          <t>Specialty Insurers</t>
        </is>
      </c>
      <c r="H70" s="7" t="n">
        <v>3.766</v>
      </c>
      <c r="I70" s="5" t="inlineStr">
        <is>
          <t>中型</t>
        </is>
      </c>
      <c r="J70" s="8" t="n">
        <v>74.72</v>
      </c>
      <c r="K70" s="8" t="n">
        <v>74.55</v>
      </c>
      <c r="L70" s="9">
        <f>J70/K70-1</f>
        <v/>
      </c>
      <c r="M70" s="8" t="n">
        <v>75.86</v>
      </c>
      <c r="N70" s="8" t="n">
        <v>74.51000000000001</v>
      </c>
      <c r="O70" s="10" t="n">
        <v>216700</v>
      </c>
      <c r="P70" s="10" t="n">
        <v>230715</v>
      </c>
      <c r="Q70" s="11">
        <f>O70/P70</f>
        <v/>
      </c>
      <c r="R70" s="8" t="n">
        <v>73.64790000000001</v>
      </c>
      <c r="S70" s="8" t="n">
        <v>71.8831</v>
      </c>
      <c r="T70" s="8" t="n">
        <v>70.3399</v>
      </c>
      <c r="U70" s="9">
        <f>S70/T70-1</f>
        <v/>
      </c>
      <c r="V70" s="12" t="n">
        <v>1</v>
      </c>
      <c r="W70" s="9">
        <f>J70/R70-1</f>
        <v/>
      </c>
      <c r="X70" s="9">
        <f>J70/S70-1</f>
        <v/>
      </c>
      <c r="Y70" s="8" t="n">
        <v>1.7759</v>
      </c>
      <c r="Z70" s="13">
        <f>Y70/J70</f>
        <v/>
      </c>
      <c r="AA70" s="11">
        <f>(J70-R70)/Y70</f>
        <v/>
      </c>
      <c r="AB70" s="11">
        <f>(J70-S70)/Y70</f>
        <v/>
      </c>
      <c r="AC70" s="5">
        <f>IF(ABS(AA70)&lt;=ABS(AB70),"9EMA","21EMA")</f>
        <v/>
      </c>
      <c r="AD70" s="5" t="inlineStr">
        <is>
          <t>9EMA</t>
        </is>
      </c>
      <c r="AE70" s="5" t="inlineStr">
        <is>
          <t>持續在上方</t>
        </is>
      </c>
      <c r="AF70" s="5" t="inlineStr"/>
      <c r="AG70" s="5" t="inlineStr"/>
      <c r="AH70" s="5" t="inlineStr">
        <is>
          <t>✓</t>
        </is>
      </c>
      <c r="AI70" s="5" t="inlineStr">
        <is>
          <t>2026-08-06</t>
        </is>
      </c>
      <c r="AJ70" s="5" t="n">
        <v>39</v>
      </c>
      <c r="AK70" s="14" t="n">
        <v>2</v>
      </c>
      <c r="AL70" s="5" t="inlineStr">
        <is>
          <t>2026-09-18</t>
        </is>
      </c>
      <c r="AM70" s="8" t="n">
        <v>69.15000000000001</v>
      </c>
      <c r="AN70" s="8" t="n">
        <v>65.18000000000001</v>
      </c>
      <c r="AO70" s="9">
        <f>IF(ISNUMBER(AN70),AM70/AN70-1,"")</f>
        <v/>
      </c>
      <c r="AP70" s="14" t="n">
        <v>9</v>
      </c>
      <c r="AQ70" s="9">
        <f>IF(ISNUMBER(AM70),J70/AM70-1,"")</f>
        <v/>
      </c>
      <c r="AR70" s="8" t="n">
        <v>74.72</v>
      </c>
      <c r="AS70" s="9">
        <f>J70/AR70-1</f>
        <v/>
      </c>
      <c r="AT70" s="5" t="inlineStr">
        <is>
          <t>上傾收窄（楔形）</t>
        </is>
      </c>
      <c r="AU70" s="15" t="n">
        <v>0.2794</v>
      </c>
      <c r="AV70" s="15" t="n">
        <v>0.759</v>
      </c>
      <c r="AW70" s="15" t="n">
        <v>0.5567</v>
      </c>
      <c r="AX70" s="15" t="n">
        <v>0.5659</v>
      </c>
      <c r="AY70" s="14" t="n">
        <v>4</v>
      </c>
      <c r="AZ70" s="8" t="n">
        <v>75.86</v>
      </c>
      <c r="BA70" s="8" t="n">
        <v>65.18000000000001</v>
      </c>
      <c r="BB70" s="8" t="n">
        <v>71.12569999999999</v>
      </c>
      <c r="BC70" s="15" t="n">
        <v>0.8283</v>
      </c>
      <c r="BD70" s="11">
        <f>IF(M70=N70,0.5,(J70-N70)/(M70-N70))</f>
        <v/>
      </c>
      <c r="BE70" s="16" t="n">
        <v>11.895</v>
      </c>
      <c r="BF70" s="16" t="n">
        <v>7.141</v>
      </c>
      <c r="BG70" s="17">
        <f>100*(0.4*MIN(1,MAX(0,((U70*100)-(0.0))/((2.5)-(0.0))))+0.3*MIN(1,MAX(0,((V70)-(0.6))/((1.0)-(0.6))))+0.3*MIN(1,MAX(0,((BE70)-(0.0))/((15.0)-(0.0)))))</f>
        <v/>
      </c>
      <c r="BH70" s="17">
        <f>100*(0.4*MIN(1,MAX(0,((MIN(ABS(AA70),ABS(AB70)))-(0.75))/((0.0)-(0.75))))+0.3*MIN(1,MAX(0,((BC70)-(1.2))/((0.6)-(1.2))))+0.3*BD70)</f>
        <v/>
      </c>
      <c r="BI70" s="17">
        <f>100*(0.5*MIN(1,MAX(0,((AK70)-(1.0))/((4.0)-(1.0))))+0.3*MIN(1,MAX(0,((IF(ISNUMBER(AO70),AO70,0)*100)-(0.0))/((8.0)-(0.0))))+0.2*MIN(1,MAX(0,((IF(ISNUMBER(AP70),AP70,0))-(25.0))/((5.0)-(25.0)))))</f>
        <v/>
      </c>
      <c r="BJ70" s="17">
        <f>100*(0.35*MIN(1,MAX(0,((ABS(AU70))-(0.3))/((0.05)-(0.3))))+0.3*MIN(1,MAX(0,((AV70)-(0.0))/((0.3)-(0.0))))+0.25*MIN(1,MAX(0,((AW70)-(0.4))/((0.7)-(0.4))))+0.1*IF(AY70&gt;=2,1,0.5))</f>
        <v/>
      </c>
      <c r="BK70" s="18">
        <f>0.25*BG70+0.25*BH70+0.2*BI70+0.3*BJ70</f>
        <v/>
      </c>
      <c r="BL70" s="5" t="inlineStr">
        <is>
          <t>全部通過</t>
        </is>
      </c>
      <c r="BM70" s="5" t="inlineStr"/>
    </row>
    <row r="71">
      <c r="A71" s="5" t="n">
        <v>1</v>
      </c>
      <c r="B71" s="5" t="n">
        <v>70</v>
      </c>
      <c r="C71" s="6" t="inlineStr">
        <is>
          <t>UTMD</t>
        </is>
      </c>
      <c r="D71" s="5" t="inlineStr">
        <is>
          <t>Utah Medical Products Inc.</t>
        </is>
      </c>
      <c r="E71" s="5" t="inlineStr">
        <is>
          <t>NASDAQ</t>
        </is>
      </c>
      <c r="F71" s="5" t="inlineStr">
        <is>
          <t>醫療保健</t>
        </is>
      </c>
      <c r="G71" s="5" t="inlineStr">
        <is>
          <t>Medical/Dental Instruments</t>
        </is>
      </c>
      <c r="H71" s="7" t="n">
        <v>0.236</v>
      </c>
      <c r="I71" s="5" t="inlineStr">
        <is>
          <t>小型</t>
        </is>
      </c>
      <c r="J71" s="8" t="n">
        <v>74.34999999999999</v>
      </c>
      <c r="K71" s="8" t="n">
        <v>74.05</v>
      </c>
      <c r="L71" s="9">
        <f>J71/K71-1</f>
        <v/>
      </c>
      <c r="M71" s="8" t="n">
        <v>74.51000000000001</v>
      </c>
      <c r="N71" s="8" t="n">
        <v>74.06999999999999</v>
      </c>
      <c r="O71" s="10" t="n">
        <v>18900</v>
      </c>
      <c r="P71" s="10" t="n">
        <v>35115</v>
      </c>
      <c r="Q71" s="11">
        <f>O71/P71</f>
        <v/>
      </c>
      <c r="R71" s="8" t="n">
        <v>74.3086</v>
      </c>
      <c r="S71" s="8" t="n">
        <v>73.4627</v>
      </c>
      <c r="T71" s="8" t="n">
        <v>72.8899</v>
      </c>
      <c r="U71" s="9">
        <f>S71/T71-1</f>
        <v/>
      </c>
      <c r="V71" s="12" t="n">
        <v>1</v>
      </c>
      <c r="W71" s="9">
        <f>J71/R71-1</f>
        <v/>
      </c>
      <c r="X71" s="9">
        <f>J71/S71-1</f>
        <v/>
      </c>
      <c r="Y71" s="8" t="n">
        <v>1.3854</v>
      </c>
      <c r="Z71" s="13">
        <f>Y71/J71</f>
        <v/>
      </c>
      <c r="AA71" s="11">
        <f>(J71-R71)/Y71</f>
        <v/>
      </c>
      <c r="AB71" s="11">
        <f>(J71-S71)/Y71</f>
        <v/>
      </c>
      <c r="AC71" s="5">
        <f>IF(ABS(AA71)&lt;=ABS(AB71),"9EMA","21EMA")</f>
        <v/>
      </c>
      <c r="AD71" s="5" t="inlineStr">
        <is>
          <t>9EMA</t>
        </is>
      </c>
      <c r="AE71" s="5" t="inlineStr">
        <is>
          <t>持續在上方</t>
        </is>
      </c>
      <c r="AF71" s="5" t="inlineStr"/>
      <c r="AG71" s="5" t="inlineStr"/>
      <c r="AH71" s="5" t="inlineStr">
        <is>
          <t>✓</t>
        </is>
      </c>
      <c r="AI71" s="5" t="inlineStr">
        <is>
          <t>2026-09-15</t>
        </is>
      </c>
      <c r="AJ71" s="5" t="n">
        <v>12</v>
      </c>
      <c r="AK71" s="14" t="n">
        <v>3</v>
      </c>
      <c r="AL71" s="5" t="inlineStr">
        <is>
          <t>2026-09-28</t>
        </is>
      </c>
      <c r="AM71" s="8" t="n">
        <v>73.75</v>
      </c>
      <c r="AN71" s="8" t="n">
        <v>73.7</v>
      </c>
      <c r="AO71" s="9">
        <f>IF(ISNUMBER(AN71),AM71/AN71-1,"")</f>
        <v/>
      </c>
      <c r="AP71" s="14" t="n">
        <v>3</v>
      </c>
      <c r="AQ71" s="9">
        <f>IF(ISNUMBER(AM71),J71/AM71-1,"")</f>
        <v/>
      </c>
      <c r="AR71" s="8" t="n">
        <v>76.66</v>
      </c>
      <c r="AS71" s="9">
        <f>J71/AR71-1</f>
        <v/>
      </c>
      <c r="AT71" s="5" t="inlineStr">
        <is>
          <t>上傾收窄（楔形）</t>
        </is>
      </c>
      <c r="AU71" s="15" t="n">
        <v>0.2984</v>
      </c>
      <c r="AV71" s="15" t="n">
        <v>0.541</v>
      </c>
      <c r="AW71" s="15" t="n">
        <v>0.5188</v>
      </c>
      <c r="AX71" s="15" t="n">
        <v>0.4898</v>
      </c>
      <c r="AY71" s="14" t="n">
        <v>2</v>
      </c>
      <c r="AZ71" s="8" t="n">
        <v>76.89</v>
      </c>
      <c r="BA71" s="8" t="n">
        <v>68.45999999999999</v>
      </c>
      <c r="BB71" s="8" t="n">
        <v>72.83329999999999</v>
      </c>
      <c r="BC71" s="15" t="n">
        <v>0.9739</v>
      </c>
      <c r="BD71" s="11">
        <f>IF(M71=N71,0.5,(J71-N71)/(M71-N71))</f>
        <v/>
      </c>
      <c r="BE71" s="16" t="n">
        <v>8.363</v>
      </c>
      <c r="BF71" s="16" t="n">
        <v>3.609</v>
      </c>
      <c r="BG71" s="17">
        <f>100*(0.4*MIN(1,MAX(0,((U71*100)-(0.0))/((2.5)-(0.0))))+0.3*MIN(1,MAX(0,((V71)-(0.6))/((1.0)-(0.6))))+0.3*MIN(1,MAX(0,((BE71)-(0.0))/((15.0)-(0.0)))))</f>
        <v/>
      </c>
      <c r="BH71" s="17">
        <f>100*(0.4*MIN(1,MAX(0,((MIN(ABS(AA71),ABS(AB71)))-(0.75))/((0.0)-(0.75))))+0.3*MIN(1,MAX(0,((BC71)-(1.2))/((0.6)-(1.2))))+0.3*BD71)</f>
        <v/>
      </c>
      <c r="BI71" s="17">
        <f>100*(0.5*MIN(1,MAX(0,((AK71)-(1.0))/((4.0)-(1.0))))+0.3*MIN(1,MAX(0,((IF(ISNUMBER(AO71),AO71,0)*100)-(0.0))/((8.0)-(0.0))))+0.2*MIN(1,MAX(0,((IF(ISNUMBER(AP71),AP71,0))-(25.0))/((5.0)-(25.0)))))</f>
        <v/>
      </c>
      <c r="BJ71" s="17">
        <f>100*(0.35*MIN(1,MAX(0,((ABS(AU71))-(0.3))/((0.05)-(0.3))))+0.3*MIN(1,MAX(0,((AV71)-(0.0))/((0.3)-(0.0))))+0.25*MIN(1,MAX(0,((AW71)-(0.4))/((0.7)-(0.4))))+0.1*IF(AY71&gt;=2,1,0.5))</f>
        <v/>
      </c>
      <c r="BK71" s="18">
        <f>0.25*BG71+0.25*BH71+0.2*BI71+0.3*BJ71</f>
        <v/>
      </c>
      <c r="BL71" s="5" t="inlineStr">
        <is>
          <t>全部通過</t>
        </is>
      </c>
      <c r="BM71" s="5" t="inlineStr"/>
    </row>
    <row r="72">
      <c r="A72" s="5" t="n">
        <v>1</v>
      </c>
      <c r="B72" s="5" t="n">
        <v>71</v>
      </c>
      <c r="C72" s="6" t="inlineStr">
        <is>
          <t>WAT</t>
        </is>
      </c>
      <c r="D72" s="5" t="inlineStr">
        <is>
          <t>Waters Corporation</t>
        </is>
      </c>
      <c r="E72" s="5" t="inlineStr">
        <is>
          <t>NYSE</t>
        </is>
      </c>
      <c r="F72" s="5" t="inlineStr">
        <is>
          <t>工業</t>
        </is>
      </c>
      <c r="G72" s="5" t="inlineStr">
        <is>
          <t>Biotechnology: Laboratory Analytical Instruments</t>
        </is>
      </c>
      <c r="H72" s="7" t="n">
        <v>43.169</v>
      </c>
      <c r="I72" s="5" t="inlineStr">
        <is>
          <t>大型</t>
        </is>
      </c>
      <c r="J72" s="8" t="n">
        <v>425.53</v>
      </c>
      <c r="K72" s="8" t="n">
        <v>439.39</v>
      </c>
      <c r="L72" s="9">
        <f>J72/K72-1</f>
        <v/>
      </c>
      <c r="M72" s="8" t="n">
        <v>438.03</v>
      </c>
      <c r="N72" s="8" t="n">
        <v>424.7</v>
      </c>
      <c r="O72" s="10" t="n">
        <v>810700</v>
      </c>
      <c r="P72" s="10" t="n">
        <v>698275</v>
      </c>
      <c r="Q72" s="11">
        <f>O72/P72</f>
        <v/>
      </c>
      <c r="R72" s="8" t="n">
        <v>431.2563</v>
      </c>
      <c r="S72" s="8" t="n">
        <v>423.8139</v>
      </c>
      <c r="T72" s="8" t="n">
        <v>416.06</v>
      </c>
      <c r="U72" s="9">
        <f>S72/T72-1</f>
        <v/>
      </c>
      <c r="V72" s="12" t="n">
        <v>1</v>
      </c>
      <c r="W72" s="9">
        <f>J72/R72-1</f>
        <v/>
      </c>
      <c r="X72" s="9">
        <f>J72/S72-1</f>
        <v/>
      </c>
      <c r="Y72" s="8" t="n">
        <v>11.7786</v>
      </c>
      <c r="Z72" s="13">
        <f>Y72/J72</f>
        <v/>
      </c>
      <c r="AA72" s="11">
        <f>(J72-R72)/Y72</f>
        <v/>
      </c>
      <c r="AB72" s="11">
        <f>(J72-S72)/Y72</f>
        <v/>
      </c>
      <c r="AC72" s="5">
        <f>IF(ABS(AA72)&lt;=ABS(AB72),"9EMA","21EMA")</f>
        <v/>
      </c>
      <c r="AD72" s="5" t="inlineStr">
        <is>
          <t>9+21EMA</t>
        </is>
      </c>
      <c r="AE72" s="5" t="inlineStr">
        <is>
          <t>持續在上方</t>
        </is>
      </c>
      <c r="AF72" s="5" t="inlineStr"/>
      <c r="AG72" s="5" t="inlineStr">
        <is>
          <t>✓</t>
        </is>
      </c>
      <c r="AH72" s="5" t="inlineStr"/>
      <c r="AI72" s="5" t="inlineStr">
        <is>
          <t>2026-05-05</t>
        </is>
      </c>
      <c r="AJ72" s="5" t="n">
        <v>103</v>
      </c>
      <c r="AK72" s="14" t="n">
        <v>2</v>
      </c>
      <c r="AL72" s="5" t="inlineStr">
        <is>
          <t>2026-09-24</t>
        </is>
      </c>
      <c r="AM72" s="8" t="n">
        <v>418</v>
      </c>
      <c r="AN72" s="8" t="n">
        <v>392.95</v>
      </c>
      <c r="AO72" s="9">
        <f>IF(ISNUMBER(AN72),AM72/AN72-1,"")</f>
        <v/>
      </c>
      <c r="AP72" s="14" t="n">
        <v>5</v>
      </c>
      <c r="AQ72" s="9">
        <f>IF(ISNUMBER(AM72),J72/AM72-1,"")</f>
        <v/>
      </c>
      <c r="AR72" s="8" t="n">
        <v>443.26</v>
      </c>
      <c r="AS72" s="9">
        <f>J72/AR72-1</f>
        <v/>
      </c>
      <c r="AT72" s="5" t="inlineStr">
        <is>
          <t>上傾收窄（楔形）</t>
        </is>
      </c>
      <c r="AU72" s="15" t="n">
        <v>0.2921</v>
      </c>
      <c r="AV72" s="15" t="n">
        <v>0.5887</v>
      </c>
      <c r="AW72" s="15" t="n">
        <v>0.5113</v>
      </c>
      <c r="AX72" s="15" t="n">
        <v>0.47</v>
      </c>
      <c r="AY72" s="14" t="n">
        <v>3</v>
      </c>
      <c r="AZ72" s="8" t="n">
        <v>448.21</v>
      </c>
      <c r="BA72" s="8" t="n">
        <v>392.95</v>
      </c>
      <c r="BB72" s="8" t="n">
        <v>421.2033</v>
      </c>
      <c r="BC72" s="15" t="n">
        <v>1.0319</v>
      </c>
      <c r="BD72" s="11">
        <f>IF(M72=N72,0.5,(J72-N72)/(M72-N72))</f>
        <v/>
      </c>
      <c r="BE72" s="16" t="n">
        <v>9.606</v>
      </c>
      <c r="BF72" s="16" t="n">
        <v>4.852</v>
      </c>
      <c r="BG72" s="17">
        <f>100*(0.4*MIN(1,MAX(0,((U72*100)-(0.0))/((2.5)-(0.0))))+0.3*MIN(1,MAX(0,((V72)-(0.6))/((1.0)-(0.6))))+0.3*MIN(1,MAX(0,((BE72)-(0.0))/((15.0)-(0.0)))))</f>
        <v/>
      </c>
      <c r="BH72" s="17">
        <f>100*(0.4*MIN(1,MAX(0,((MIN(ABS(AA72),ABS(AB72)))-(0.75))/((0.0)-(0.75))))+0.3*MIN(1,MAX(0,((BC72)-(1.2))/((0.6)-(1.2))))+0.3*BD72)</f>
        <v/>
      </c>
      <c r="BI72" s="17">
        <f>100*(0.5*MIN(1,MAX(0,((AK72)-(1.0))/((4.0)-(1.0))))+0.3*MIN(1,MAX(0,((IF(ISNUMBER(AO72),AO72,0)*100)-(0.0))/((8.0)-(0.0))))+0.2*MIN(1,MAX(0,((IF(ISNUMBER(AP72),AP72,0))-(25.0))/((5.0)-(25.0)))))</f>
        <v/>
      </c>
      <c r="BJ72" s="17">
        <f>100*(0.35*MIN(1,MAX(0,((ABS(AU72))-(0.3))/((0.05)-(0.3))))+0.3*MIN(1,MAX(0,((AV72)-(0.0))/((0.3)-(0.0))))+0.25*MIN(1,MAX(0,((AW72)-(0.4))/((0.7)-(0.4))))+0.1*IF(AY72&gt;=2,1,0.5))</f>
        <v/>
      </c>
      <c r="BK72" s="18">
        <f>0.25*BG72+0.25*BH72+0.2*BI72+0.3*BJ72</f>
        <v/>
      </c>
      <c r="BL72" s="5" t="inlineStr">
        <is>
          <t>全部通過</t>
        </is>
      </c>
      <c r="BM72" s="5" t="inlineStr"/>
    </row>
    <row r="73">
      <c r="A73" s="5" t="n">
        <v>1</v>
      </c>
      <c r="B73" s="5" t="n">
        <v>72</v>
      </c>
      <c r="C73" s="6" t="inlineStr">
        <is>
          <t>PWR</t>
        </is>
      </c>
      <c r="D73" s="5" t="inlineStr">
        <is>
          <t>Quanta Services Inc.</t>
        </is>
      </c>
      <c r="E73" s="5" t="inlineStr">
        <is>
          <t>NYSE</t>
        </is>
      </c>
      <c r="F73" s="5" t="inlineStr">
        <is>
          <t>工業</t>
        </is>
      </c>
      <c r="G73" s="5" t="inlineStr">
        <is>
          <t>Engineering &amp; Construction</t>
        </is>
      </c>
      <c r="H73" s="7" t="n">
        <v>94.661</v>
      </c>
      <c r="I73" s="5" t="inlineStr">
        <is>
          <t>大型</t>
        </is>
      </c>
      <c r="J73" s="8" t="n">
        <v>662.6</v>
      </c>
      <c r="K73" s="8" t="n">
        <v>642.51</v>
      </c>
      <c r="L73" s="9">
        <f>J73/K73-1</f>
        <v/>
      </c>
      <c r="M73" s="8" t="n">
        <v>664.36</v>
      </c>
      <c r="N73" s="8" t="n">
        <v>638.71</v>
      </c>
      <c r="O73" s="10" t="n">
        <v>904300</v>
      </c>
      <c r="P73" s="10" t="n">
        <v>824975</v>
      </c>
      <c r="Q73" s="11">
        <f>O73/P73</f>
        <v/>
      </c>
      <c r="R73" s="8" t="n">
        <v>645.8046000000001</v>
      </c>
      <c r="S73" s="8" t="n">
        <v>639.9754</v>
      </c>
      <c r="T73" s="8" t="n">
        <v>633.4983</v>
      </c>
      <c r="U73" s="9">
        <f>S73/T73-1</f>
        <v/>
      </c>
      <c r="V73" s="12" t="n">
        <v>1</v>
      </c>
      <c r="W73" s="9">
        <f>J73/R73-1</f>
        <v/>
      </c>
      <c r="X73" s="9">
        <f>J73/S73-1</f>
        <v/>
      </c>
      <c r="Y73" s="8" t="n">
        <v>21.5665</v>
      </c>
      <c r="Z73" s="13">
        <f>Y73/J73</f>
        <v/>
      </c>
      <c r="AA73" s="11">
        <f>(J73-R73)/Y73</f>
        <v/>
      </c>
      <c r="AB73" s="11">
        <f>(J73-S73)/Y73</f>
        <v/>
      </c>
      <c r="AC73" s="5">
        <f>IF(ABS(AA73)&lt;=ABS(AB73),"9EMA","21EMA")</f>
        <v/>
      </c>
      <c r="AD73" s="5" t="inlineStr">
        <is>
          <t>9+21EMA</t>
        </is>
      </c>
      <c r="AE73" s="19" t="inlineStr">
        <is>
          <t>剛黃金交叉</t>
        </is>
      </c>
      <c r="AF73" s="5" t="inlineStr">
        <is>
          <t>✓</t>
        </is>
      </c>
      <c r="AG73" s="5" t="inlineStr"/>
      <c r="AH73" s="5" t="inlineStr">
        <is>
          <t>✓</t>
        </is>
      </c>
      <c r="AI73" s="5" t="inlineStr">
        <is>
          <t>2026-09-24</t>
        </is>
      </c>
      <c r="AJ73" s="5" t="n">
        <v>5</v>
      </c>
      <c r="AK73" s="14" t="n">
        <v>3</v>
      </c>
      <c r="AL73" s="5" t="inlineStr">
        <is>
          <t>2026-09-24</t>
        </is>
      </c>
      <c r="AM73" s="8" t="n">
        <v>626.41</v>
      </c>
      <c r="AN73" s="8" t="n">
        <v>607.45</v>
      </c>
      <c r="AO73" s="9">
        <f>IF(ISNUMBER(AN73),AM73/AN73-1,"")</f>
        <v/>
      </c>
      <c r="AP73" s="14" t="n">
        <v>5</v>
      </c>
      <c r="AQ73" s="9">
        <f>IF(ISNUMBER(AM73),J73/AM73-1,"")</f>
        <v/>
      </c>
      <c r="AR73" s="8" t="n">
        <v>662.6</v>
      </c>
      <c r="AS73" s="9">
        <f>J73/AR73-1</f>
        <v/>
      </c>
      <c r="AT73" s="5" t="inlineStr">
        <is>
          <t>上升通道</t>
        </is>
      </c>
      <c r="AU73" s="15" t="n">
        <v>0.2561</v>
      </c>
      <c r="AV73" s="15" t="n">
        <v>0.2889</v>
      </c>
      <c r="AW73" s="15" t="n">
        <v>0.512</v>
      </c>
      <c r="AX73" s="15" t="n">
        <v>0.4537</v>
      </c>
      <c r="AY73" s="14" t="n">
        <v>5</v>
      </c>
      <c r="AZ73" s="8" t="n">
        <v>664.36</v>
      </c>
      <c r="BA73" s="8" t="n">
        <v>593.7</v>
      </c>
      <c r="BB73" s="8" t="n">
        <v>629.8784000000001</v>
      </c>
      <c r="BC73" s="15" t="n">
        <v>0.9657</v>
      </c>
      <c r="BD73" s="11">
        <f>IF(M73=N73,0.5,(J73-N73)/(M73-N73))</f>
        <v/>
      </c>
      <c r="BE73" s="16" t="n">
        <v>13.13</v>
      </c>
      <c r="BF73" s="16" t="n">
        <v>8.375999999999999</v>
      </c>
      <c r="BG73" s="17">
        <f>100*(0.4*MIN(1,MAX(0,((U73*100)-(0.0))/((2.5)-(0.0))))+0.3*MIN(1,MAX(0,((V73)-(0.6))/((1.0)-(0.6))))+0.3*MIN(1,MAX(0,((BE73)-(0.0))/((15.0)-(0.0)))))</f>
        <v/>
      </c>
      <c r="BH73" s="17">
        <f>100*(0.4*MIN(1,MAX(0,((MIN(ABS(AA73),ABS(AB73)))-(0.75))/((0.0)-(0.75))))+0.3*MIN(1,MAX(0,((BC73)-(1.2))/((0.6)-(1.2))))+0.3*BD73)</f>
        <v/>
      </c>
      <c r="BI73" s="17">
        <f>100*(0.5*MIN(1,MAX(0,((AK73)-(1.0))/((4.0)-(1.0))))+0.3*MIN(1,MAX(0,((IF(ISNUMBER(AO73),AO73,0)*100)-(0.0))/((8.0)-(0.0))))+0.2*MIN(1,MAX(0,((IF(ISNUMBER(AP73),AP73,0))-(25.0))/((5.0)-(25.0)))))</f>
        <v/>
      </c>
      <c r="BJ73" s="17">
        <f>100*(0.35*MIN(1,MAX(0,((ABS(AU73))-(0.3))/((0.05)-(0.3))))+0.3*MIN(1,MAX(0,((AV73)-(0.0))/((0.3)-(0.0))))+0.25*MIN(1,MAX(0,((AW73)-(0.4))/((0.7)-(0.4))))+0.1*IF(AY73&gt;=2,1,0.5))</f>
        <v/>
      </c>
      <c r="BK73" s="18">
        <f>0.25*BG73+0.25*BH73+0.2*BI73+0.3*BJ73</f>
        <v/>
      </c>
      <c r="BL73" s="5" t="inlineStr">
        <is>
          <t>全部通過</t>
        </is>
      </c>
      <c r="BM73" s="5" t="inlineStr"/>
    </row>
    <row r="74">
      <c r="A74" s="5" t="n">
        <v>1</v>
      </c>
      <c r="B74" s="5" t="n">
        <v>73</v>
      </c>
      <c r="C74" s="6" t="inlineStr">
        <is>
          <t>M</t>
        </is>
      </c>
      <c r="D74" s="5" t="inlineStr">
        <is>
          <t>Macy's Inc</t>
        </is>
      </c>
      <c r="E74" s="5" t="inlineStr">
        <is>
          <t>NYSE</t>
        </is>
      </c>
      <c r="F74" s="5" t="inlineStr">
        <is>
          <t>非必需消費</t>
        </is>
      </c>
      <c r="G74" s="5" t="inlineStr">
        <is>
          <t>Department/Specialty Retail Stores</t>
        </is>
      </c>
      <c r="H74" s="7" t="n">
        <v>5.947</v>
      </c>
      <c r="I74" s="5" t="inlineStr">
        <is>
          <t>中型</t>
        </is>
      </c>
      <c r="J74" s="8" t="n">
        <v>22.76</v>
      </c>
      <c r="K74" s="8" t="n">
        <v>22.77</v>
      </c>
      <c r="L74" s="9">
        <f>J74/K74-1</f>
        <v/>
      </c>
      <c r="M74" s="8" t="n">
        <v>23.23</v>
      </c>
      <c r="N74" s="8" t="n">
        <v>22.61</v>
      </c>
      <c r="O74" s="10" t="n">
        <v>7484600</v>
      </c>
      <c r="P74" s="10" t="n">
        <v>7020895</v>
      </c>
      <c r="Q74" s="11">
        <f>O74/P74</f>
        <v/>
      </c>
      <c r="R74" s="8" t="n">
        <v>22.6606</v>
      </c>
      <c r="S74" s="8" t="n">
        <v>22.5586</v>
      </c>
      <c r="T74" s="8" t="n">
        <v>22.3571</v>
      </c>
      <c r="U74" s="9">
        <f>S74/T74-1</f>
        <v/>
      </c>
      <c r="V74" s="12" t="n">
        <v>0.6</v>
      </c>
      <c r="W74" s="9">
        <f>J74/R74-1</f>
        <v/>
      </c>
      <c r="X74" s="9">
        <f>J74/S74-1</f>
        <v/>
      </c>
      <c r="Y74" s="8" t="n">
        <v>0.8223</v>
      </c>
      <c r="Z74" s="13">
        <f>Y74/J74</f>
        <v/>
      </c>
      <c r="AA74" s="11">
        <f>(J74-R74)/Y74</f>
        <v/>
      </c>
      <c r="AB74" s="11">
        <f>(J74-S74)/Y74</f>
        <v/>
      </c>
      <c r="AC74" s="5">
        <f>IF(ABS(AA74)&lt;=ABS(AB74),"9EMA","21EMA")</f>
        <v/>
      </c>
      <c r="AD74" s="5" t="inlineStr">
        <is>
          <t>9+21EMA</t>
        </is>
      </c>
      <c r="AE74" s="19" t="inlineStr">
        <is>
          <t>剛黃金交叉</t>
        </is>
      </c>
      <c r="AF74" s="5" t="inlineStr">
        <is>
          <t>✓</t>
        </is>
      </c>
      <c r="AG74" s="5" t="inlineStr"/>
      <c r="AH74" s="5" t="inlineStr">
        <is>
          <t>✓</t>
        </is>
      </c>
      <c r="AI74" s="5" t="inlineStr">
        <is>
          <t>2026-09-29</t>
        </is>
      </c>
      <c r="AJ74" s="5" t="n">
        <v>2</v>
      </c>
      <c r="AK74" s="14" t="n">
        <v>3</v>
      </c>
      <c r="AL74" s="5" t="inlineStr">
        <is>
          <t>2026-09-28</t>
        </is>
      </c>
      <c r="AM74" s="8" t="n">
        <v>22.13</v>
      </c>
      <c r="AN74" s="8" t="n">
        <v>21.54</v>
      </c>
      <c r="AO74" s="9">
        <f>IF(ISNUMBER(AN74),AM74/AN74-1,"")</f>
        <v/>
      </c>
      <c r="AP74" s="14" t="n">
        <v>3</v>
      </c>
      <c r="AQ74" s="9">
        <f>IF(ISNUMBER(AM74),J74/AM74-1,"")</f>
        <v/>
      </c>
      <c r="AR74" s="8" t="n">
        <v>23.27</v>
      </c>
      <c r="AS74" s="9">
        <f>J74/AR74-1</f>
        <v/>
      </c>
      <c r="AT74" s="5" t="inlineStr">
        <is>
          <t>上升三角（平頂）</t>
        </is>
      </c>
      <c r="AU74" s="15" t="n">
        <v>-0.0539</v>
      </c>
      <c r="AV74" s="15" t="n">
        <v>0.2024</v>
      </c>
      <c r="AW74" s="15" t="n">
        <v>0.6182</v>
      </c>
      <c r="AX74" s="15" t="n">
        <v>0.598</v>
      </c>
      <c r="AY74" s="14" t="n">
        <v>3</v>
      </c>
      <c r="AZ74" s="8" t="n">
        <v>23.63</v>
      </c>
      <c r="BA74" s="8" t="n">
        <v>19.77</v>
      </c>
      <c r="BB74" s="8" t="n">
        <v>22.1564</v>
      </c>
      <c r="BC74" s="15" t="n">
        <v>1.1073</v>
      </c>
      <c r="BD74" s="11">
        <f>IF(M74=N74,0.5,(J74-N74)/(M74-N74))</f>
        <v/>
      </c>
      <c r="BE74" s="16" t="n">
        <v>8.539</v>
      </c>
      <c r="BF74" s="16" t="n">
        <v>3.785</v>
      </c>
      <c r="BG74" s="17">
        <f>100*(0.4*MIN(1,MAX(0,((U74*100)-(0.0))/((2.5)-(0.0))))+0.3*MIN(1,MAX(0,((V74)-(0.6))/((1.0)-(0.6))))+0.3*MIN(1,MAX(0,((BE74)-(0.0))/((15.0)-(0.0)))))</f>
        <v/>
      </c>
      <c r="BH74" s="17">
        <f>100*(0.4*MIN(1,MAX(0,((MIN(ABS(AA74),ABS(AB74)))-(0.75))/((0.0)-(0.75))))+0.3*MIN(1,MAX(0,((BC74)-(1.2))/((0.6)-(1.2))))+0.3*BD74)</f>
        <v/>
      </c>
      <c r="BI74" s="17">
        <f>100*(0.5*MIN(1,MAX(0,((AK74)-(1.0))/((4.0)-(1.0))))+0.3*MIN(1,MAX(0,((IF(ISNUMBER(AO74),AO74,0)*100)-(0.0))/((8.0)-(0.0))))+0.2*MIN(1,MAX(0,((IF(ISNUMBER(AP74),AP74,0))-(25.0))/((5.0)-(25.0)))))</f>
        <v/>
      </c>
      <c r="BJ74" s="17">
        <f>100*(0.35*MIN(1,MAX(0,((ABS(AU74))-(0.3))/((0.05)-(0.3))))+0.3*MIN(1,MAX(0,((AV74)-(0.0))/((0.3)-(0.0))))+0.25*MIN(1,MAX(0,((AW74)-(0.4))/((0.7)-(0.4))))+0.1*IF(AY74&gt;=2,1,0.5))</f>
        <v/>
      </c>
      <c r="BK74" s="18">
        <f>0.25*BG74+0.25*BH74+0.2*BI74+0.3*BJ74</f>
        <v/>
      </c>
      <c r="BL74" s="5" t="inlineStr">
        <is>
          <t>全部通過</t>
        </is>
      </c>
      <c r="BM74" s="5" t="inlineStr"/>
    </row>
    <row r="75">
      <c r="A75" s="5" t="n">
        <v>1</v>
      </c>
      <c r="B75" s="5" t="n">
        <v>74</v>
      </c>
      <c r="C75" s="6" t="inlineStr">
        <is>
          <t>ITGR</t>
        </is>
      </c>
      <c r="D75" s="5" t="inlineStr">
        <is>
          <t>Integer Holdings Corporation</t>
        </is>
      </c>
      <c r="E75" s="5" t="inlineStr">
        <is>
          <t>NYSE</t>
        </is>
      </c>
      <c r="F75" s="5" t="inlineStr">
        <is>
          <t>醫療保健</t>
        </is>
      </c>
      <c r="G75" s="5" t="inlineStr">
        <is>
          <t>Biotechnology: Electromedical &amp; Electrotherapeutic Apparatus</t>
        </is>
      </c>
      <c r="H75" s="7" t="n">
        <v>4.295</v>
      </c>
      <c r="I75" s="5" t="inlineStr">
        <is>
          <t>中型</t>
        </is>
      </c>
      <c r="J75" s="8" t="n">
        <v>126.42</v>
      </c>
      <c r="K75" s="8" t="n">
        <v>126.35</v>
      </c>
      <c r="L75" s="9">
        <f>J75/K75-1</f>
        <v/>
      </c>
      <c r="M75" s="8" t="n">
        <v>126.47</v>
      </c>
      <c r="N75" s="8" t="n">
        <v>126.37</v>
      </c>
      <c r="O75" s="10" t="n">
        <v>415000</v>
      </c>
      <c r="P75" s="10" t="n">
        <v>817795</v>
      </c>
      <c r="Q75" s="11">
        <f>O75/P75</f>
        <v/>
      </c>
      <c r="R75" s="8" t="n">
        <v>126.3154</v>
      </c>
      <c r="S75" s="8" t="n">
        <v>125.6835</v>
      </c>
      <c r="T75" s="8" t="n">
        <v>125.2664</v>
      </c>
      <c r="U75" s="9">
        <f>S75/T75-1</f>
        <v/>
      </c>
      <c r="V75" s="12" t="n">
        <v>1</v>
      </c>
      <c r="W75" s="9">
        <f>J75/R75-1</f>
        <v/>
      </c>
      <c r="X75" s="9">
        <f>J75/S75-1</f>
        <v/>
      </c>
      <c r="Y75" s="8" t="n">
        <v>0.4371</v>
      </c>
      <c r="Z75" s="13">
        <f>Y75/J75</f>
        <v/>
      </c>
      <c r="AA75" s="11">
        <f>(J75-R75)/Y75</f>
        <v/>
      </c>
      <c r="AB75" s="11">
        <f>(J75-S75)/Y75</f>
        <v/>
      </c>
      <c r="AC75" s="5">
        <f>IF(ABS(AA75)&lt;=ABS(AB75),"9EMA","21EMA")</f>
        <v/>
      </c>
      <c r="AD75" s="5" t="inlineStr">
        <is>
          <t>9EMA</t>
        </is>
      </c>
      <c r="AE75" s="5" t="inlineStr">
        <is>
          <t>持續在上方</t>
        </is>
      </c>
      <c r="AF75" s="5" t="inlineStr"/>
      <c r="AG75" s="5" t="inlineStr"/>
      <c r="AH75" s="5" t="inlineStr">
        <is>
          <t>✓</t>
        </is>
      </c>
      <c r="AI75" s="5" t="inlineStr">
        <is>
          <t>2026-05-13</t>
        </is>
      </c>
      <c r="AJ75" s="5" t="n">
        <v>97</v>
      </c>
      <c r="AK75" s="14" t="n">
        <v>4</v>
      </c>
      <c r="AL75" s="5" t="inlineStr">
        <is>
          <t>2026-09-24</t>
        </is>
      </c>
      <c r="AM75" s="8" t="n">
        <v>126.16</v>
      </c>
      <c r="AN75" s="8" t="n">
        <v>124.84</v>
      </c>
      <c r="AO75" s="9">
        <f>IF(ISNUMBER(AN75),AM75/AN75-1,"")</f>
        <v/>
      </c>
      <c r="AP75" s="14" t="n">
        <v>5</v>
      </c>
      <c r="AQ75" s="9">
        <f>IF(ISNUMBER(AM75),J75/AM75-1,"")</f>
        <v/>
      </c>
      <c r="AR75" s="8" t="n">
        <v>126.42</v>
      </c>
      <c r="AS75" s="9">
        <f>J75/AR75-1</f>
        <v/>
      </c>
      <c r="AT75" s="5" t="inlineStr">
        <is>
          <t>上升三角（平頂）</t>
        </is>
      </c>
      <c r="AU75" s="15" t="n">
        <v>-0.0257</v>
      </c>
      <c r="AV75" s="15" t="n">
        <v>0.0386</v>
      </c>
      <c r="AW75" s="15" t="n">
        <v>0.5352</v>
      </c>
      <c r="AX75" s="15" t="n">
        <v>0.6563</v>
      </c>
      <c r="AY75" s="14" t="n">
        <v>25</v>
      </c>
      <c r="AZ75" s="8" t="n">
        <v>126.8</v>
      </c>
      <c r="BA75" s="8" t="n">
        <v>125.23</v>
      </c>
      <c r="BB75" s="8" t="n">
        <v>126.0703</v>
      </c>
      <c r="BC75" s="15" t="n">
        <v>1.0661</v>
      </c>
      <c r="BD75" s="11">
        <f>IF(M75=N75,0.5,(J75-N75)/(M75-N75))</f>
        <v/>
      </c>
      <c r="BE75" s="16" t="n">
        <v>5.576</v>
      </c>
      <c r="BF75" s="16" t="n">
        <v>0.821</v>
      </c>
      <c r="BG75" s="17">
        <f>100*(0.4*MIN(1,MAX(0,((U75*100)-(0.0))/((2.5)-(0.0))))+0.3*MIN(1,MAX(0,((V75)-(0.6))/((1.0)-(0.6))))+0.3*MIN(1,MAX(0,((BE75)-(0.0))/((15.0)-(0.0)))))</f>
        <v/>
      </c>
      <c r="BH75" s="17">
        <f>100*(0.4*MIN(1,MAX(0,((MIN(ABS(AA75),ABS(AB75)))-(0.75))/((0.0)-(0.75))))+0.3*MIN(1,MAX(0,((BC75)-(1.2))/((0.6)-(1.2))))+0.3*BD75)</f>
        <v/>
      </c>
      <c r="BI75" s="17">
        <f>100*(0.5*MIN(1,MAX(0,((AK75)-(1.0))/((4.0)-(1.0))))+0.3*MIN(1,MAX(0,((IF(ISNUMBER(AO75),AO75,0)*100)-(0.0))/((8.0)-(0.0))))+0.2*MIN(1,MAX(0,((IF(ISNUMBER(AP75),AP75,0))-(25.0))/((5.0)-(25.0)))))</f>
        <v/>
      </c>
      <c r="BJ75" s="17">
        <f>100*(0.35*MIN(1,MAX(0,((ABS(AU75))-(0.3))/((0.05)-(0.3))))+0.3*MIN(1,MAX(0,((AV75)-(0.0))/((0.3)-(0.0))))+0.25*MIN(1,MAX(0,((AW75)-(0.4))/((0.7)-(0.4))))+0.1*IF(AY75&gt;=2,1,0.5))</f>
        <v/>
      </c>
      <c r="BK75" s="18">
        <f>0.25*BG75+0.25*BH75+0.2*BI75+0.3*BJ75</f>
        <v/>
      </c>
      <c r="BL75" s="5" t="inlineStr">
        <is>
          <t>全部通過</t>
        </is>
      </c>
      <c r="BM75" s="5" t="inlineStr"/>
    </row>
    <row r="76">
      <c r="A76" s="5" t="n">
        <v>1</v>
      </c>
      <c r="B76" s="5" t="n">
        <v>75</v>
      </c>
      <c r="C76" s="6" t="inlineStr">
        <is>
          <t>GSAT</t>
        </is>
      </c>
      <c r="D76" s="5" t="inlineStr">
        <is>
          <t>Globalstar Inc.</t>
        </is>
      </c>
      <c r="E76" s="5" t="inlineStr">
        <is>
          <t>NASDAQ</t>
        </is>
      </c>
      <c r="F76" s="5" t="inlineStr">
        <is>
          <t>非必需消費</t>
        </is>
      </c>
      <c r="G76" s="5" t="inlineStr">
        <is>
          <t>Telecommunications Equipment</t>
        </is>
      </c>
      <c r="H76" s="7" t="n">
        <v>10.74</v>
      </c>
      <c r="I76" s="5" t="inlineStr">
        <is>
          <t>大型</t>
        </is>
      </c>
      <c r="J76" s="8" t="n">
        <v>82.88</v>
      </c>
      <c r="K76" s="8" t="n">
        <v>82.89</v>
      </c>
      <c r="L76" s="9">
        <f>J76/K76-1</f>
        <v/>
      </c>
      <c r="M76" s="8" t="n">
        <v>83.16</v>
      </c>
      <c r="N76" s="8" t="n">
        <v>82.64</v>
      </c>
      <c r="O76" s="10" t="n">
        <v>602600</v>
      </c>
      <c r="P76" s="10" t="n">
        <v>556795</v>
      </c>
      <c r="Q76" s="11">
        <f>O76/P76</f>
        <v/>
      </c>
      <c r="R76" s="8" t="n">
        <v>82.6455</v>
      </c>
      <c r="S76" s="8" t="n">
        <v>82.44289999999999</v>
      </c>
      <c r="T76" s="8" t="n">
        <v>82.2692</v>
      </c>
      <c r="U76" s="9">
        <f>S76/T76-1</f>
        <v/>
      </c>
      <c r="V76" s="12" t="n">
        <v>1</v>
      </c>
      <c r="W76" s="9">
        <f>J76/R76-1</f>
        <v/>
      </c>
      <c r="X76" s="9">
        <f>J76/S76-1</f>
        <v/>
      </c>
      <c r="Y76" s="8" t="n">
        <v>0.6581</v>
      </c>
      <c r="Z76" s="13">
        <f>Y76/J76</f>
        <v/>
      </c>
      <c r="AA76" s="11">
        <f>(J76-R76)/Y76</f>
        <v/>
      </c>
      <c r="AB76" s="11">
        <f>(J76-S76)/Y76</f>
        <v/>
      </c>
      <c r="AC76" s="5">
        <f>IF(ABS(AA76)&lt;=ABS(AB76),"9EMA","21EMA")</f>
        <v/>
      </c>
      <c r="AD76" s="5" t="inlineStr">
        <is>
          <t>9+21EMA</t>
        </is>
      </c>
      <c r="AE76" s="5" t="inlineStr">
        <is>
          <t>持續在上方</t>
        </is>
      </c>
      <c r="AF76" s="5" t="inlineStr"/>
      <c r="AG76" s="5" t="inlineStr"/>
      <c r="AH76" s="5" t="inlineStr">
        <is>
          <t>✓</t>
        </is>
      </c>
      <c r="AI76" s="5" t="inlineStr">
        <is>
          <t>2026-09-17</t>
        </is>
      </c>
      <c r="AJ76" s="5" t="n">
        <v>10</v>
      </c>
      <c r="AK76" s="14" t="n">
        <v>4</v>
      </c>
      <c r="AL76" s="5" t="inlineStr">
        <is>
          <t>2026-09-23</t>
        </is>
      </c>
      <c r="AM76" s="8" t="n">
        <v>81.95</v>
      </c>
      <c r="AN76" s="8" t="n">
        <v>81.55</v>
      </c>
      <c r="AO76" s="9">
        <f>IF(ISNUMBER(AN76),AM76/AN76-1,"")</f>
        <v/>
      </c>
      <c r="AP76" s="14" t="n">
        <v>6</v>
      </c>
      <c r="AQ76" s="9">
        <f>IF(ISNUMBER(AM76),J76/AM76-1,"")</f>
        <v/>
      </c>
      <c r="AR76" s="8" t="n">
        <v>83.04000000000001</v>
      </c>
      <c r="AS76" s="9">
        <f>J76/AR76-1</f>
        <v/>
      </c>
      <c r="AT76" s="5" t="inlineStr">
        <is>
          <t>上升三角（平頂）</t>
        </is>
      </c>
      <c r="AU76" s="15" t="n">
        <v>0.091</v>
      </c>
      <c r="AV76" s="15" t="n">
        <v>0.076</v>
      </c>
      <c r="AW76" s="15" t="n">
        <v>0.5679999999999999</v>
      </c>
      <c r="AX76" s="15" t="n">
        <v>0.525</v>
      </c>
      <c r="AY76" s="14" t="n">
        <v>22</v>
      </c>
      <c r="AZ76" s="8" t="n">
        <v>83.18000000000001</v>
      </c>
      <c r="BA76" s="8" t="n">
        <v>81.02</v>
      </c>
      <c r="BB76" s="8" t="n">
        <v>82.24679999999999</v>
      </c>
      <c r="BC76" s="15" t="n">
        <v>0.8914</v>
      </c>
      <c r="BD76" s="11">
        <f>IF(M76=N76,0.5,(J76-N76)/(M76-N76))</f>
        <v/>
      </c>
      <c r="BE76" s="16" t="n">
        <v>6.61</v>
      </c>
      <c r="BF76" s="16" t="n">
        <v>1.856</v>
      </c>
      <c r="BG76" s="17">
        <f>100*(0.4*MIN(1,MAX(0,((U76*100)-(0.0))/((2.5)-(0.0))))+0.3*MIN(1,MAX(0,((V76)-(0.6))/((1.0)-(0.6))))+0.3*MIN(1,MAX(0,((BE76)-(0.0))/((15.0)-(0.0)))))</f>
        <v/>
      </c>
      <c r="BH76" s="17">
        <f>100*(0.4*MIN(1,MAX(0,((MIN(ABS(AA76),ABS(AB76)))-(0.75))/((0.0)-(0.75))))+0.3*MIN(1,MAX(0,((BC76)-(1.2))/((0.6)-(1.2))))+0.3*BD76)</f>
        <v/>
      </c>
      <c r="BI76" s="17">
        <f>100*(0.5*MIN(1,MAX(0,((AK76)-(1.0))/((4.0)-(1.0))))+0.3*MIN(1,MAX(0,((IF(ISNUMBER(AO76),AO76,0)*100)-(0.0))/((8.0)-(0.0))))+0.2*MIN(1,MAX(0,((IF(ISNUMBER(AP76),AP76,0))-(25.0))/((5.0)-(25.0)))))</f>
        <v/>
      </c>
      <c r="BJ76" s="17">
        <f>100*(0.35*MIN(1,MAX(0,((ABS(AU76))-(0.3))/((0.05)-(0.3))))+0.3*MIN(1,MAX(0,((AV76)-(0.0))/((0.3)-(0.0))))+0.25*MIN(1,MAX(0,((AW76)-(0.4))/((0.7)-(0.4))))+0.1*IF(AY76&gt;=2,1,0.5))</f>
        <v/>
      </c>
      <c r="BK76" s="18">
        <f>0.25*BG76+0.25*BH76+0.2*BI76+0.3*BJ76</f>
        <v/>
      </c>
      <c r="BL76" s="5" t="inlineStr">
        <is>
          <t>全部通過</t>
        </is>
      </c>
      <c r="BM76" s="5" t="inlineStr"/>
    </row>
    <row r="77">
      <c r="A77" s="5" t="n">
        <v>1</v>
      </c>
      <c r="B77" s="5" t="n">
        <v>76</v>
      </c>
      <c r="C77" s="6" t="inlineStr">
        <is>
          <t>TH</t>
        </is>
      </c>
      <c r="D77" s="5" t="inlineStr">
        <is>
          <t>Target Hospitality Corp.</t>
        </is>
      </c>
      <c r="E77" s="5" t="inlineStr">
        <is>
          <t>NASDAQ</t>
        </is>
      </c>
      <c r="F77" s="5" t="inlineStr">
        <is>
          <t>非必需消費</t>
        </is>
      </c>
      <c r="G77" s="5" t="inlineStr">
        <is>
          <t>Hotels/Resorts</t>
        </is>
      </c>
      <c r="H77" s="7" t="n">
        <v>1.965</v>
      </c>
      <c r="I77" s="5" t="inlineStr">
        <is>
          <t>小型</t>
        </is>
      </c>
      <c r="J77" s="8" t="n">
        <v>20.48</v>
      </c>
      <c r="K77" s="8" t="n">
        <v>19.72</v>
      </c>
      <c r="L77" s="9">
        <f>J77/K77-1</f>
        <v/>
      </c>
      <c r="M77" s="8" t="n">
        <v>20.925</v>
      </c>
      <c r="N77" s="8" t="n">
        <v>19.64</v>
      </c>
      <c r="O77" s="10" t="n">
        <v>1825400</v>
      </c>
      <c r="P77" s="10" t="n">
        <v>2423865</v>
      </c>
      <c r="Q77" s="11">
        <f>O77/P77</f>
        <v/>
      </c>
      <c r="R77" s="8" t="n">
        <v>20.1348</v>
      </c>
      <c r="S77" s="8" t="n">
        <v>19.7224</v>
      </c>
      <c r="T77" s="8" t="n">
        <v>19.6261</v>
      </c>
      <c r="U77" s="9">
        <f>S77/T77-1</f>
        <v/>
      </c>
      <c r="V77" s="12" t="n">
        <v>0.8</v>
      </c>
      <c r="W77" s="9">
        <f>J77/R77-1</f>
        <v/>
      </c>
      <c r="X77" s="9">
        <f>J77/S77-1</f>
        <v/>
      </c>
      <c r="Y77" s="8" t="n">
        <v>0.9849</v>
      </c>
      <c r="Z77" s="13">
        <f>Y77/J77</f>
        <v/>
      </c>
      <c r="AA77" s="11">
        <f>(J77-R77)/Y77</f>
        <v/>
      </c>
      <c r="AB77" s="11">
        <f>(J77-S77)/Y77</f>
        <v/>
      </c>
      <c r="AC77" s="5">
        <f>IF(ABS(AA77)&lt;=ABS(AB77),"9EMA","21EMA")</f>
        <v/>
      </c>
      <c r="AD77" s="5" t="inlineStr">
        <is>
          <t>9+21EMA</t>
        </is>
      </c>
      <c r="AE77" s="5" t="inlineStr">
        <is>
          <t>持續在上方</t>
        </is>
      </c>
      <c r="AF77" s="5" t="inlineStr"/>
      <c r="AG77" s="5" t="inlineStr"/>
      <c r="AH77" s="5" t="inlineStr">
        <is>
          <t>✓</t>
        </is>
      </c>
      <c r="AI77" s="5" t="inlineStr">
        <is>
          <t>2026-08-17</t>
        </is>
      </c>
      <c r="AJ77" s="5" t="n">
        <v>32</v>
      </c>
      <c r="AK77" s="14" t="n">
        <v>3</v>
      </c>
      <c r="AL77" s="5" t="inlineStr">
        <is>
          <t>2026-09-28</t>
        </is>
      </c>
      <c r="AM77" s="8" t="n">
        <v>18.94</v>
      </c>
      <c r="AN77" s="8" t="n">
        <v>18.43</v>
      </c>
      <c r="AO77" s="9">
        <f>IF(ISNUMBER(AN77),AM77/AN77-1,"")</f>
        <v/>
      </c>
      <c r="AP77" s="14" t="n">
        <v>3</v>
      </c>
      <c r="AQ77" s="9">
        <f>IF(ISNUMBER(AM77),J77/AM77-1,"")</f>
        <v/>
      </c>
      <c r="AR77" s="8" t="n">
        <v>21.45</v>
      </c>
      <c r="AS77" s="9">
        <f>J77/AR77-1</f>
        <v/>
      </c>
      <c r="AT77" s="5" t="inlineStr">
        <is>
          <t>上傾擴張</t>
        </is>
      </c>
      <c r="AU77" s="15" t="n">
        <v>0.5656</v>
      </c>
      <c r="AV77" s="15" t="n">
        <v>0.249</v>
      </c>
      <c r="AW77" s="15" t="n">
        <v>0.5496</v>
      </c>
      <c r="AX77" s="15" t="n">
        <v>0.4974</v>
      </c>
      <c r="AY77" s="14" t="n">
        <v>5</v>
      </c>
      <c r="AZ77" s="8" t="n">
        <v>21.76</v>
      </c>
      <c r="BA77" s="8" t="n">
        <v>17.3</v>
      </c>
      <c r="BB77" s="8" t="n">
        <v>19.7512</v>
      </c>
      <c r="BC77" s="15" t="n">
        <v>0.7609</v>
      </c>
      <c r="BD77" s="11">
        <f>IF(M77=N77,0.5,(J77-N77)/(M77-N77))</f>
        <v/>
      </c>
      <c r="BE77" s="16" t="n">
        <v>18.091</v>
      </c>
      <c r="BF77" s="16" t="n">
        <v>13.337</v>
      </c>
      <c r="BG77" s="17">
        <f>100*(0.4*MIN(1,MAX(0,((U77*100)-(0.0))/((2.5)-(0.0))))+0.3*MIN(1,MAX(0,((V77)-(0.6))/((1.0)-(0.6))))+0.3*MIN(1,MAX(0,((BE77)-(0.0))/((15.0)-(0.0)))))</f>
        <v/>
      </c>
      <c r="BH77" s="17">
        <f>100*(0.4*MIN(1,MAX(0,((MIN(ABS(AA77),ABS(AB77)))-(0.75))/((0.0)-(0.75))))+0.3*MIN(1,MAX(0,((BC77)-(1.2))/((0.6)-(1.2))))+0.3*BD77)</f>
        <v/>
      </c>
      <c r="BI77" s="17">
        <f>100*(0.5*MIN(1,MAX(0,((AK77)-(1.0))/((4.0)-(1.0))))+0.3*MIN(1,MAX(0,((IF(ISNUMBER(AO77),AO77,0)*100)-(0.0))/((8.0)-(0.0))))+0.2*MIN(1,MAX(0,((IF(ISNUMBER(AP77),AP77,0))-(25.0))/((5.0)-(25.0)))))</f>
        <v/>
      </c>
      <c r="BJ77" s="17">
        <f>100*(0.35*MIN(1,MAX(0,((ABS(AU77))-(0.3))/((0.05)-(0.3))))+0.3*MIN(1,MAX(0,((AV77)-(0.0))/((0.3)-(0.0))))+0.25*MIN(1,MAX(0,((AW77)-(0.4))/((0.7)-(0.4))))+0.1*IF(AY77&gt;=2,1,0.5))</f>
        <v/>
      </c>
      <c r="BK77" s="18">
        <f>0.25*BG77+0.25*BH77+0.2*BI77+0.3*BJ77</f>
        <v/>
      </c>
      <c r="BL77" s="5" t="inlineStr">
        <is>
          <t>全部通過</t>
        </is>
      </c>
      <c r="BM77" s="5" t="inlineStr"/>
    </row>
    <row r="78">
      <c r="A78" s="5" t="n">
        <v>1</v>
      </c>
      <c r="B78" s="5" t="n">
        <v>77</v>
      </c>
      <c r="C78" s="6" t="inlineStr">
        <is>
          <t>CLDT</t>
        </is>
      </c>
      <c r="D78" s="5" t="inlineStr">
        <is>
          <t>Chatham Lodging Trust (REIT)</t>
        </is>
      </c>
      <c r="E78" s="5" t="inlineStr">
        <is>
          <t>NYSE</t>
        </is>
      </c>
      <c r="F78" s="5" t="inlineStr">
        <is>
          <t>房地產</t>
        </is>
      </c>
      <c r="G78" s="5" t="inlineStr">
        <is>
          <t>Real Estate Investment Trusts</t>
        </is>
      </c>
      <c r="H78" s="7" t="n">
        <v>0.623</v>
      </c>
      <c r="I78" s="5" t="inlineStr">
        <is>
          <t>小型</t>
        </is>
      </c>
      <c r="J78" s="8" t="n">
        <v>13.56</v>
      </c>
      <c r="K78" s="8" t="n">
        <v>13.38</v>
      </c>
      <c r="L78" s="9">
        <f>J78/K78-1</f>
        <v/>
      </c>
      <c r="M78" s="8" t="n">
        <v>13.63</v>
      </c>
      <c r="N78" s="8" t="n">
        <v>13.18</v>
      </c>
      <c r="O78" s="10" t="n">
        <v>257600</v>
      </c>
      <c r="P78" s="10" t="n">
        <v>286870</v>
      </c>
      <c r="Q78" s="11">
        <f>O78/P78</f>
        <v/>
      </c>
      <c r="R78" s="8" t="n">
        <v>13.3354</v>
      </c>
      <c r="S78" s="8" t="n">
        <v>13.2217</v>
      </c>
      <c r="T78" s="8" t="n">
        <v>13.0952</v>
      </c>
      <c r="U78" s="9">
        <f>S78/T78-1</f>
        <v/>
      </c>
      <c r="V78" s="12" t="n">
        <v>0.9</v>
      </c>
      <c r="W78" s="9">
        <f>J78/R78-1</f>
        <v/>
      </c>
      <c r="X78" s="9">
        <f>J78/S78-1</f>
        <v/>
      </c>
      <c r="Y78" s="8" t="n">
        <v>0.3356</v>
      </c>
      <c r="Z78" s="13">
        <f>Y78/J78</f>
        <v/>
      </c>
      <c r="AA78" s="11">
        <f>(J78-R78)/Y78</f>
        <v/>
      </c>
      <c r="AB78" s="11">
        <f>(J78-S78)/Y78</f>
        <v/>
      </c>
      <c r="AC78" s="5">
        <f>IF(ABS(AA78)&lt;=ABS(AB78),"9EMA","21EMA")</f>
        <v/>
      </c>
      <c r="AD78" s="5" t="inlineStr">
        <is>
          <t>9+21EMA</t>
        </is>
      </c>
      <c r="AE78" s="19" t="inlineStr">
        <is>
          <t>剛黃金交叉</t>
        </is>
      </c>
      <c r="AF78" s="5" t="inlineStr">
        <is>
          <t>✓</t>
        </is>
      </c>
      <c r="AG78" s="5" t="inlineStr"/>
      <c r="AH78" s="5" t="inlineStr">
        <is>
          <t>✓</t>
        </is>
      </c>
      <c r="AI78" s="5" t="inlineStr">
        <is>
          <t>2026-09-24</t>
        </is>
      </c>
      <c r="AJ78" s="5" t="n">
        <v>5</v>
      </c>
      <c r="AK78" s="14" t="n">
        <v>3</v>
      </c>
      <c r="AL78" s="5" t="inlineStr">
        <is>
          <t>2026-09-16</t>
        </is>
      </c>
      <c r="AM78" s="8" t="n">
        <v>12.64</v>
      </c>
      <c r="AN78" s="8" t="n">
        <v>12.53</v>
      </c>
      <c r="AO78" s="9">
        <f>IF(ISNUMBER(AN78),AM78/AN78-1,"")</f>
        <v/>
      </c>
      <c r="AP78" s="14" t="n">
        <v>11</v>
      </c>
      <c r="AQ78" s="9">
        <f>IF(ISNUMBER(AM78),J78/AM78-1,"")</f>
        <v/>
      </c>
      <c r="AR78" s="8" t="n">
        <v>13.56</v>
      </c>
      <c r="AS78" s="9">
        <f>J78/AR78-1</f>
        <v/>
      </c>
      <c r="AT78" s="5" t="inlineStr">
        <is>
          <t>上升三角（平頂）</t>
        </is>
      </c>
      <c r="AU78" s="15" t="n">
        <v>0.0405</v>
      </c>
      <c r="AV78" s="15" t="n">
        <v>0.1622</v>
      </c>
      <c r="AW78" s="15" t="n">
        <v>0.5179</v>
      </c>
      <c r="AX78" s="15" t="n">
        <v>0.427</v>
      </c>
      <c r="AY78" s="14" t="n">
        <v>7</v>
      </c>
      <c r="AZ78" s="8" t="n">
        <v>13.68</v>
      </c>
      <c r="BA78" s="8" t="n">
        <v>12.53</v>
      </c>
      <c r="BB78" s="8" t="n">
        <v>13.1256</v>
      </c>
      <c r="BC78" s="15" t="n">
        <v>0.9427</v>
      </c>
      <c r="BD78" s="11">
        <f>IF(M78=N78,0.5,(J78-N78)/(M78-N78))</f>
        <v/>
      </c>
      <c r="BE78" s="16" t="n">
        <v>8.423999999999999</v>
      </c>
      <c r="BF78" s="16" t="n">
        <v>3.67</v>
      </c>
      <c r="BG78" s="17">
        <f>100*(0.4*MIN(1,MAX(0,((U78*100)-(0.0))/((2.5)-(0.0))))+0.3*MIN(1,MAX(0,((V78)-(0.6))/((1.0)-(0.6))))+0.3*MIN(1,MAX(0,((BE78)-(0.0))/((15.0)-(0.0)))))</f>
        <v/>
      </c>
      <c r="BH78" s="17">
        <f>100*(0.4*MIN(1,MAX(0,((MIN(ABS(AA78),ABS(AB78)))-(0.75))/((0.0)-(0.75))))+0.3*MIN(1,MAX(0,((BC78)-(1.2))/((0.6)-(1.2))))+0.3*BD78)</f>
        <v/>
      </c>
      <c r="BI78" s="17">
        <f>100*(0.5*MIN(1,MAX(0,((AK78)-(1.0))/((4.0)-(1.0))))+0.3*MIN(1,MAX(0,((IF(ISNUMBER(AO78),AO78,0)*100)-(0.0))/((8.0)-(0.0))))+0.2*MIN(1,MAX(0,((IF(ISNUMBER(AP78),AP78,0))-(25.0))/((5.0)-(25.0)))))</f>
        <v/>
      </c>
      <c r="BJ78" s="17">
        <f>100*(0.35*MIN(1,MAX(0,((ABS(AU78))-(0.3))/((0.05)-(0.3))))+0.3*MIN(1,MAX(0,((AV78)-(0.0))/((0.3)-(0.0))))+0.25*MIN(1,MAX(0,((AW78)-(0.4))/((0.7)-(0.4))))+0.1*IF(AY78&gt;=2,1,0.5))</f>
        <v/>
      </c>
      <c r="BK78" s="18">
        <f>0.25*BG78+0.25*BH78+0.2*BI78+0.3*BJ78</f>
        <v/>
      </c>
      <c r="BL78" s="5" t="inlineStr">
        <is>
          <t>全部通過</t>
        </is>
      </c>
      <c r="BM78" s="5" t="inlineStr"/>
    </row>
    <row r="79">
      <c r="A79" s="5" t="n">
        <v>1</v>
      </c>
      <c r="B79" s="5" t="n">
        <v>78</v>
      </c>
      <c r="C79" s="6" t="inlineStr">
        <is>
          <t>AMBA</t>
        </is>
      </c>
      <c r="D79" s="5" t="inlineStr">
        <is>
          <t>Ambarella Inc.</t>
        </is>
      </c>
      <c r="E79" s="5" t="inlineStr">
        <is>
          <t>NASDAQ</t>
        </is>
      </c>
      <c r="F79" s="5" t="inlineStr">
        <is>
          <t>科技</t>
        </is>
      </c>
      <c r="G79" s="5" t="inlineStr">
        <is>
          <t>Semiconductors</t>
        </is>
      </c>
      <c r="H79" s="7" t="n">
        <v>3.068</v>
      </c>
      <c r="I79" s="5" t="inlineStr">
        <is>
          <t>中型</t>
        </is>
      </c>
      <c r="J79" s="8" t="n">
        <v>70.3</v>
      </c>
      <c r="K79" s="8" t="n">
        <v>69.51000000000001</v>
      </c>
      <c r="L79" s="9">
        <f>J79/K79-1</f>
        <v/>
      </c>
      <c r="M79" s="8" t="n">
        <v>70.95</v>
      </c>
      <c r="N79" s="8" t="n">
        <v>68.47</v>
      </c>
      <c r="O79" s="10" t="n">
        <v>580700</v>
      </c>
      <c r="P79" s="10" t="n">
        <v>2019600</v>
      </c>
      <c r="Q79" s="11">
        <f>O79/P79</f>
        <v/>
      </c>
      <c r="R79" s="8" t="n">
        <v>69.0585</v>
      </c>
      <c r="S79" s="8" t="n">
        <v>68.83</v>
      </c>
      <c r="T79" s="8" t="n">
        <v>68.1678</v>
      </c>
      <c r="U79" s="9">
        <f>S79/T79-1</f>
        <v/>
      </c>
      <c r="V79" s="12" t="n">
        <v>0.7</v>
      </c>
      <c r="W79" s="9">
        <f>J79/R79-1</f>
        <v/>
      </c>
      <c r="X79" s="9">
        <f>J79/S79-1</f>
        <v/>
      </c>
      <c r="Y79" s="8" t="n">
        <v>4.0239</v>
      </c>
      <c r="Z79" s="13">
        <f>Y79/J79</f>
        <v/>
      </c>
      <c r="AA79" s="11">
        <f>(J79-R79)/Y79</f>
        <v/>
      </c>
      <c r="AB79" s="11">
        <f>(J79-S79)/Y79</f>
        <v/>
      </c>
      <c r="AC79" s="5">
        <f>IF(ABS(AA79)&lt;=ABS(AB79),"9EMA","21EMA")</f>
        <v/>
      </c>
      <c r="AD79" s="5" t="inlineStr">
        <is>
          <t>9+21EMA</t>
        </is>
      </c>
      <c r="AE79" s="19" t="inlineStr">
        <is>
          <t>剛黃金交叉</t>
        </is>
      </c>
      <c r="AF79" s="5" t="inlineStr">
        <is>
          <t>✓</t>
        </is>
      </c>
      <c r="AG79" s="5" t="inlineStr"/>
      <c r="AH79" s="5" t="inlineStr">
        <is>
          <t>✓</t>
        </is>
      </c>
      <c r="AI79" s="5" t="inlineStr">
        <is>
          <t>2026-09-30</t>
        </is>
      </c>
      <c r="AJ79" s="5" t="n">
        <v>1</v>
      </c>
      <c r="AK79" s="14" t="n">
        <v>3</v>
      </c>
      <c r="AL79" s="5" t="inlineStr">
        <is>
          <t>2026-09-23</t>
        </is>
      </c>
      <c r="AM79" s="8" t="n">
        <v>63.65</v>
      </c>
      <c r="AN79" s="8" t="n">
        <v>61.91</v>
      </c>
      <c r="AO79" s="9">
        <f>IF(ISNUMBER(AN79),AM79/AN79-1,"")</f>
        <v/>
      </c>
      <c r="AP79" s="14" t="n">
        <v>6</v>
      </c>
      <c r="AQ79" s="9">
        <f>IF(ISNUMBER(AM79),J79/AM79-1,"")</f>
        <v/>
      </c>
      <c r="AR79" s="8" t="n">
        <v>72.68000000000001</v>
      </c>
      <c r="AS79" s="9">
        <f>J79/AR79-1</f>
        <v/>
      </c>
      <c r="AT79" s="5" t="inlineStr">
        <is>
          <t>上傾收窄（楔形）</t>
        </is>
      </c>
      <c r="AU79" s="15" t="n">
        <v>0.2389</v>
      </c>
      <c r="AV79" s="15" t="n">
        <v>0.6629</v>
      </c>
      <c r="AW79" s="15" t="n">
        <v>0.5177</v>
      </c>
      <c r="AX79" s="15" t="n">
        <v>0.4121</v>
      </c>
      <c r="AY79" s="14" t="n">
        <v>1</v>
      </c>
      <c r="AZ79" s="8" t="n">
        <v>74.98999999999999</v>
      </c>
      <c r="BA79" s="8" t="n">
        <v>58.12</v>
      </c>
      <c r="BB79" s="8" t="n">
        <v>66.8535</v>
      </c>
      <c r="BC79" s="15" t="n">
        <v>0.7744</v>
      </c>
      <c r="BD79" s="11">
        <f>IF(M79=N79,0.5,(J79-N79)/(M79-N79))</f>
        <v/>
      </c>
      <c r="BE79" s="16" t="n">
        <v>8.396000000000001</v>
      </c>
      <c r="BF79" s="16" t="n">
        <v>3.641</v>
      </c>
      <c r="BG79" s="17">
        <f>100*(0.4*MIN(1,MAX(0,((U79*100)-(0.0))/((2.5)-(0.0))))+0.3*MIN(1,MAX(0,((V79)-(0.6))/((1.0)-(0.6))))+0.3*MIN(1,MAX(0,((BE79)-(0.0))/((15.0)-(0.0)))))</f>
        <v/>
      </c>
      <c r="BH79" s="17">
        <f>100*(0.4*MIN(1,MAX(0,((MIN(ABS(AA79),ABS(AB79)))-(0.75))/((0.0)-(0.75))))+0.3*MIN(1,MAX(0,((BC79)-(1.2))/((0.6)-(1.2))))+0.3*BD79)</f>
        <v/>
      </c>
      <c r="BI79" s="17">
        <f>100*(0.5*MIN(1,MAX(0,((AK79)-(1.0))/((4.0)-(1.0))))+0.3*MIN(1,MAX(0,((IF(ISNUMBER(AO79),AO79,0)*100)-(0.0))/((8.0)-(0.0))))+0.2*MIN(1,MAX(0,((IF(ISNUMBER(AP79),AP79,0))-(25.0))/((5.0)-(25.0)))))</f>
        <v/>
      </c>
      <c r="BJ79" s="17">
        <f>100*(0.35*MIN(1,MAX(0,((ABS(AU79))-(0.3))/((0.05)-(0.3))))+0.3*MIN(1,MAX(0,((AV79)-(0.0))/((0.3)-(0.0))))+0.25*MIN(1,MAX(0,((AW79)-(0.4))/((0.7)-(0.4))))+0.1*IF(AY79&gt;=2,1,0.5))</f>
        <v/>
      </c>
      <c r="BK79" s="18">
        <f>0.25*BG79+0.25*BH79+0.2*BI79+0.3*BJ79</f>
        <v/>
      </c>
      <c r="BL79" s="5" t="inlineStr">
        <is>
          <t>全部通過</t>
        </is>
      </c>
      <c r="BM79" s="5" t="inlineStr"/>
    </row>
    <row r="80">
      <c r="A80" s="5" t="n">
        <v>1</v>
      </c>
      <c r="B80" s="5" t="n">
        <v>79</v>
      </c>
      <c r="C80" s="6" t="inlineStr">
        <is>
          <t>SMTI</t>
        </is>
      </c>
      <c r="D80" s="5" t="inlineStr">
        <is>
          <t>Sanara MedTech Inc.</t>
        </is>
      </c>
      <c r="E80" s="5" t="inlineStr">
        <is>
          <t>NASDAQ</t>
        </is>
      </c>
      <c r="F80" s="5" t="inlineStr">
        <is>
          <t>醫療保健</t>
        </is>
      </c>
      <c r="G80" s="5" t="inlineStr">
        <is>
          <t>Industrial Specialties</t>
        </is>
      </c>
      <c r="H80" s="7" t="n">
        <v>0.323</v>
      </c>
      <c r="I80" s="5" t="inlineStr">
        <is>
          <t>小型</t>
        </is>
      </c>
      <c r="J80" s="8" t="n">
        <v>34.88</v>
      </c>
      <c r="K80" s="8" t="n">
        <v>35.14</v>
      </c>
      <c r="L80" s="9">
        <f>J80/K80-1</f>
        <v/>
      </c>
      <c r="M80" s="8" t="n">
        <v>35.12</v>
      </c>
      <c r="N80" s="8" t="n">
        <v>34.79</v>
      </c>
      <c r="O80" s="10" t="n">
        <v>541800</v>
      </c>
      <c r="P80" s="10" t="n">
        <v>218980</v>
      </c>
      <c r="Q80" s="11">
        <f>O80/P80</f>
        <v/>
      </c>
      <c r="R80" s="8" t="n">
        <v>35.055</v>
      </c>
      <c r="S80" s="8" t="n">
        <v>34.8487</v>
      </c>
      <c r="T80" s="8" t="n">
        <v>34.7273</v>
      </c>
      <c r="U80" s="9">
        <f>S80/T80-1</f>
        <v/>
      </c>
      <c r="V80" s="12" t="n">
        <v>1</v>
      </c>
      <c r="W80" s="9">
        <f>J80/R80-1</f>
        <v/>
      </c>
      <c r="X80" s="9">
        <f>J80/S80-1</f>
        <v/>
      </c>
      <c r="Y80" s="8" t="n">
        <v>0.2778</v>
      </c>
      <c r="Z80" s="13">
        <f>Y80/J80</f>
        <v/>
      </c>
      <c r="AA80" s="11">
        <f>(J80-R80)/Y80</f>
        <v/>
      </c>
      <c r="AB80" s="11">
        <f>(J80-S80)/Y80</f>
        <v/>
      </c>
      <c r="AC80" s="5">
        <f>IF(ABS(AA80)&lt;=ABS(AB80),"9EMA","21EMA")</f>
        <v/>
      </c>
      <c r="AD80" s="5" t="inlineStr">
        <is>
          <t>9+21EMA</t>
        </is>
      </c>
      <c r="AE80" s="5" t="inlineStr">
        <is>
          <t>持續在上方</t>
        </is>
      </c>
      <c r="AF80" s="5" t="inlineStr"/>
      <c r="AG80" s="5" t="inlineStr">
        <is>
          <t>✓</t>
        </is>
      </c>
      <c r="AH80" s="5" t="inlineStr"/>
      <c r="AI80" s="5" t="inlineStr">
        <is>
          <t>2026-05-12</t>
        </is>
      </c>
      <c r="AJ80" s="5" t="n">
        <v>98</v>
      </c>
      <c r="AK80" s="14" t="n">
        <v>6</v>
      </c>
      <c r="AL80" s="5" t="inlineStr">
        <is>
          <t>2026-09-25</t>
        </is>
      </c>
      <c r="AM80" s="8" t="n">
        <v>34.97</v>
      </c>
      <c r="AN80" s="8" t="n">
        <v>34.71</v>
      </c>
      <c r="AO80" s="9">
        <f>IF(ISNUMBER(AN80),AM80/AN80-1,"")</f>
        <v/>
      </c>
      <c r="AP80" s="14" t="n">
        <v>4</v>
      </c>
      <c r="AQ80" s="9">
        <f>IF(ISNUMBER(AM80),J80/AM80-1,"")</f>
        <v/>
      </c>
      <c r="AR80" s="8" t="n">
        <v>35.28</v>
      </c>
      <c r="AS80" s="9">
        <f>J80/AR80-1</f>
        <v/>
      </c>
      <c r="AT80" s="5" t="inlineStr">
        <is>
          <t>上升三角（平頂）</t>
        </is>
      </c>
      <c r="AU80" s="15" t="n">
        <v>0.041</v>
      </c>
      <c r="AV80" s="15" t="n">
        <v>0.0728</v>
      </c>
      <c r="AW80" s="15" t="n">
        <v>0.5145999999999999</v>
      </c>
      <c r="AX80" s="15" t="n">
        <v>0.4828</v>
      </c>
      <c r="AY80" s="14" t="n">
        <v>22</v>
      </c>
      <c r="AZ80" s="8" t="n">
        <v>35.34</v>
      </c>
      <c r="BA80" s="8" t="n">
        <v>34.46</v>
      </c>
      <c r="BB80" s="8" t="n">
        <v>34.9128</v>
      </c>
      <c r="BC80" s="15" t="n">
        <v>1.421</v>
      </c>
      <c r="BD80" s="11">
        <f>IF(M80=N80,0.5,(J80-N80)/(M80-N80))</f>
        <v/>
      </c>
      <c r="BE80" s="16" t="n">
        <v>5.013</v>
      </c>
      <c r="BF80" s="16" t="n">
        <v>0.259</v>
      </c>
      <c r="BG80" s="17">
        <f>100*(0.4*MIN(1,MAX(0,((U80*100)-(0.0))/((2.5)-(0.0))))+0.3*MIN(1,MAX(0,((V80)-(0.6))/((1.0)-(0.6))))+0.3*MIN(1,MAX(0,((BE80)-(0.0))/((15.0)-(0.0)))))</f>
        <v/>
      </c>
      <c r="BH80" s="17">
        <f>100*(0.4*MIN(1,MAX(0,((MIN(ABS(AA80),ABS(AB80)))-(0.75))/((0.0)-(0.75))))+0.3*MIN(1,MAX(0,((BC80)-(1.2))/((0.6)-(1.2))))+0.3*BD80)</f>
        <v/>
      </c>
      <c r="BI80" s="17">
        <f>100*(0.5*MIN(1,MAX(0,((AK80)-(1.0))/((4.0)-(1.0))))+0.3*MIN(1,MAX(0,((IF(ISNUMBER(AO80),AO80,0)*100)-(0.0))/((8.0)-(0.0))))+0.2*MIN(1,MAX(0,((IF(ISNUMBER(AP80),AP80,0))-(25.0))/((5.0)-(25.0)))))</f>
        <v/>
      </c>
      <c r="BJ80" s="17">
        <f>100*(0.35*MIN(1,MAX(0,((ABS(AU80))-(0.3))/((0.05)-(0.3))))+0.3*MIN(1,MAX(0,((AV80)-(0.0))/((0.3)-(0.0))))+0.25*MIN(1,MAX(0,((AW80)-(0.4))/((0.7)-(0.4))))+0.1*IF(AY80&gt;=2,1,0.5))</f>
        <v/>
      </c>
      <c r="BK80" s="18">
        <f>0.25*BG80+0.25*BH80+0.2*BI80+0.3*BJ80</f>
        <v/>
      </c>
      <c r="BL80" s="5" t="inlineStr">
        <is>
          <t>全部通過</t>
        </is>
      </c>
      <c r="BM80" s="5" t="inlineStr"/>
    </row>
    <row r="81">
      <c r="A81" s="5" t="n">
        <v>1</v>
      </c>
      <c r="B81" s="5" t="n">
        <v>80</v>
      </c>
      <c r="C81" s="6" t="inlineStr">
        <is>
          <t>FAST</t>
        </is>
      </c>
      <c r="D81" s="5" t="inlineStr">
        <is>
          <t>Fastenal Company</t>
        </is>
      </c>
      <c r="E81" s="5" t="inlineStr">
        <is>
          <t>NASDAQ</t>
        </is>
      </c>
      <c r="F81" s="5" t="inlineStr">
        <is>
          <t>非必需消費</t>
        </is>
      </c>
      <c r="G81" s="5" t="inlineStr">
        <is>
          <t>RETAIL: Building Materials</t>
        </is>
      </c>
      <c r="H81" s="7" t="n">
        <v>56.836</v>
      </c>
      <c r="I81" s="5" t="inlineStr">
        <is>
          <t>大型</t>
        </is>
      </c>
      <c r="J81" s="8" t="n">
        <v>50.23</v>
      </c>
      <c r="K81" s="8" t="n">
        <v>49.53</v>
      </c>
      <c r="L81" s="9">
        <f>J81/K81-1</f>
        <v/>
      </c>
      <c r="M81" s="8" t="n">
        <v>50.27</v>
      </c>
      <c r="N81" s="8" t="n">
        <v>49.11</v>
      </c>
      <c r="O81" s="10" t="n">
        <v>6198900</v>
      </c>
      <c r="P81" s="10" t="n">
        <v>6994730</v>
      </c>
      <c r="Q81" s="11">
        <f>O81/P81</f>
        <v/>
      </c>
      <c r="R81" s="8" t="n">
        <v>50.0376</v>
      </c>
      <c r="S81" s="8" t="n">
        <v>49.8847</v>
      </c>
      <c r="T81" s="8" t="n">
        <v>49.7511</v>
      </c>
      <c r="U81" s="9">
        <f>S81/T81-1</f>
        <v/>
      </c>
      <c r="V81" s="12" t="n">
        <v>0.8</v>
      </c>
      <c r="W81" s="9">
        <f>J81/R81-1</f>
        <v/>
      </c>
      <c r="X81" s="9">
        <f>J81/S81-1</f>
        <v/>
      </c>
      <c r="Y81" s="8" t="n">
        <v>0.9813</v>
      </c>
      <c r="Z81" s="13">
        <f>Y81/J81</f>
        <v/>
      </c>
      <c r="AA81" s="11">
        <f>(J81-R81)/Y81</f>
        <v/>
      </c>
      <c r="AB81" s="11">
        <f>(J81-S81)/Y81</f>
        <v/>
      </c>
      <c r="AC81" s="5">
        <f>IF(ABS(AA81)&lt;=ABS(AB81),"9EMA","21EMA")</f>
        <v/>
      </c>
      <c r="AD81" s="5" t="inlineStr">
        <is>
          <t>9+21EMA</t>
        </is>
      </c>
      <c r="AE81" s="5" t="inlineStr">
        <is>
          <t>持續在上方</t>
        </is>
      </c>
      <c r="AF81" s="5" t="inlineStr"/>
      <c r="AG81" s="5" t="inlineStr"/>
      <c r="AH81" s="5" t="inlineStr">
        <is>
          <t>✓</t>
        </is>
      </c>
      <c r="AI81" s="5" t="inlineStr">
        <is>
          <t>2026-09-23</t>
        </is>
      </c>
      <c r="AJ81" s="5" t="n">
        <v>6</v>
      </c>
      <c r="AK81" s="14" t="n">
        <v>3</v>
      </c>
      <c r="AL81" s="5" t="inlineStr">
        <is>
          <t>2026-09-21</t>
        </is>
      </c>
      <c r="AM81" s="8" t="n">
        <v>48.53</v>
      </c>
      <c r="AN81" s="8" t="n">
        <v>48.06</v>
      </c>
      <c r="AO81" s="9">
        <f>IF(ISNUMBER(AN81),AM81/AN81-1,"")</f>
        <v/>
      </c>
      <c r="AP81" s="14" t="n">
        <v>8</v>
      </c>
      <c r="AQ81" s="9">
        <f>IF(ISNUMBER(AM81),J81/AM81-1,"")</f>
        <v/>
      </c>
      <c r="AR81" s="8" t="n">
        <v>50.99</v>
      </c>
      <c r="AS81" s="9">
        <f>J81/AR81-1</f>
        <v/>
      </c>
      <c r="AT81" s="5" t="inlineStr">
        <is>
          <t>上升三角（平頂）</t>
        </is>
      </c>
      <c r="AU81" s="15" t="n">
        <v>0.0068</v>
      </c>
      <c r="AV81" s="15" t="n">
        <v>0.1452</v>
      </c>
      <c r="AW81" s="15" t="n">
        <v>0.5121</v>
      </c>
      <c r="AX81" s="15" t="n">
        <v>0.5302</v>
      </c>
      <c r="AY81" s="14" t="n">
        <v>6</v>
      </c>
      <c r="AZ81" s="8" t="n">
        <v>51.52</v>
      </c>
      <c r="BA81" s="8" t="n">
        <v>47.65</v>
      </c>
      <c r="BB81" s="8" t="n">
        <v>49.6318</v>
      </c>
      <c r="BC81" s="15" t="n">
        <v>1.4559</v>
      </c>
      <c r="BD81" s="11">
        <f>IF(M81=N81,0.5,(J81-N81)/(M81-N81))</f>
        <v/>
      </c>
      <c r="BE81" s="16" t="n">
        <v>7.79</v>
      </c>
      <c r="BF81" s="16" t="n">
        <v>3.036</v>
      </c>
      <c r="BG81" s="17">
        <f>100*(0.4*MIN(1,MAX(0,((U81*100)-(0.0))/((2.5)-(0.0))))+0.3*MIN(1,MAX(0,((V81)-(0.6))/((1.0)-(0.6))))+0.3*MIN(1,MAX(0,((BE81)-(0.0))/((15.0)-(0.0)))))</f>
        <v/>
      </c>
      <c r="BH81" s="17">
        <f>100*(0.4*MIN(1,MAX(0,((MIN(ABS(AA81),ABS(AB81)))-(0.75))/((0.0)-(0.75))))+0.3*MIN(1,MAX(0,((BC81)-(1.2))/((0.6)-(1.2))))+0.3*BD81)</f>
        <v/>
      </c>
      <c r="BI81" s="17">
        <f>100*(0.5*MIN(1,MAX(0,((AK81)-(1.0))/((4.0)-(1.0))))+0.3*MIN(1,MAX(0,((IF(ISNUMBER(AO81),AO81,0)*100)-(0.0))/((8.0)-(0.0))))+0.2*MIN(1,MAX(0,((IF(ISNUMBER(AP81),AP81,0))-(25.0))/((5.0)-(25.0)))))</f>
        <v/>
      </c>
      <c r="BJ81" s="17">
        <f>100*(0.35*MIN(1,MAX(0,((ABS(AU81))-(0.3))/((0.05)-(0.3))))+0.3*MIN(1,MAX(0,((AV81)-(0.0))/((0.3)-(0.0))))+0.25*MIN(1,MAX(0,((AW81)-(0.4))/((0.7)-(0.4))))+0.1*IF(AY81&gt;=2,1,0.5))</f>
        <v/>
      </c>
      <c r="BK81" s="18">
        <f>0.25*BG81+0.25*BH81+0.2*BI81+0.3*BJ81</f>
        <v/>
      </c>
      <c r="BL81" s="5" t="inlineStr">
        <is>
          <t>全部通過</t>
        </is>
      </c>
      <c r="BM81" s="5" t="inlineStr"/>
    </row>
    <row r="82">
      <c r="A82" s="5" t="n">
        <v>1</v>
      </c>
      <c r="B82" s="5" t="n">
        <v>81</v>
      </c>
      <c r="C82" s="6" t="inlineStr">
        <is>
          <t>BPRN</t>
        </is>
      </c>
      <c r="D82" s="5" t="inlineStr">
        <is>
          <t>Princeton Bancorp Inc.</t>
        </is>
      </c>
      <c r="E82" s="5" t="inlineStr">
        <is>
          <t>NASDAQ</t>
        </is>
      </c>
      <c r="F82" s="5" t="inlineStr">
        <is>
          <t>金融</t>
        </is>
      </c>
      <c r="G82" s="5" t="inlineStr">
        <is>
          <t>Major Banks</t>
        </is>
      </c>
      <c r="H82" s="7" t="n">
        <v>0.292</v>
      </c>
      <c r="I82" s="5" t="inlineStr">
        <is>
          <t>小型</t>
        </is>
      </c>
      <c r="J82" s="8" t="n">
        <v>43.16</v>
      </c>
      <c r="K82" s="8" t="n">
        <v>42.92</v>
      </c>
      <c r="L82" s="9">
        <f>J82/K82-1</f>
        <v/>
      </c>
      <c r="M82" s="8" t="n">
        <v>44</v>
      </c>
      <c r="N82" s="8" t="n">
        <v>42.26</v>
      </c>
      <c r="O82" s="10" t="n">
        <v>57400</v>
      </c>
      <c r="P82" s="10" t="n">
        <v>30950</v>
      </c>
      <c r="Q82" s="11">
        <f>O82/P82</f>
        <v/>
      </c>
      <c r="R82" s="8" t="n">
        <v>43.2365</v>
      </c>
      <c r="S82" s="8" t="n">
        <v>43.1207</v>
      </c>
      <c r="T82" s="8" t="n">
        <v>43.0248</v>
      </c>
      <c r="U82" s="9">
        <f>S82/T82-1</f>
        <v/>
      </c>
      <c r="V82" s="12" t="n">
        <v>0.8</v>
      </c>
      <c r="W82" s="9">
        <f>J82/R82-1</f>
        <v/>
      </c>
      <c r="X82" s="9">
        <f>J82/S82-1</f>
        <v/>
      </c>
      <c r="Y82" s="8" t="n">
        <v>0.9989</v>
      </c>
      <c r="Z82" s="13">
        <f>Y82/J82</f>
        <v/>
      </c>
      <c r="AA82" s="11">
        <f>(J82-R82)/Y82</f>
        <v/>
      </c>
      <c r="AB82" s="11">
        <f>(J82-S82)/Y82</f>
        <v/>
      </c>
      <c r="AC82" s="5">
        <f>IF(ABS(AA82)&lt;=ABS(AB82),"9EMA","21EMA")</f>
        <v/>
      </c>
      <c r="AD82" s="5" t="inlineStr">
        <is>
          <t>9+21EMA</t>
        </is>
      </c>
      <c r="AE82" s="5" t="inlineStr">
        <is>
          <t>持續在上方</t>
        </is>
      </c>
      <c r="AF82" s="5" t="inlineStr"/>
      <c r="AG82" s="5" t="inlineStr">
        <is>
          <t>✓</t>
        </is>
      </c>
      <c r="AH82" s="5" t="inlineStr"/>
      <c r="AI82" s="5" t="inlineStr">
        <is>
          <t>2026-06-09</t>
        </is>
      </c>
      <c r="AJ82" s="5" t="n">
        <v>79</v>
      </c>
      <c r="AK82" s="14" t="n">
        <v>2</v>
      </c>
      <c r="AL82" s="5" t="inlineStr">
        <is>
          <t>2026-09-23</t>
        </is>
      </c>
      <c r="AM82" s="8" t="n">
        <v>42.53</v>
      </c>
      <c r="AN82" s="8" t="n">
        <v>42.26</v>
      </c>
      <c r="AO82" s="9">
        <f>IF(ISNUMBER(AN82),AM82/AN82-1,"")</f>
        <v/>
      </c>
      <c r="AP82" s="14" t="n">
        <v>6</v>
      </c>
      <c r="AQ82" s="9">
        <f>IF(ISNUMBER(AM82),J82/AM82-1,"")</f>
        <v/>
      </c>
      <c r="AR82" s="8" t="n">
        <v>43.88</v>
      </c>
      <c r="AS82" s="9">
        <f>J82/AR82-1</f>
        <v/>
      </c>
      <c r="AT82" s="5" t="inlineStr">
        <is>
          <t>上升三角（平頂）</t>
        </is>
      </c>
      <c r="AU82" s="15" t="n">
        <v>0.0512</v>
      </c>
      <c r="AV82" s="15" t="n">
        <v>0.0569</v>
      </c>
      <c r="AW82" s="15" t="n">
        <v>0.5874</v>
      </c>
      <c r="AX82" s="15" t="n">
        <v>0.5907</v>
      </c>
      <c r="AY82" s="14" t="n">
        <v>21</v>
      </c>
      <c r="AZ82" s="8" t="n">
        <v>44.1</v>
      </c>
      <c r="BA82" s="8" t="n">
        <v>41.92</v>
      </c>
      <c r="BB82" s="8" t="n">
        <v>43.2005</v>
      </c>
      <c r="BC82" s="15" t="n">
        <v>0.7301</v>
      </c>
      <c r="BD82" s="11">
        <f>IF(M82=N82,0.5,(J82-N82)/(M82-N82))</f>
        <v/>
      </c>
      <c r="BE82" s="16" t="n">
        <v>6.884</v>
      </c>
      <c r="BF82" s="16" t="n">
        <v>2.13</v>
      </c>
      <c r="BG82" s="17">
        <f>100*(0.4*MIN(1,MAX(0,((U82*100)-(0.0))/((2.5)-(0.0))))+0.3*MIN(1,MAX(0,((V82)-(0.6))/((1.0)-(0.6))))+0.3*MIN(1,MAX(0,((BE82)-(0.0))/((15.0)-(0.0)))))</f>
        <v/>
      </c>
      <c r="BH82" s="17">
        <f>100*(0.4*MIN(1,MAX(0,((MIN(ABS(AA82),ABS(AB82)))-(0.75))/((0.0)-(0.75))))+0.3*MIN(1,MAX(0,((BC82)-(1.2))/((0.6)-(1.2))))+0.3*BD82)</f>
        <v/>
      </c>
      <c r="BI82" s="17">
        <f>100*(0.5*MIN(1,MAX(0,((AK82)-(1.0))/((4.0)-(1.0))))+0.3*MIN(1,MAX(0,((IF(ISNUMBER(AO82),AO82,0)*100)-(0.0))/((8.0)-(0.0))))+0.2*MIN(1,MAX(0,((IF(ISNUMBER(AP82),AP82,0))-(25.0))/((5.0)-(25.0)))))</f>
        <v/>
      </c>
      <c r="BJ82" s="17">
        <f>100*(0.35*MIN(1,MAX(0,((ABS(AU82))-(0.3))/((0.05)-(0.3))))+0.3*MIN(1,MAX(0,((AV82)-(0.0))/((0.3)-(0.0))))+0.25*MIN(1,MAX(0,((AW82)-(0.4))/((0.7)-(0.4))))+0.1*IF(AY82&gt;=2,1,0.5))</f>
        <v/>
      </c>
      <c r="BK82" s="18">
        <f>0.25*BG82+0.25*BH82+0.2*BI82+0.3*BJ82</f>
        <v/>
      </c>
      <c r="BL82" s="5" t="inlineStr">
        <is>
          <t>全部通過</t>
        </is>
      </c>
      <c r="BM82" s="5" t="inlineStr"/>
    </row>
    <row r="83">
      <c r="A83" s="5" t="n">
        <v>1</v>
      </c>
      <c r="B83" s="5" t="n">
        <v>82</v>
      </c>
      <c r="C83" s="6" t="inlineStr">
        <is>
          <t>PKOH</t>
        </is>
      </c>
      <c r="D83" s="5" t="inlineStr">
        <is>
          <t>Park-Ohio Holdings Corp.</t>
        </is>
      </c>
      <c r="E83" s="5" t="inlineStr">
        <is>
          <t>NASDAQ</t>
        </is>
      </c>
      <c r="F83" s="5" t="inlineStr">
        <is>
          <t>工業</t>
        </is>
      </c>
      <c r="G83" s="5" t="inlineStr">
        <is>
          <t>Industrial Specialties</t>
        </is>
      </c>
      <c r="H83" s="7" t="n">
        <v>0.669</v>
      </c>
      <c r="I83" s="5" t="inlineStr">
        <is>
          <t>小型</t>
        </is>
      </c>
      <c r="J83" s="8" t="n">
        <v>46.54</v>
      </c>
      <c r="K83" s="8" t="n">
        <v>46.2</v>
      </c>
      <c r="L83" s="9">
        <f>J83/K83-1</f>
        <v/>
      </c>
      <c r="M83" s="8" t="n">
        <v>46.88</v>
      </c>
      <c r="N83" s="8" t="n">
        <v>44.38</v>
      </c>
      <c r="O83" s="10" t="n">
        <v>113600</v>
      </c>
      <c r="P83" s="10" t="n">
        <v>69405</v>
      </c>
      <c r="Q83" s="11">
        <f>O83/P83</f>
        <v/>
      </c>
      <c r="R83" s="8" t="n">
        <v>46.751</v>
      </c>
      <c r="S83" s="8" t="n">
        <v>46.358</v>
      </c>
      <c r="T83" s="8" t="n">
        <v>45.9681</v>
      </c>
      <c r="U83" s="9">
        <f>S83/T83-1</f>
        <v/>
      </c>
      <c r="V83" s="12" t="n">
        <v>0.9</v>
      </c>
      <c r="W83" s="9">
        <f>J83/R83-1</f>
        <v/>
      </c>
      <c r="X83" s="9">
        <f>J83/S83-1</f>
        <v/>
      </c>
      <c r="Y83" s="8" t="n">
        <v>1.692</v>
      </c>
      <c r="Z83" s="13">
        <f>Y83/J83</f>
        <v/>
      </c>
      <c r="AA83" s="11">
        <f>(J83-R83)/Y83</f>
        <v/>
      </c>
      <c r="AB83" s="11">
        <f>(J83-S83)/Y83</f>
        <v/>
      </c>
      <c r="AC83" s="5">
        <f>IF(ABS(AA83)&lt;=ABS(AB83),"9EMA","21EMA")</f>
        <v/>
      </c>
      <c r="AD83" s="5" t="inlineStr">
        <is>
          <t>9+21EMA</t>
        </is>
      </c>
      <c r="AE83" s="5" t="inlineStr">
        <is>
          <t>持續在上方</t>
        </is>
      </c>
      <c r="AF83" s="5" t="inlineStr"/>
      <c r="AG83" s="5" t="inlineStr">
        <is>
          <t>✓</t>
        </is>
      </c>
      <c r="AH83" s="5" t="inlineStr"/>
      <c r="AI83" s="5" t="inlineStr">
        <is>
          <t>2026-04-09</t>
        </is>
      </c>
      <c r="AJ83" s="5" t="n">
        <v>121</v>
      </c>
      <c r="AK83" s="14" t="n">
        <v>2</v>
      </c>
      <c r="AL83" s="5" t="inlineStr">
        <is>
          <t>2026-09-15</t>
        </is>
      </c>
      <c r="AM83" s="8" t="n">
        <v>44</v>
      </c>
      <c r="AN83" s="8" t="n">
        <v>43.62</v>
      </c>
      <c r="AO83" s="9">
        <f>IF(ISNUMBER(AN83),AM83/AN83-1,"")</f>
        <v/>
      </c>
      <c r="AP83" s="14" t="n">
        <v>12</v>
      </c>
      <c r="AQ83" s="9">
        <f>IF(ISNUMBER(AM83),J83/AM83-1,"")</f>
        <v/>
      </c>
      <c r="AR83" s="8" t="n">
        <v>48.04</v>
      </c>
      <c r="AS83" s="9">
        <f>J83/AR83-1</f>
        <v/>
      </c>
      <c r="AT83" s="5" t="inlineStr">
        <is>
          <t>上升通道</t>
        </is>
      </c>
      <c r="AU83" s="15" t="n">
        <v>0.1101</v>
      </c>
      <c r="AV83" s="15" t="n">
        <v>0.1166</v>
      </c>
      <c r="AW83" s="15" t="n">
        <v>0.5157</v>
      </c>
      <c r="AX83" s="15" t="n">
        <v>0.5083</v>
      </c>
      <c r="AY83" s="14" t="n">
        <v>4</v>
      </c>
      <c r="AZ83" s="8" t="n">
        <v>48.52</v>
      </c>
      <c r="BA83" s="8" t="n">
        <v>43.62</v>
      </c>
      <c r="BB83" s="8" t="n">
        <v>46.1468</v>
      </c>
      <c r="BC83" s="15" t="n">
        <v>1.1494</v>
      </c>
      <c r="BD83" s="11">
        <f>IF(M83=N83,0.5,(J83-N83)/(M83-N83))</f>
        <v/>
      </c>
      <c r="BE83" s="16" t="n">
        <v>10.072</v>
      </c>
      <c r="BF83" s="16" t="n">
        <v>5.318</v>
      </c>
      <c r="BG83" s="17">
        <f>100*(0.4*MIN(1,MAX(0,((U83*100)-(0.0))/((2.5)-(0.0))))+0.3*MIN(1,MAX(0,((V83)-(0.6))/((1.0)-(0.6))))+0.3*MIN(1,MAX(0,((BE83)-(0.0))/((15.0)-(0.0)))))</f>
        <v/>
      </c>
      <c r="BH83" s="17">
        <f>100*(0.4*MIN(1,MAX(0,((MIN(ABS(AA83),ABS(AB83)))-(0.75))/((0.0)-(0.75))))+0.3*MIN(1,MAX(0,((BC83)-(1.2))/((0.6)-(1.2))))+0.3*BD83)</f>
        <v/>
      </c>
      <c r="BI83" s="17">
        <f>100*(0.5*MIN(1,MAX(0,((AK83)-(1.0))/((4.0)-(1.0))))+0.3*MIN(1,MAX(0,((IF(ISNUMBER(AO83),AO83,0)*100)-(0.0))/((8.0)-(0.0))))+0.2*MIN(1,MAX(0,((IF(ISNUMBER(AP83),AP83,0))-(25.0))/((5.0)-(25.0)))))</f>
        <v/>
      </c>
      <c r="BJ83" s="17">
        <f>100*(0.35*MIN(1,MAX(0,((ABS(AU83))-(0.3))/((0.05)-(0.3))))+0.3*MIN(1,MAX(0,((AV83)-(0.0))/((0.3)-(0.0))))+0.25*MIN(1,MAX(0,((AW83)-(0.4))/((0.7)-(0.4))))+0.1*IF(AY83&gt;=2,1,0.5))</f>
        <v/>
      </c>
      <c r="BK83" s="18">
        <f>0.25*BG83+0.25*BH83+0.2*BI83+0.3*BJ83</f>
        <v/>
      </c>
      <c r="BL83" s="5" t="inlineStr">
        <is>
          <t>全部通過</t>
        </is>
      </c>
      <c r="BM83" s="5" t="inlineStr"/>
    </row>
    <row r="84">
      <c r="A84" s="5" t="n">
        <v>1</v>
      </c>
      <c r="B84" s="5" t="n">
        <v>83</v>
      </c>
      <c r="C84" s="6" t="inlineStr">
        <is>
          <t>SLAB</t>
        </is>
      </c>
      <c r="D84" s="5" t="inlineStr">
        <is>
          <t>Silicon Laboratories Inc.</t>
        </is>
      </c>
      <c r="E84" s="5" t="inlineStr">
        <is>
          <t>NASDAQ</t>
        </is>
      </c>
      <c r="F84" s="5" t="inlineStr">
        <is>
          <t>科技</t>
        </is>
      </c>
      <c r="G84" s="5" t="inlineStr">
        <is>
          <t>Semiconductors</t>
        </is>
      </c>
      <c r="H84" s="7" t="n">
        <v>7.393</v>
      </c>
      <c r="I84" s="5" t="inlineStr">
        <is>
          <t>中型</t>
        </is>
      </c>
      <c r="J84" s="8" t="n">
        <v>222.51</v>
      </c>
      <c r="K84" s="8" t="n">
        <v>221.58</v>
      </c>
      <c r="L84" s="9">
        <f>J84/K84-1</f>
        <v/>
      </c>
      <c r="M84" s="8" t="n">
        <v>222.92</v>
      </c>
      <c r="N84" s="8" t="n">
        <v>221.49</v>
      </c>
      <c r="O84" s="10" t="n">
        <v>382100</v>
      </c>
      <c r="P84" s="10" t="n">
        <v>284125</v>
      </c>
      <c r="Q84" s="11">
        <f>O84/P84</f>
        <v/>
      </c>
      <c r="R84" s="8" t="n">
        <v>221.3622</v>
      </c>
      <c r="S84" s="8" t="n">
        <v>220.656</v>
      </c>
      <c r="T84" s="8" t="n">
        <v>220.0998</v>
      </c>
      <c r="U84" s="9">
        <f>S84/T84-1</f>
        <v/>
      </c>
      <c r="V84" s="12" t="n">
        <v>1</v>
      </c>
      <c r="W84" s="9">
        <f>J84/R84-1</f>
        <v/>
      </c>
      <c r="X84" s="9">
        <f>J84/S84-1</f>
        <v/>
      </c>
      <c r="Y84" s="8" t="n">
        <v>1.0733</v>
      </c>
      <c r="Z84" s="13">
        <f>Y84/J84</f>
        <v/>
      </c>
      <c r="AA84" s="11">
        <f>(J84-R84)/Y84</f>
        <v/>
      </c>
      <c r="AB84" s="11">
        <f>(J84-S84)/Y84</f>
        <v/>
      </c>
      <c r="AC84" s="5">
        <f>IF(ABS(AA84)&lt;=ABS(AB84),"9EMA","21EMA")</f>
        <v/>
      </c>
      <c r="AD84" s="5" t="inlineStr">
        <is>
          <t>9+21EMA</t>
        </is>
      </c>
      <c r="AE84" s="5" t="inlineStr">
        <is>
          <t>持續在上方</t>
        </is>
      </c>
      <c r="AF84" s="5" t="inlineStr"/>
      <c r="AG84" s="5" t="inlineStr"/>
      <c r="AH84" s="5" t="inlineStr">
        <is>
          <t>✓</t>
        </is>
      </c>
      <c r="AI84" s="5" t="inlineStr">
        <is>
          <t>2026-08-06</t>
        </is>
      </c>
      <c r="AJ84" s="5" t="n">
        <v>39</v>
      </c>
      <c r="AK84" s="14" t="n">
        <v>2</v>
      </c>
      <c r="AL84" s="5" t="inlineStr">
        <is>
          <t>2026-09-28</t>
        </is>
      </c>
      <c r="AM84" s="8" t="n">
        <v>220.78</v>
      </c>
      <c r="AN84" s="8" t="n">
        <v>216.88</v>
      </c>
      <c r="AO84" s="9">
        <f>IF(ISNUMBER(AN84),AM84/AN84-1,"")</f>
        <v/>
      </c>
      <c r="AP84" s="14" t="n">
        <v>3</v>
      </c>
      <c r="AQ84" s="9">
        <f>IF(ISNUMBER(AM84),J84/AM84-1,"")</f>
        <v/>
      </c>
      <c r="AR84" s="8" t="n">
        <v>222.51</v>
      </c>
      <c r="AS84" s="9">
        <f>J84/AR84-1</f>
        <v/>
      </c>
      <c r="AT84" s="5" t="inlineStr">
        <is>
          <t>上升三角（平頂）</t>
        </is>
      </c>
      <c r="AU84" s="15" t="n">
        <v>-0.0049</v>
      </c>
      <c r="AV84" s="15" t="n">
        <v>0.0704</v>
      </c>
      <c r="AW84" s="15" t="n">
        <v>0.5744</v>
      </c>
      <c r="AX84" s="15" t="n">
        <v>0.4557</v>
      </c>
      <c r="AY84" s="14" t="n">
        <v>21</v>
      </c>
      <c r="AZ84" s="8" t="n">
        <v>222.92</v>
      </c>
      <c r="BA84" s="8" t="n">
        <v>216.88</v>
      </c>
      <c r="BB84" s="8" t="n">
        <v>220.3492</v>
      </c>
      <c r="BC84" s="15" t="n">
        <v>0.4571</v>
      </c>
      <c r="BD84" s="11">
        <f>IF(M84=N84,0.5,(J84-N84)/(M84-N84))</f>
        <v/>
      </c>
      <c r="BE84" s="16" t="n">
        <v>6.301</v>
      </c>
      <c r="BF84" s="16" t="n">
        <v>1.547</v>
      </c>
      <c r="BG84" s="17">
        <f>100*(0.4*MIN(1,MAX(0,((U84*100)-(0.0))/((2.5)-(0.0))))+0.3*MIN(1,MAX(0,((V84)-(0.6))/((1.0)-(0.6))))+0.3*MIN(1,MAX(0,((BE84)-(0.0))/((15.0)-(0.0)))))</f>
        <v/>
      </c>
      <c r="BH84" s="17">
        <f>100*(0.4*MIN(1,MAX(0,((MIN(ABS(AA84),ABS(AB84)))-(0.75))/((0.0)-(0.75))))+0.3*MIN(1,MAX(0,((BC84)-(1.2))/((0.6)-(1.2))))+0.3*BD84)</f>
        <v/>
      </c>
      <c r="BI84" s="17">
        <f>100*(0.5*MIN(1,MAX(0,((AK84)-(1.0))/((4.0)-(1.0))))+0.3*MIN(1,MAX(0,((IF(ISNUMBER(AO84),AO84,0)*100)-(0.0))/((8.0)-(0.0))))+0.2*MIN(1,MAX(0,((IF(ISNUMBER(AP84),AP84,0))-(25.0))/((5.0)-(25.0)))))</f>
        <v/>
      </c>
      <c r="BJ84" s="17">
        <f>100*(0.35*MIN(1,MAX(0,((ABS(AU84))-(0.3))/((0.05)-(0.3))))+0.3*MIN(1,MAX(0,((AV84)-(0.0))/((0.3)-(0.0))))+0.25*MIN(1,MAX(0,((AW84)-(0.4))/((0.7)-(0.4))))+0.1*IF(AY84&gt;=2,1,0.5))</f>
        <v/>
      </c>
      <c r="BK84" s="18">
        <f>0.25*BG84+0.25*BH84+0.2*BI84+0.3*BJ84</f>
        <v/>
      </c>
      <c r="BL84" s="5" t="inlineStr">
        <is>
          <t>全部通過</t>
        </is>
      </c>
      <c r="BM84" s="5" t="inlineStr"/>
    </row>
    <row r="85">
      <c r="A85" s="5" t="n">
        <v>1</v>
      </c>
      <c r="B85" s="5" t="n">
        <v>84</v>
      </c>
      <c r="C85" s="6" t="inlineStr">
        <is>
          <t>ETN</t>
        </is>
      </c>
      <c r="D85" s="5" t="inlineStr">
        <is>
          <t>Eaton Corporation PLC</t>
        </is>
      </c>
      <c r="E85" s="5" t="inlineStr">
        <is>
          <t>NYSE</t>
        </is>
      </c>
      <c r="F85" s="5" t="inlineStr">
        <is>
          <t>科技</t>
        </is>
      </c>
      <c r="G85" s="5" t="inlineStr">
        <is>
          <t>Industrial Machinery/Components</t>
        </is>
      </c>
      <c r="H85" s="7" t="n">
        <v>166.899</v>
      </c>
      <c r="I85" s="5" t="inlineStr">
        <is>
          <t>大型</t>
        </is>
      </c>
      <c r="J85" s="8" t="n">
        <v>437.28</v>
      </c>
      <c r="K85" s="8" t="n">
        <v>429.71</v>
      </c>
      <c r="L85" s="9">
        <f>J85/K85-1</f>
        <v/>
      </c>
      <c r="M85" s="8" t="n">
        <v>439.64</v>
      </c>
      <c r="N85" s="8" t="n">
        <v>423</v>
      </c>
      <c r="O85" s="10" t="n">
        <v>1606300</v>
      </c>
      <c r="P85" s="10" t="n">
        <v>2083440</v>
      </c>
      <c r="Q85" s="11">
        <f>O85/P85</f>
        <v/>
      </c>
      <c r="R85" s="8" t="n">
        <v>431.8085</v>
      </c>
      <c r="S85" s="8" t="n">
        <v>425.486</v>
      </c>
      <c r="T85" s="8" t="n">
        <v>420.1541</v>
      </c>
      <c r="U85" s="9">
        <f>S85/T85-1</f>
        <v/>
      </c>
      <c r="V85" s="12" t="n">
        <v>1</v>
      </c>
      <c r="W85" s="9">
        <f>J85/R85-1</f>
        <v/>
      </c>
      <c r="X85" s="9">
        <f>J85/S85-1</f>
        <v/>
      </c>
      <c r="Y85" s="8" t="n">
        <v>13.6387</v>
      </c>
      <c r="Z85" s="13">
        <f>Y85/J85</f>
        <v/>
      </c>
      <c r="AA85" s="11">
        <f>(J85-R85)/Y85</f>
        <v/>
      </c>
      <c r="AB85" s="11">
        <f>(J85-S85)/Y85</f>
        <v/>
      </c>
      <c r="AC85" s="5">
        <f>IF(ABS(AA85)&lt;=ABS(AB85),"9EMA","21EMA")</f>
        <v/>
      </c>
      <c r="AD85" s="5" t="inlineStr">
        <is>
          <t>9+21EMA</t>
        </is>
      </c>
      <c r="AE85" s="5" t="inlineStr">
        <is>
          <t>持續在上方</t>
        </is>
      </c>
      <c r="AF85" s="5" t="inlineStr"/>
      <c r="AG85" s="5" t="inlineStr"/>
      <c r="AH85" s="5" t="inlineStr">
        <is>
          <t>✓</t>
        </is>
      </c>
      <c r="AI85" s="5" t="inlineStr">
        <is>
          <t>2026-09-21</t>
        </is>
      </c>
      <c r="AJ85" s="5" t="n">
        <v>8</v>
      </c>
      <c r="AK85" s="14" t="n">
        <v>2</v>
      </c>
      <c r="AL85" s="5" t="inlineStr">
        <is>
          <t>2026-09-14</t>
        </is>
      </c>
      <c r="AM85" s="8" t="n">
        <v>387</v>
      </c>
      <c r="AN85" s="8" t="n">
        <v>384.77</v>
      </c>
      <c r="AO85" s="9">
        <f>IF(ISNUMBER(AN85),AM85/AN85-1,"")</f>
        <v/>
      </c>
      <c r="AP85" s="14" t="n">
        <v>13</v>
      </c>
      <c r="AQ85" s="9">
        <f>IF(ISNUMBER(AM85),J85/AM85-1,"")</f>
        <v/>
      </c>
      <c r="AR85" s="8" t="n">
        <v>442.49</v>
      </c>
      <c r="AS85" s="9">
        <f>J85/AR85-1</f>
        <v/>
      </c>
      <c r="AT85" s="5" t="inlineStr">
        <is>
          <t>上傾擴張</t>
        </is>
      </c>
      <c r="AU85" s="15" t="n">
        <v>0.2315</v>
      </c>
      <c r="AV85" s="15" t="n">
        <v>0.08500000000000001</v>
      </c>
      <c r="AW85" s="15" t="n">
        <v>0.504</v>
      </c>
      <c r="AX85" s="15" t="n">
        <v>0.4942</v>
      </c>
      <c r="AY85" s="14" t="n">
        <v>5</v>
      </c>
      <c r="AZ85" s="8" t="n">
        <v>447.33</v>
      </c>
      <c r="BA85" s="8" t="n">
        <v>384.77</v>
      </c>
      <c r="BB85" s="8" t="n">
        <v>416.3011</v>
      </c>
      <c r="BC85" s="15" t="n">
        <v>0.8194</v>
      </c>
      <c r="BD85" s="11">
        <f>IF(M85=N85,0.5,(J85-N85)/(M85-N85))</f>
        <v/>
      </c>
      <c r="BE85" s="16" t="n">
        <v>16.673</v>
      </c>
      <c r="BF85" s="16" t="n">
        <v>11.919</v>
      </c>
      <c r="BG85" s="17">
        <f>100*(0.4*MIN(1,MAX(0,((U85*100)-(0.0))/((2.5)-(0.0))))+0.3*MIN(1,MAX(0,((V85)-(0.6))/((1.0)-(0.6))))+0.3*MIN(1,MAX(0,((BE85)-(0.0))/((15.0)-(0.0)))))</f>
        <v/>
      </c>
      <c r="BH85" s="17">
        <f>100*(0.4*MIN(1,MAX(0,((MIN(ABS(AA85),ABS(AB85)))-(0.75))/((0.0)-(0.75))))+0.3*MIN(1,MAX(0,((BC85)-(1.2))/((0.6)-(1.2))))+0.3*BD85)</f>
        <v/>
      </c>
      <c r="BI85" s="17">
        <f>100*(0.5*MIN(1,MAX(0,((AK85)-(1.0))/((4.0)-(1.0))))+0.3*MIN(1,MAX(0,((IF(ISNUMBER(AO85),AO85,0)*100)-(0.0))/((8.0)-(0.0))))+0.2*MIN(1,MAX(0,((IF(ISNUMBER(AP85),AP85,0))-(25.0))/((5.0)-(25.0)))))</f>
        <v/>
      </c>
      <c r="BJ85" s="17">
        <f>100*(0.35*MIN(1,MAX(0,((ABS(AU85))-(0.3))/((0.05)-(0.3))))+0.3*MIN(1,MAX(0,((AV85)-(0.0))/((0.3)-(0.0))))+0.25*MIN(1,MAX(0,((AW85)-(0.4))/((0.7)-(0.4))))+0.1*IF(AY85&gt;=2,1,0.5))</f>
        <v/>
      </c>
      <c r="BK85" s="18">
        <f>0.25*BG85+0.25*BH85+0.2*BI85+0.3*BJ85</f>
        <v/>
      </c>
      <c r="BL85" s="5" t="inlineStr">
        <is>
          <t>全部通過</t>
        </is>
      </c>
      <c r="BM85" s="5" t="inlineStr"/>
    </row>
    <row r="86">
      <c r="A86" s="5" t="n">
        <v>1</v>
      </c>
      <c r="B86" s="5" t="n">
        <v>85</v>
      </c>
      <c r="C86" s="6" t="inlineStr">
        <is>
          <t>AIP</t>
        </is>
      </c>
      <c r="D86" s="5" t="inlineStr">
        <is>
          <t>Arteris Inc.</t>
        </is>
      </c>
      <c r="E86" s="5" t="inlineStr">
        <is>
          <t>NASDAQ</t>
        </is>
      </c>
      <c r="F86" s="5" t="inlineStr">
        <is>
          <t>科技</t>
        </is>
      </c>
      <c r="G86" s="5" t="inlineStr">
        <is>
          <t>Semiconductors</t>
        </is>
      </c>
      <c r="H86" s="7" t="n">
        <v>1.162</v>
      </c>
      <c r="I86" s="5" t="inlineStr">
        <is>
          <t>小型</t>
        </is>
      </c>
      <c r="J86" s="8" t="n">
        <v>24.01</v>
      </c>
      <c r="K86" s="8" t="n">
        <v>23.64</v>
      </c>
      <c r="L86" s="9">
        <f>J86/K86-1</f>
        <v/>
      </c>
      <c r="M86" s="8" t="n">
        <v>24.27</v>
      </c>
      <c r="N86" s="8" t="n">
        <v>23.41</v>
      </c>
      <c r="O86" s="10" t="n">
        <v>694000</v>
      </c>
      <c r="P86" s="10" t="n">
        <v>688470</v>
      </c>
      <c r="Q86" s="11">
        <f>O86/P86</f>
        <v/>
      </c>
      <c r="R86" s="8" t="n">
        <v>23.518</v>
      </c>
      <c r="S86" s="8" t="n">
        <v>23.4342</v>
      </c>
      <c r="T86" s="8" t="n">
        <v>23.3326</v>
      </c>
      <c r="U86" s="9">
        <f>S86/T86-1</f>
        <v/>
      </c>
      <c r="V86" s="12" t="n">
        <v>0.7</v>
      </c>
      <c r="W86" s="9">
        <f>J86/R86-1</f>
        <v/>
      </c>
      <c r="X86" s="9">
        <f>J86/S86-1</f>
        <v/>
      </c>
      <c r="Y86" s="8" t="n">
        <v>1.2946</v>
      </c>
      <c r="Z86" s="13">
        <f>Y86/J86</f>
        <v/>
      </c>
      <c r="AA86" s="11">
        <f>(J86-R86)/Y86</f>
        <v/>
      </c>
      <c r="AB86" s="11">
        <f>(J86-S86)/Y86</f>
        <v/>
      </c>
      <c r="AC86" s="5">
        <f>IF(ABS(AA86)&lt;=ABS(AB86),"9EMA","21EMA")</f>
        <v/>
      </c>
      <c r="AD86" s="5" t="inlineStr">
        <is>
          <t>9+21EMA</t>
        </is>
      </c>
      <c r="AE86" s="19" t="inlineStr">
        <is>
          <t>剛黃金交叉</t>
        </is>
      </c>
      <c r="AF86" s="5" t="inlineStr">
        <is>
          <t>✓</t>
        </is>
      </c>
      <c r="AG86" s="5" t="inlineStr"/>
      <c r="AH86" s="5" t="inlineStr">
        <is>
          <t>✓</t>
        </is>
      </c>
      <c r="AI86" s="5" t="inlineStr">
        <is>
          <t>2026-09-30</t>
        </is>
      </c>
      <c r="AJ86" s="5" t="n">
        <v>1</v>
      </c>
      <c r="AK86" s="14" t="n">
        <v>2</v>
      </c>
      <c r="AL86" s="5" t="inlineStr">
        <is>
          <t>2026-09-28</t>
        </is>
      </c>
      <c r="AM86" s="8" t="n">
        <v>22.54</v>
      </c>
      <c r="AN86" s="8" t="n">
        <v>20.02</v>
      </c>
      <c r="AO86" s="9">
        <f>IF(ISNUMBER(AN86),AM86/AN86-1,"")</f>
        <v/>
      </c>
      <c r="AP86" s="14" t="n">
        <v>3</v>
      </c>
      <c r="AQ86" s="9">
        <f>IF(ISNUMBER(AM86),J86/AM86-1,"")</f>
        <v/>
      </c>
      <c r="AR86" s="8" t="n">
        <v>24.78</v>
      </c>
      <c r="AS86" s="9">
        <f>J86/AR86-1</f>
        <v/>
      </c>
      <c r="AT86" s="5" t="inlineStr">
        <is>
          <t>上傾收窄（楔形）</t>
        </is>
      </c>
      <c r="AU86" s="15" t="n">
        <v>0.2328</v>
      </c>
      <c r="AV86" s="15" t="n">
        <v>0.6189</v>
      </c>
      <c r="AW86" s="15" t="n">
        <v>0.5002</v>
      </c>
      <c r="AX86" s="15" t="n">
        <v>0.4785</v>
      </c>
      <c r="AY86" s="14" t="n">
        <v>3</v>
      </c>
      <c r="AZ86" s="8" t="n">
        <v>24.98</v>
      </c>
      <c r="BA86" s="8" t="n">
        <v>20.02</v>
      </c>
      <c r="BB86" s="8" t="n">
        <v>22.501</v>
      </c>
      <c r="BC86" s="15" t="n">
        <v>1.1279</v>
      </c>
      <c r="BD86" s="11">
        <f>IF(M86=N86,0.5,(J86-N86)/(M86-N86))</f>
        <v/>
      </c>
      <c r="BE86" s="16" t="n">
        <v>20.521</v>
      </c>
      <c r="BF86" s="16" t="n">
        <v>15.767</v>
      </c>
      <c r="BG86" s="17">
        <f>100*(0.4*MIN(1,MAX(0,((U86*100)-(0.0))/((2.5)-(0.0))))+0.3*MIN(1,MAX(0,((V86)-(0.6))/((1.0)-(0.6))))+0.3*MIN(1,MAX(0,((BE86)-(0.0))/((15.0)-(0.0)))))</f>
        <v/>
      </c>
      <c r="BH86" s="17">
        <f>100*(0.4*MIN(1,MAX(0,((MIN(ABS(AA86),ABS(AB86)))-(0.75))/((0.0)-(0.75))))+0.3*MIN(1,MAX(0,((BC86)-(1.2))/((0.6)-(1.2))))+0.3*BD86)</f>
        <v/>
      </c>
      <c r="BI86" s="17">
        <f>100*(0.5*MIN(1,MAX(0,((AK86)-(1.0))/((4.0)-(1.0))))+0.3*MIN(1,MAX(0,((IF(ISNUMBER(AO86),AO86,0)*100)-(0.0))/((8.0)-(0.0))))+0.2*MIN(1,MAX(0,((IF(ISNUMBER(AP86),AP86,0))-(25.0))/((5.0)-(25.0)))))</f>
        <v/>
      </c>
      <c r="BJ86" s="17">
        <f>100*(0.35*MIN(1,MAX(0,((ABS(AU86))-(0.3))/((0.05)-(0.3))))+0.3*MIN(1,MAX(0,((AV86)-(0.0))/((0.3)-(0.0))))+0.25*MIN(1,MAX(0,((AW86)-(0.4))/((0.7)-(0.4))))+0.1*IF(AY86&gt;=2,1,0.5))</f>
        <v/>
      </c>
      <c r="BK86" s="18">
        <f>0.25*BG86+0.25*BH86+0.2*BI86+0.3*BJ86</f>
        <v/>
      </c>
      <c r="BL86" s="5" t="inlineStr">
        <is>
          <t>全部通過</t>
        </is>
      </c>
      <c r="BM86" s="5" t="inlineStr"/>
    </row>
    <row r="87">
      <c r="A87" s="5" t="n">
        <v>1</v>
      </c>
      <c r="B87" s="5" t="n">
        <v>86</v>
      </c>
      <c r="C87" s="6" t="inlineStr">
        <is>
          <t>FSBW</t>
        </is>
      </c>
      <c r="D87" s="5" t="inlineStr">
        <is>
          <t>FS Bancorp Inc.</t>
        </is>
      </c>
      <c r="E87" s="5" t="inlineStr">
        <is>
          <t>NASDAQ</t>
        </is>
      </c>
      <c r="F87" s="5" t="inlineStr">
        <is>
          <t>金融</t>
        </is>
      </c>
      <c r="G87" s="5" t="inlineStr">
        <is>
          <t>Banks</t>
        </is>
      </c>
      <c r="H87" s="7" t="n">
        <v>0.34</v>
      </c>
      <c r="I87" s="5" t="inlineStr">
        <is>
          <t>小型</t>
        </is>
      </c>
      <c r="J87" s="8" t="n">
        <v>44.01</v>
      </c>
      <c r="K87" s="8" t="n">
        <v>43.29</v>
      </c>
      <c r="L87" s="9">
        <f>J87/K87-1</f>
        <v/>
      </c>
      <c r="M87" s="8" t="n">
        <v>44.28</v>
      </c>
      <c r="N87" s="8" t="n">
        <v>43.08</v>
      </c>
      <c r="O87" s="10" t="n">
        <v>49400</v>
      </c>
      <c r="P87" s="10" t="n">
        <v>30190</v>
      </c>
      <c r="Q87" s="11">
        <f>O87/P87</f>
        <v/>
      </c>
      <c r="R87" s="8" t="n">
        <v>43.8838</v>
      </c>
      <c r="S87" s="8" t="n">
        <v>43.7352</v>
      </c>
      <c r="T87" s="8" t="n">
        <v>43.6174</v>
      </c>
      <c r="U87" s="9">
        <f>S87/T87-1</f>
        <v/>
      </c>
      <c r="V87" s="12" t="n">
        <v>0.7</v>
      </c>
      <c r="W87" s="9">
        <f>J87/R87-1</f>
        <v/>
      </c>
      <c r="X87" s="9">
        <f>J87/S87-1</f>
        <v/>
      </c>
      <c r="Y87" s="8" t="n">
        <v>0.9036999999999999</v>
      </c>
      <c r="Z87" s="13">
        <f>Y87/J87</f>
        <v/>
      </c>
      <c r="AA87" s="11">
        <f>(J87-R87)/Y87</f>
        <v/>
      </c>
      <c r="AB87" s="11">
        <f>(J87-S87)/Y87</f>
        <v/>
      </c>
      <c r="AC87" s="5">
        <f>IF(ABS(AA87)&lt;=ABS(AB87),"9EMA","21EMA")</f>
        <v/>
      </c>
      <c r="AD87" s="5" t="inlineStr">
        <is>
          <t>9+21EMA</t>
        </is>
      </c>
      <c r="AE87" s="5" t="inlineStr">
        <is>
          <t>持續在上方</t>
        </is>
      </c>
      <c r="AF87" s="5" t="inlineStr"/>
      <c r="AG87" s="5" t="inlineStr"/>
      <c r="AH87" s="5" t="inlineStr">
        <is>
          <t>✓</t>
        </is>
      </c>
      <c r="AI87" s="5" t="inlineStr">
        <is>
          <t>2026-09-04</t>
        </is>
      </c>
      <c r="AJ87" s="5" t="n">
        <v>18</v>
      </c>
      <c r="AK87" s="14" t="n">
        <v>3</v>
      </c>
      <c r="AL87" s="5" t="inlineStr">
        <is>
          <t>2026-09-21</t>
        </is>
      </c>
      <c r="AM87" s="8" t="n">
        <v>43.23</v>
      </c>
      <c r="AN87" s="8" t="n">
        <v>42.06</v>
      </c>
      <c r="AO87" s="9">
        <f>IF(ISNUMBER(AN87),AM87/AN87-1,"")</f>
        <v/>
      </c>
      <c r="AP87" s="14" t="n">
        <v>8</v>
      </c>
      <c r="AQ87" s="9">
        <f>IF(ISNUMBER(AM87),J87/AM87-1,"")</f>
        <v/>
      </c>
      <c r="AR87" s="8" t="n">
        <v>44.48</v>
      </c>
      <c r="AS87" s="9">
        <f>J87/AR87-1</f>
        <v/>
      </c>
      <c r="AT87" s="5" t="inlineStr">
        <is>
          <t>上傾收窄（楔形）</t>
        </is>
      </c>
      <c r="AU87" s="15" t="n">
        <v>0.1192</v>
      </c>
      <c r="AV87" s="15" t="n">
        <v>0.1662</v>
      </c>
      <c r="AW87" s="15" t="n">
        <v>0.5413</v>
      </c>
      <c r="AX87" s="15" t="n">
        <v>0.6274</v>
      </c>
      <c r="AY87" s="14" t="n">
        <v>10</v>
      </c>
      <c r="AZ87" s="8" t="n">
        <v>45.03</v>
      </c>
      <c r="BA87" s="8" t="n">
        <v>42.06</v>
      </c>
      <c r="BB87" s="8" t="n">
        <v>43.6676</v>
      </c>
      <c r="BC87" s="15" t="n">
        <v>1.3344</v>
      </c>
      <c r="BD87" s="11">
        <f>IF(M87=N87,0.5,(J87-N87)/(M87-N87))</f>
        <v/>
      </c>
      <c r="BE87" s="16" t="n">
        <v>8.478</v>
      </c>
      <c r="BF87" s="16" t="n">
        <v>3.724</v>
      </c>
      <c r="BG87" s="17">
        <f>100*(0.4*MIN(1,MAX(0,((U87*100)-(0.0))/((2.5)-(0.0))))+0.3*MIN(1,MAX(0,((V87)-(0.6))/((1.0)-(0.6))))+0.3*MIN(1,MAX(0,((BE87)-(0.0))/((15.0)-(0.0)))))</f>
        <v/>
      </c>
      <c r="BH87" s="17">
        <f>100*(0.4*MIN(1,MAX(0,((MIN(ABS(AA87),ABS(AB87)))-(0.75))/((0.0)-(0.75))))+0.3*MIN(1,MAX(0,((BC87)-(1.2))/((0.6)-(1.2))))+0.3*BD87)</f>
        <v/>
      </c>
      <c r="BI87" s="17">
        <f>100*(0.5*MIN(1,MAX(0,((AK87)-(1.0))/((4.0)-(1.0))))+0.3*MIN(1,MAX(0,((IF(ISNUMBER(AO87),AO87,0)*100)-(0.0))/((8.0)-(0.0))))+0.2*MIN(1,MAX(0,((IF(ISNUMBER(AP87),AP87,0))-(25.0))/((5.0)-(25.0)))))</f>
        <v/>
      </c>
      <c r="BJ87" s="17">
        <f>100*(0.35*MIN(1,MAX(0,((ABS(AU87))-(0.3))/((0.05)-(0.3))))+0.3*MIN(1,MAX(0,((AV87)-(0.0))/((0.3)-(0.0))))+0.25*MIN(1,MAX(0,((AW87)-(0.4))/((0.7)-(0.4))))+0.1*IF(AY87&gt;=2,1,0.5))</f>
        <v/>
      </c>
      <c r="BK87" s="18">
        <f>0.25*BG87+0.25*BH87+0.2*BI87+0.3*BJ87</f>
        <v/>
      </c>
      <c r="BL87" s="5" t="inlineStr">
        <is>
          <t>全部通過</t>
        </is>
      </c>
      <c r="BM87" s="5" t="inlineStr"/>
    </row>
    <row r="88">
      <c r="A88" s="5" t="n">
        <v>1</v>
      </c>
      <c r="B88" s="5" t="n">
        <v>87</v>
      </c>
      <c r="C88" s="6" t="inlineStr">
        <is>
          <t>AMG</t>
        </is>
      </c>
      <c r="D88" s="5" t="inlineStr">
        <is>
          <t>Affiliated Managers Group Inc.</t>
        </is>
      </c>
      <c r="E88" s="5" t="inlineStr">
        <is>
          <t>NYSE</t>
        </is>
      </c>
      <c r="F88" s="5" t="inlineStr">
        <is>
          <t>金融</t>
        </is>
      </c>
      <c r="G88" s="5" t="inlineStr">
        <is>
          <t>Investment Managers</t>
        </is>
      </c>
      <c r="H88" s="7" t="n">
        <v>9.455</v>
      </c>
      <c r="I88" s="5" t="inlineStr">
        <is>
          <t>中型</t>
        </is>
      </c>
      <c r="J88" s="8" t="n">
        <v>371.95</v>
      </c>
      <c r="K88" s="8" t="n">
        <v>365.61</v>
      </c>
      <c r="L88" s="9">
        <f>J88/K88-1</f>
        <v/>
      </c>
      <c r="M88" s="8" t="n">
        <v>375</v>
      </c>
      <c r="N88" s="8" t="n">
        <v>364.02</v>
      </c>
      <c r="O88" s="10" t="n">
        <v>176200</v>
      </c>
      <c r="P88" s="10" t="n">
        <v>296825</v>
      </c>
      <c r="Q88" s="11">
        <f>O88/P88</f>
        <v/>
      </c>
      <c r="R88" s="8" t="n">
        <v>366.938</v>
      </c>
      <c r="S88" s="8" t="n">
        <v>363.8325</v>
      </c>
      <c r="T88" s="8" t="n">
        <v>360.1289</v>
      </c>
      <c r="U88" s="9">
        <f>S88/T88-1</f>
        <v/>
      </c>
      <c r="V88" s="12" t="n">
        <v>0.9</v>
      </c>
      <c r="W88" s="9">
        <f>J88/R88-1</f>
        <v/>
      </c>
      <c r="X88" s="9">
        <f>J88/S88-1</f>
        <v/>
      </c>
      <c r="Y88" s="8" t="n">
        <v>10.9784</v>
      </c>
      <c r="Z88" s="13">
        <f>Y88/J88</f>
        <v/>
      </c>
      <c r="AA88" s="11">
        <f>(J88-R88)/Y88</f>
        <v/>
      </c>
      <c r="AB88" s="11">
        <f>(J88-S88)/Y88</f>
        <v/>
      </c>
      <c r="AC88" s="5">
        <f>IF(ABS(AA88)&lt;=ABS(AB88),"9EMA","21EMA")</f>
        <v/>
      </c>
      <c r="AD88" s="5" t="inlineStr">
        <is>
          <t>9+21EMA</t>
        </is>
      </c>
      <c r="AE88" s="19" t="inlineStr">
        <is>
          <t>剛黃金交叉</t>
        </is>
      </c>
      <c r="AF88" s="5" t="inlineStr">
        <is>
          <t>✓</t>
        </is>
      </c>
      <c r="AG88" s="5" t="inlineStr"/>
      <c r="AH88" s="5" t="inlineStr">
        <is>
          <t>✓</t>
        </is>
      </c>
      <c r="AI88" s="5" t="inlineStr">
        <is>
          <t>2026-09-24</t>
        </is>
      </c>
      <c r="AJ88" s="5" t="n">
        <v>5</v>
      </c>
      <c r="AK88" s="14" t="n">
        <v>2</v>
      </c>
      <c r="AL88" s="5" t="inlineStr">
        <is>
          <t>2026-09-28</t>
        </is>
      </c>
      <c r="AM88" s="8" t="n">
        <v>356.18</v>
      </c>
      <c r="AN88" s="8" t="n">
        <v>339.87</v>
      </c>
      <c r="AO88" s="9">
        <f>IF(ISNUMBER(AN88),AM88/AN88-1,"")</f>
        <v/>
      </c>
      <c r="AP88" s="14" t="n">
        <v>3</v>
      </c>
      <c r="AQ88" s="9">
        <f>IF(ISNUMBER(AM88),J88/AM88-1,"")</f>
        <v/>
      </c>
      <c r="AR88" s="8" t="n">
        <v>373.69</v>
      </c>
      <c r="AS88" s="9">
        <f>J88/AR88-1</f>
        <v/>
      </c>
      <c r="AT88" s="5" t="inlineStr">
        <is>
          <t>上升三角（平頂）</t>
        </is>
      </c>
      <c r="AU88" s="15" t="n">
        <v>0.0327</v>
      </c>
      <c r="AV88" s="15" t="n">
        <v>0.0133</v>
      </c>
      <c r="AW88" s="15" t="n">
        <v>0.5623</v>
      </c>
      <c r="AX88" s="15" t="n">
        <v>0.6183</v>
      </c>
      <c r="AY88" s="14" t="n">
        <v>7</v>
      </c>
      <c r="AZ88" s="8" t="n">
        <v>379.06</v>
      </c>
      <c r="BA88" s="8" t="n">
        <v>339.87</v>
      </c>
      <c r="BB88" s="8" t="n">
        <v>361.9073</v>
      </c>
      <c r="BC88" s="15" t="n">
        <v>1.3018</v>
      </c>
      <c r="BD88" s="11">
        <f>IF(M88=N88,0.5,(J88-N88)/(M88-N88))</f>
        <v/>
      </c>
      <c r="BE88" s="16" t="n">
        <v>7.859</v>
      </c>
      <c r="BF88" s="16" t="n">
        <v>3.105</v>
      </c>
      <c r="BG88" s="17">
        <f>100*(0.4*MIN(1,MAX(0,((U88*100)-(0.0))/((2.5)-(0.0))))+0.3*MIN(1,MAX(0,((V88)-(0.6))/((1.0)-(0.6))))+0.3*MIN(1,MAX(0,((BE88)-(0.0))/((15.0)-(0.0)))))</f>
        <v/>
      </c>
      <c r="BH88" s="17">
        <f>100*(0.4*MIN(1,MAX(0,((MIN(ABS(AA88),ABS(AB88)))-(0.75))/((0.0)-(0.75))))+0.3*MIN(1,MAX(0,((BC88)-(1.2))/((0.6)-(1.2))))+0.3*BD88)</f>
        <v/>
      </c>
      <c r="BI88" s="17">
        <f>100*(0.5*MIN(1,MAX(0,((AK88)-(1.0))/((4.0)-(1.0))))+0.3*MIN(1,MAX(0,((IF(ISNUMBER(AO88),AO88,0)*100)-(0.0))/((8.0)-(0.0))))+0.2*MIN(1,MAX(0,((IF(ISNUMBER(AP88),AP88,0))-(25.0))/((5.0)-(25.0)))))</f>
        <v/>
      </c>
      <c r="BJ88" s="17">
        <f>100*(0.35*MIN(1,MAX(0,((ABS(AU88))-(0.3))/((0.05)-(0.3))))+0.3*MIN(1,MAX(0,((AV88)-(0.0))/((0.3)-(0.0))))+0.25*MIN(1,MAX(0,((AW88)-(0.4))/((0.7)-(0.4))))+0.1*IF(AY88&gt;=2,1,0.5))</f>
        <v/>
      </c>
      <c r="BK88" s="18">
        <f>0.25*BG88+0.25*BH88+0.2*BI88+0.3*BJ88</f>
        <v/>
      </c>
      <c r="BL88" s="5" t="inlineStr">
        <is>
          <t>全部通過</t>
        </is>
      </c>
      <c r="BM88" s="5" t="inlineStr"/>
    </row>
    <row r="89">
      <c r="A89" s="5" t="n">
        <v>1</v>
      </c>
      <c r="B89" s="5" t="n">
        <v>88</v>
      </c>
      <c r="C89" s="6" t="inlineStr">
        <is>
          <t>FNRN</t>
        </is>
      </c>
      <c r="D89" s="5" t="inlineStr">
        <is>
          <t>First Northern Community Bancorp Common stock</t>
        </is>
      </c>
      <c r="E89" s="5" t="inlineStr">
        <is>
          <t>NASDAQ</t>
        </is>
      </c>
      <c r="F89" s="5" t="inlineStr">
        <is>
          <t>金融</t>
        </is>
      </c>
      <c r="G89" s="5" t="inlineStr">
        <is>
          <t>Savings Institutions</t>
        </is>
      </c>
      <c r="H89" s="7" t="n">
        <v>0.283</v>
      </c>
      <c r="I89" s="5" t="inlineStr">
        <is>
          <t>小型</t>
        </is>
      </c>
      <c r="J89" s="8" t="n">
        <v>17.64</v>
      </c>
      <c r="K89" s="8" t="n">
        <v>17.28</v>
      </c>
      <c r="L89" s="9">
        <f>J89/K89-1</f>
        <v/>
      </c>
      <c r="M89" s="8" t="n">
        <v>17.77</v>
      </c>
      <c r="N89" s="8" t="n">
        <v>16.98</v>
      </c>
      <c r="O89" s="10" t="n">
        <v>204600</v>
      </c>
      <c r="P89" s="10" t="n">
        <v>105270</v>
      </c>
      <c r="Q89" s="11">
        <f>O89/P89</f>
        <v/>
      </c>
      <c r="R89" s="8" t="n">
        <v>17.3154</v>
      </c>
      <c r="S89" s="8" t="n">
        <v>17.2877</v>
      </c>
      <c r="T89" s="8" t="n">
        <v>17.2526</v>
      </c>
      <c r="U89" s="9">
        <f>S89/T89-1</f>
        <v/>
      </c>
      <c r="V89" s="12" t="n">
        <v>0.4</v>
      </c>
      <c r="W89" s="9">
        <f>J89/R89-1</f>
        <v/>
      </c>
      <c r="X89" s="9">
        <f>J89/S89-1</f>
        <v/>
      </c>
      <c r="Y89" s="8" t="n">
        <v>0.3759</v>
      </c>
      <c r="Z89" s="13">
        <f>Y89/J89</f>
        <v/>
      </c>
      <c r="AA89" s="11">
        <f>(J89-R89)/Y89</f>
        <v/>
      </c>
      <c r="AB89" s="11">
        <f>(J89-S89)/Y89</f>
        <v/>
      </c>
      <c r="AC89" s="5">
        <f>IF(ABS(AA89)&lt;=ABS(AB89),"9EMA","21EMA")</f>
        <v/>
      </c>
      <c r="AD89" s="5" t="inlineStr">
        <is>
          <t>9+21EMA</t>
        </is>
      </c>
      <c r="AE89" s="19" t="inlineStr">
        <is>
          <t>剛黃金交叉</t>
        </is>
      </c>
      <c r="AF89" s="5" t="inlineStr">
        <is>
          <t>✓</t>
        </is>
      </c>
      <c r="AG89" s="5" t="inlineStr"/>
      <c r="AH89" s="5" t="inlineStr">
        <is>
          <t>✓</t>
        </is>
      </c>
      <c r="AI89" s="5" t="inlineStr">
        <is>
          <t>2026-10-01</t>
        </is>
      </c>
      <c r="AJ89" s="5" t="n">
        <v>0</v>
      </c>
      <c r="AK89" s="14" t="n">
        <v>4</v>
      </c>
      <c r="AL89" s="5" t="inlineStr">
        <is>
          <t>2026-09-24</t>
        </is>
      </c>
      <c r="AM89" s="8" t="n">
        <v>16.95</v>
      </c>
      <c r="AN89" s="8" t="n">
        <v>16.86</v>
      </c>
      <c r="AO89" s="9">
        <f>IF(ISNUMBER(AN89),AM89/AN89-1,"")</f>
        <v/>
      </c>
      <c r="AP89" s="14" t="n">
        <v>5</v>
      </c>
      <c r="AQ89" s="9">
        <f>IF(ISNUMBER(AM89),J89/AM89-1,"")</f>
        <v/>
      </c>
      <c r="AR89" s="8" t="n">
        <v>17.64</v>
      </c>
      <c r="AS89" s="9">
        <f>J89/AR89-1</f>
        <v/>
      </c>
      <c r="AT89" s="5" t="inlineStr">
        <is>
          <t>上升三角（平頂）</t>
        </is>
      </c>
      <c r="AU89" s="15" t="n">
        <v>-0.0978</v>
      </c>
      <c r="AV89" s="15" t="n">
        <v>0.1523</v>
      </c>
      <c r="AW89" s="15" t="n">
        <v>0.5517</v>
      </c>
      <c r="AX89" s="15" t="n">
        <v>0.5783</v>
      </c>
      <c r="AY89" s="14" t="n">
        <v>4</v>
      </c>
      <c r="AZ89" s="8" t="n">
        <v>17.77</v>
      </c>
      <c r="BA89" s="8" t="n">
        <v>16.53</v>
      </c>
      <c r="BB89" s="8" t="n">
        <v>17.2141</v>
      </c>
      <c r="BC89" s="15" t="n">
        <v>0.8053</v>
      </c>
      <c r="BD89" s="11">
        <f>IF(M89=N89,0.5,(J89-N89)/(M89-N89))</f>
        <v/>
      </c>
      <c r="BE89" s="16" t="n">
        <v>10.827</v>
      </c>
      <c r="BF89" s="16" t="n">
        <v>6.073</v>
      </c>
      <c r="BG89" s="17">
        <f>100*(0.4*MIN(1,MAX(0,((U89*100)-(0.0))/((2.5)-(0.0))))+0.3*MIN(1,MAX(0,((V89)-(0.6))/((1.0)-(0.6))))+0.3*MIN(1,MAX(0,((BE89)-(0.0))/((15.0)-(0.0)))))</f>
        <v/>
      </c>
      <c r="BH89" s="17">
        <f>100*(0.4*MIN(1,MAX(0,((MIN(ABS(AA89),ABS(AB89)))-(0.75))/((0.0)-(0.75))))+0.3*MIN(1,MAX(0,((BC89)-(1.2))/((0.6)-(1.2))))+0.3*BD89)</f>
        <v/>
      </c>
      <c r="BI89" s="17">
        <f>100*(0.5*MIN(1,MAX(0,((AK89)-(1.0))/((4.0)-(1.0))))+0.3*MIN(1,MAX(0,((IF(ISNUMBER(AO89),AO89,0)*100)-(0.0))/((8.0)-(0.0))))+0.2*MIN(1,MAX(0,((IF(ISNUMBER(AP89),AP89,0))-(25.0))/((5.0)-(25.0)))))</f>
        <v/>
      </c>
      <c r="BJ89" s="17">
        <f>100*(0.35*MIN(1,MAX(0,((ABS(AU89))-(0.3))/((0.05)-(0.3))))+0.3*MIN(1,MAX(0,((AV89)-(0.0))/((0.3)-(0.0))))+0.25*MIN(1,MAX(0,((AW89)-(0.4))/((0.7)-(0.4))))+0.1*IF(AY89&gt;=2,1,0.5))</f>
        <v/>
      </c>
      <c r="BK89" s="18">
        <f>0.25*BG89+0.25*BH89+0.2*BI89+0.3*BJ89</f>
        <v/>
      </c>
      <c r="BL89" s="5" t="inlineStr">
        <is>
          <t>全部通過</t>
        </is>
      </c>
      <c r="BM89" s="5" t="inlineStr"/>
    </row>
    <row r="90">
      <c r="A90" s="5" t="n">
        <v>1</v>
      </c>
      <c r="B90" s="5" t="n">
        <v>89</v>
      </c>
      <c r="C90" s="6" t="inlineStr">
        <is>
          <t>WAY</t>
        </is>
      </c>
      <c r="D90" s="5" t="inlineStr">
        <is>
          <t>Waystar Holding Corp.</t>
        </is>
      </c>
      <c r="E90" s="5" t="inlineStr">
        <is>
          <t>NASDAQ</t>
        </is>
      </c>
      <c r="F90" s="5" t="inlineStr">
        <is>
          <t>科技</t>
        </is>
      </c>
      <c r="G90" s="5" t="inlineStr">
        <is>
          <t>EDP Services</t>
        </is>
      </c>
      <c r="H90" s="7" t="n">
        <v>4.859</v>
      </c>
      <c r="I90" s="5" t="inlineStr">
        <is>
          <t>中型</t>
        </is>
      </c>
      <c r="J90" s="8" t="n">
        <v>25.35</v>
      </c>
      <c r="K90" s="8" t="n">
        <v>25.34</v>
      </c>
      <c r="L90" s="9">
        <f>J90/K90-1</f>
        <v/>
      </c>
      <c r="M90" s="8" t="n">
        <v>26.55</v>
      </c>
      <c r="N90" s="8" t="n">
        <v>24.98</v>
      </c>
      <c r="O90" s="10" t="n">
        <v>1930200</v>
      </c>
      <c r="P90" s="10" t="n">
        <v>2026585</v>
      </c>
      <c r="Q90" s="11">
        <f>O90/P90</f>
        <v/>
      </c>
      <c r="R90" s="8" t="n">
        <v>25.2692</v>
      </c>
      <c r="S90" s="8" t="n">
        <v>25.162</v>
      </c>
      <c r="T90" s="8" t="n">
        <v>25.1045</v>
      </c>
      <c r="U90" s="9">
        <f>S90/T90-1</f>
        <v/>
      </c>
      <c r="V90" s="12" t="n">
        <v>0.6</v>
      </c>
      <c r="W90" s="9">
        <f>J90/R90-1</f>
        <v/>
      </c>
      <c r="X90" s="9">
        <f>J90/S90-1</f>
        <v/>
      </c>
      <c r="Y90" s="8" t="n">
        <v>1.1148</v>
      </c>
      <c r="Z90" s="13">
        <f>Y90/J90</f>
        <v/>
      </c>
      <c r="AA90" s="11">
        <f>(J90-R90)/Y90</f>
        <v/>
      </c>
      <c r="AB90" s="11">
        <f>(J90-S90)/Y90</f>
        <v/>
      </c>
      <c r="AC90" s="5">
        <f>IF(ABS(AA90)&lt;=ABS(AB90),"9EMA","21EMA")</f>
        <v/>
      </c>
      <c r="AD90" s="5" t="inlineStr">
        <is>
          <t>9+21EMA</t>
        </is>
      </c>
      <c r="AE90" s="5" t="inlineStr">
        <is>
          <t>持續在上方</t>
        </is>
      </c>
      <c r="AF90" s="5" t="inlineStr"/>
      <c r="AG90" s="5" t="inlineStr"/>
      <c r="AH90" s="5" t="inlineStr">
        <is>
          <t>✓</t>
        </is>
      </c>
      <c r="AI90" s="5" t="inlineStr">
        <is>
          <t>2026-09-15</t>
        </is>
      </c>
      <c r="AJ90" s="5" t="n">
        <v>12</v>
      </c>
      <c r="AK90" s="14" t="n">
        <v>2</v>
      </c>
      <c r="AL90" s="5" t="inlineStr">
        <is>
          <t>2026-09-25</t>
        </is>
      </c>
      <c r="AM90" s="8" t="n">
        <v>24.325</v>
      </c>
      <c r="AN90" s="8" t="n">
        <v>22.955</v>
      </c>
      <c r="AO90" s="9">
        <f>IF(ISNUMBER(AN90),AM90/AN90-1,"")</f>
        <v/>
      </c>
      <c r="AP90" s="14" t="n">
        <v>4</v>
      </c>
      <c r="AQ90" s="9">
        <f>IF(ISNUMBER(AM90),J90/AM90-1,"")</f>
        <v/>
      </c>
      <c r="AR90" s="8" t="n">
        <v>26.67</v>
      </c>
      <c r="AS90" s="9">
        <f>J90/AR90-1</f>
        <v/>
      </c>
      <c r="AT90" s="5" t="inlineStr">
        <is>
          <t>上傾收窄（楔形）</t>
        </is>
      </c>
      <c r="AU90" s="15" t="n">
        <v>0.147</v>
      </c>
      <c r="AV90" s="15" t="n">
        <v>0.4913</v>
      </c>
      <c r="AW90" s="15" t="n">
        <v>0.5954</v>
      </c>
      <c r="AX90" s="15" t="n">
        <v>0.6842</v>
      </c>
      <c r="AY90" s="14" t="n">
        <v>4</v>
      </c>
      <c r="AZ90" s="8" t="n">
        <v>27.28</v>
      </c>
      <c r="BA90" s="8" t="n">
        <v>22.955</v>
      </c>
      <c r="BB90" s="8" t="n">
        <v>25.5299</v>
      </c>
      <c r="BC90" s="15" t="n">
        <v>0.9794</v>
      </c>
      <c r="BD90" s="11">
        <f>IF(M90=N90,0.5,(J90-N90)/(M90-N90))</f>
        <v/>
      </c>
      <c r="BE90" s="16" t="n">
        <v>3.163</v>
      </c>
      <c r="BF90" s="16" t="n">
        <v>-1.592</v>
      </c>
      <c r="BG90" s="17">
        <f>100*(0.4*MIN(1,MAX(0,((U90*100)-(0.0))/((2.5)-(0.0))))+0.3*MIN(1,MAX(0,((V90)-(0.6))/((1.0)-(0.6))))+0.3*MIN(1,MAX(0,((BE90)-(0.0))/((15.0)-(0.0)))))</f>
        <v/>
      </c>
      <c r="BH90" s="17">
        <f>100*(0.4*MIN(1,MAX(0,((MIN(ABS(AA90),ABS(AB90)))-(0.75))/((0.0)-(0.75))))+0.3*MIN(1,MAX(0,((BC90)-(1.2))/((0.6)-(1.2))))+0.3*BD90)</f>
        <v/>
      </c>
      <c r="BI90" s="17">
        <f>100*(0.5*MIN(1,MAX(0,((AK90)-(1.0))/((4.0)-(1.0))))+0.3*MIN(1,MAX(0,((IF(ISNUMBER(AO90),AO90,0)*100)-(0.0))/((8.0)-(0.0))))+0.2*MIN(1,MAX(0,((IF(ISNUMBER(AP90),AP90,0))-(25.0))/((5.0)-(25.0)))))</f>
        <v/>
      </c>
      <c r="BJ90" s="17">
        <f>100*(0.35*MIN(1,MAX(0,((ABS(AU90))-(0.3))/((0.05)-(0.3))))+0.3*MIN(1,MAX(0,((AV90)-(0.0))/((0.3)-(0.0))))+0.25*MIN(1,MAX(0,((AW90)-(0.4))/((0.7)-(0.4))))+0.1*IF(AY90&gt;=2,1,0.5))</f>
        <v/>
      </c>
      <c r="BK90" s="18">
        <f>0.25*BG90+0.25*BH90+0.2*BI90+0.3*BJ90</f>
        <v/>
      </c>
      <c r="BL90" s="5" t="inlineStr">
        <is>
          <t>全部通過</t>
        </is>
      </c>
      <c r="BM90" s="5" t="inlineStr"/>
    </row>
    <row r="91">
      <c r="A91" s="5" t="n">
        <v>1</v>
      </c>
      <c r="B91" s="5" t="n">
        <v>90</v>
      </c>
      <c r="C91" s="6" t="inlineStr">
        <is>
          <t>TXNM</t>
        </is>
      </c>
      <c r="D91" s="5" t="inlineStr">
        <is>
          <t>TXNM Energy Inc.</t>
        </is>
      </c>
      <c r="E91" s="5" t="inlineStr">
        <is>
          <t>NYSE</t>
        </is>
      </c>
      <c r="F91" s="5" t="inlineStr">
        <is>
          <t>公用事業</t>
        </is>
      </c>
      <c r="G91" s="5" t="inlineStr">
        <is>
          <t>Electric Utilities: Central</t>
        </is>
      </c>
      <c r="H91" s="7" t="n">
        <v>6.423</v>
      </c>
      <c r="I91" s="5" t="inlineStr">
        <is>
          <t>中型</t>
        </is>
      </c>
      <c r="J91" s="8" t="n">
        <v>58.53</v>
      </c>
      <c r="K91" s="8" t="n">
        <v>58.32</v>
      </c>
      <c r="L91" s="9">
        <f>J91/K91-1</f>
        <v/>
      </c>
      <c r="M91" s="8" t="n">
        <v>58.6</v>
      </c>
      <c r="N91" s="8" t="n">
        <v>58.1</v>
      </c>
      <c r="O91" s="10" t="n">
        <v>1765200</v>
      </c>
      <c r="P91" s="10" t="n">
        <v>1810575</v>
      </c>
      <c r="Q91" s="11">
        <f>O91/P91</f>
        <v/>
      </c>
      <c r="R91" s="8" t="n">
        <v>58.3904</v>
      </c>
      <c r="S91" s="8" t="n">
        <v>58.2223</v>
      </c>
      <c r="T91" s="8" t="n">
        <v>58.0957</v>
      </c>
      <c r="U91" s="9">
        <f>S91/T91-1</f>
        <v/>
      </c>
      <c r="V91" s="12" t="n">
        <v>1</v>
      </c>
      <c r="W91" s="9">
        <f>J91/R91-1</f>
        <v/>
      </c>
      <c r="X91" s="9">
        <f>J91/S91-1</f>
        <v/>
      </c>
      <c r="Y91" s="8" t="n">
        <v>0.3776</v>
      </c>
      <c r="Z91" s="13">
        <f>Y91/J91</f>
        <v/>
      </c>
      <c r="AA91" s="11">
        <f>(J91-R91)/Y91</f>
        <v/>
      </c>
      <c r="AB91" s="11">
        <f>(J91-S91)/Y91</f>
        <v/>
      </c>
      <c r="AC91" s="5">
        <f>IF(ABS(AA91)&lt;=ABS(AB91),"9EMA","21EMA")</f>
        <v/>
      </c>
      <c r="AD91" s="5" t="inlineStr">
        <is>
          <t>9+21EMA</t>
        </is>
      </c>
      <c r="AE91" s="5" t="inlineStr">
        <is>
          <t>持續在上方</t>
        </is>
      </c>
      <c r="AF91" s="5" t="inlineStr"/>
      <c r="AG91" s="5" t="inlineStr"/>
      <c r="AH91" s="5" t="inlineStr">
        <is>
          <t>✓</t>
        </is>
      </c>
      <c r="AI91" s="5" t="inlineStr">
        <is>
          <t>2026-09-01</t>
        </is>
      </c>
      <c r="AJ91" s="5" t="n">
        <v>21</v>
      </c>
      <c r="AK91" s="14" t="n">
        <v>3</v>
      </c>
      <c r="AL91" s="5" t="inlineStr">
        <is>
          <t>2026-09-25</t>
        </is>
      </c>
      <c r="AM91" s="8" t="n">
        <v>58.09</v>
      </c>
      <c r="AN91" s="8" t="n">
        <v>57.61</v>
      </c>
      <c r="AO91" s="9">
        <f>IF(ISNUMBER(AN91),AM91/AN91-1,"")</f>
        <v/>
      </c>
      <c r="AP91" s="14" t="n">
        <v>4</v>
      </c>
      <c r="AQ91" s="9">
        <f>IF(ISNUMBER(AM91),J91/AM91-1,"")</f>
        <v/>
      </c>
      <c r="AR91" s="8" t="n">
        <v>58.63</v>
      </c>
      <c r="AS91" s="9">
        <f>J91/AR91-1</f>
        <v/>
      </c>
      <c r="AT91" s="5" t="inlineStr">
        <is>
          <t>上升通道</t>
        </is>
      </c>
      <c r="AU91" s="15" t="n">
        <v>0.1082</v>
      </c>
      <c r="AV91" s="15" t="n">
        <v>0.0911</v>
      </c>
      <c r="AW91" s="15" t="n">
        <v>0.5274</v>
      </c>
      <c r="AX91" s="15" t="n">
        <v>0.6264</v>
      </c>
      <c r="AY91" s="14" t="n">
        <v>18</v>
      </c>
      <c r="AZ91" s="8" t="n">
        <v>58.93</v>
      </c>
      <c r="BA91" s="8" t="n">
        <v>57.41</v>
      </c>
      <c r="BB91" s="8" t="n">
        <v>58.2116</v>
      </c>
      <c r="BC91" s="15" t="n">
        <v>1.4682</v>
      </c>
      <c r="BD91" s="11">
        <f>IF(M91=N91,0.5,(J91-N91)/(M91-N91))</f>
        <v/>
      </c>
      <c r="BE91" s="16" t="n">
        <v>5.93</v>
      </c>
      <c r="BF91" s="16" t="n">
        <v>1.175</v>
      </c>
      <c r="BG91" s="17">
        <f>100*(0.4*MIN(1,MAX(0,((U91*100)-(0.0))/((2.5)-(0.0))))+0.3*MIN(1,MAX(0,((V91)-(0.6))/((1.0)-(0.6))))+0.3*MIN(1,MAX(0,((BE91)-(0.0))/((15.0)-(0.0)))))</f>
        <v/>
      </c>
      <c r="BH91" s="17">
        <f>100*(0.4*MIN(1,MAX(0,((MIN(ABS(AA91),ABS(AB91)))-(0.75))/((0.0)-(0.75))))+0.3*MIN(1,MAX(0,((BC91)-(1.2))/((0.6)-(1.2))))+0.3*BD91)</f>
        <v/>
      </c>
      <c r="BI91" s="17">
        <f>100*(0.5*MIN(1,MAX(0,((AK91)-(1.0))/((4.0)-(1.0))))+0.3*MIN(1,MAX(0,((IF(ISNUMBER(AO91),AO91,0)*100)-(0.0))/((8.0)-(0.0))))+0.2*MIN(1,MAX(0,((IF(ISNUMBER(AP91),AP91,0))-(25.0))/((5.0)-(25.0)))))</f>
        <v/>
      </c>
      <c r="BJ91" s="17">
        <f>100*(0.35*MIN(1,MAX(0,((ABS(AU91))-(0.3))/((0.05)-(0.3))))+0.3*MIN(1,MAX(0,((AV91)-(0.0))/((0.3)-(0.0))))+0.25*MIN(1,MAX(0,((AW91)-(0.4))/((0.7)-(0.4))))+0.1*IF(AY91&gt;=2,1,0.5))</f>
        <v/>
      </c>
      <c r="BK91" s="18">
        <f>0.25*BG91+0.25*BH91+0.2*BI91+0.3*BJ91</f>
        <v/>
      </c>
      <c r="BL91" s="5" t="inlineStr">
        <is>
          <t>全部通過</t>
        </is>
      </c>
      <c r="BM91" s="5" t="inlineStr"/>
    </row>
    <row r="92">
      <c r="A92" s="5" t="n">
        <v>1</v>
      </c>
      <c r="B92" s="5" t="n">
        <v>91</v>
      </c>
      <c r="C92" s="6" t="inlineStr">
        <is>
          <t>VSTS</t>
        </is>
      </c>
      <c r="D92" s="5" t="inlineStr">
        <is>
          <t>Vestis Corporation</t>
        </is>
      </c>
      <c r="E92" s="5" t="inlineStr">
        <is>
          <t>NYSE</t>
        </is>
      </c>
      <c r="F92" s="5" t="inlineStr">
        <is>
          <t>非必需消費</t>
        </is>
      </c>
      <c r="G92" s="5" t="inlineStr">
        <is>
          <t>Consumer Specialties</t>
        </is>
      </c>
      <c r="H92" s="7" t="n">
        <v>1.766</v>
      </c>
      <c r="I92" s="5" t="inlineStr">
        <is>
          <t>小型</t>
        </is>
      </c>
      <c r="J92" s="8" t="n">
        <v>13.78</v>
      </c>
      <c r="K92" s="8" t="n">
        <v>13.36</v>
      </c>
      <c r="L92" s="9">
        <f>J92/K92-1</f>
        <v/>
      </c>
      <c r="M92" s="8" t="n">
        <v>13.91</v>
      </c>
      <c r="N92" s="8" t="n">
        <v>13.091</v>
      </c>
      <c r="O92" s="10" t="n">
        <v>1521900</v>
      </c>
      <c r="P92" s="10" t="n">
        <v>1632025</v>
      </c>
      <c r="Q92" s="11">
        <f>O92/P92</f>
        <v/>
      </c>
      <c r="R92" s="8" t="n">
        <v>13.6284</v>
      </c>
      <c r="S92" s="8" t="n">
        <v>13.5373</v>
      </c>
      <c r="T92" s="8" t="n">
        <v>13.5331</v>
      </c>
      <c r="U92" s="9">
        <f>S92/T92-1</f>
        <v/>
      </c>
      <c r="V92" s="12" t="n">
        <v>0.7</v>
      </c>
      <c r="W92" s="9">
        <f>J92/R92-1</f>
        <v/>
      </c>
      <c r="X92" s="9">
        <f>J92/S92-1</f>
        <v/>
      </c>
      <c r="Y92" s="8" t="n">
        <v>0.5463</v>
      </c>
      <c r="Z92" s="13">
        <f>Y92/J92</f>
        <v/>
      </c>
      <c r="AA92" s="11">
        <f>(J92-R92)/Y92</f>
        <v/>
      </c>
      <c r="AB92" s="11">
        <f>(J92-S92)/Y92</f>
        <v/>
      </c>
      <c r="AC92" s="5">
        <f>IF(ABS(AA92)&lt;=ABS(AB92),"9EMA","21EMA")</f>
        <v/>
      </c>
      <c r="AD92" s="5" t="inlineStr">
        <is>
          <t>9+21EMA</t>
        </is>
      </c>
      <c r="AE92" s="5" t="inlineStr">
        <is>
          <t>持續在上方</t>
        </is>
      </c>
      <c r="AF92" s="5" t="inlineStr"/>
      <c r="AG92" s="5" t="inlineStr"/>
      <c r="AH92" s="5" t="inlineStr">
        <is>
          <t>✓</t>
        </is>
      </c>
      <c r="AI92" s="5" t="inlineStr">
        <is>
          <t>2026-09-16</t>
        </is>
      </c>
      <c r="AJ92" s="5" t="n">
        <v>11</v>
      </c>
      <c r="AK92" s="14" t="n">
        <v>3</v>
      </c>
      <c r="AL92" s="5" t="inlineStr">
        <is>
          <t>2026-09-28</t>
        </is>
      </c>
      <c r="AM92" s="8" t="n">
        <v>13.01</v>
      </c>
      <c r="AN92" s="8" t="n">
        <v>12.765</v>
      </c>
      <c r="AO92" s="9">
        <f>IF(ISNUMBER(AN92),AM92/AN92-1,"")</f>
        <v/>
      </c>
      <c r="AP92" s="14" t="n">
        <v>3</v>
      </c>
      <c r="AQ92" s="9">
        <f>IF(ISNUMBER(AM92),J92/AM92-1,"")</f>
        <v/>
      </c>
      <c r="AR92" s="8" t="n">
        <v>14.43</v>
      </c>
      <c r="AS92" s="9">
        <f>J92/AR92-1</f>
        <v/>
      </c>
      <c r="AT92" s="5" t="inlineStr">
        <is>
          <t>上傾擴張</t>
        </is>
      </c>
      <c r="AU92" s="15" t="n">
        <v>0.6234</v>
      </c>
      <c r="AV92" s="15" t="n">
        <v>0.379</v>
      </c>
      <c r="AW92" s="15" t="n">
        <v>0.51</v>
      </c>
      <c r="AX92" s="15" t="n">
        <v>0.5482</v>
      </c>
      <c r="AY92" s="14" t="n">
        <v>3</v>
      </c>
      <c r="AZ92" s="8" t="n">
        <v>14.66</v>
      </c>
      <c r="BA92" s="8" t="n">
        <v>12.07</v>
      </c>
      <c r="BB92" s="8" t="n">
        <v>13.3909</v>
      </c>
      <c r="BC92" s="15" t="n">
        <v>1.2097</v>
      </c>
      <c r="BD92" s="11">
        <f>IF(M92=N92,0.5,(J92-N92)/(M92-N92))</f>
        <v/>
      </c>
      <c r="BE92" s="16" t="n">
        <v>18.357</v>
      </c>
      <c r="BF92" s="16" t="n">
        <v>13.603</v>
      </c>
      <c r="BG92" s="17">
        <f>100*(0.4*MIN(1,MAX(0,((U92*100)-(0.0))/((2.5)-(0.0))))+0.3*MIN(1,MAX(0,((V92)-(0.6))/((1.0)-(0.6))))+0.3*MIN(1,MAX(0,((BE92)-(0.0))/((15.0)-(0.0)))))</f>
        <v/>
      </c>
      <c r="BH92" s="17">
        <f>100*(0.4*MIN(1,MAX(0,((MIN(ABS(AA92),ABS(AB92)))-(0.75))/((0.0)-(0.75))))+0.3*MIN(1,MAX(0,((BC92)-(1.2))/((0.6)-(1.2))))+0.3*BD92)</f>
        <v/>
      </c>
      <c r="BI92" s="17">
        <f>100*(0.5*MIN(1,MAX(0,((AK92)-(1.0))/((4.0)-(1.0))))+0.3*MIN(1,MAX(0,((IF(ISNUMBER(AO92),AO92,0)*100)-(0.0))/((8.0)-(0.0))))+0.2*MIN(1,MAX(0,((IF(ISNUMBER(AP92),AP92,0))-(25.0))/((5.0)-(25.0)))))</f>
        <v/>
      </c>
      <c r="BJ92" s="17">
        <f>100*(0.35*MIN(1,MAX(0,((ABS(AU92))-(0.3))/((0.05)-(0.3))))+0.3*MIN(1,MAX(0,((AV92)-(0.0))/((0.3)-(0.0))))+0.25*MIN(1,MAX(0,((AW92)-(0.4))/((0.7)-(0.4))))+0.1*IF(AY92&gt;=2,1,0.5))</f>
        <v/>
      </c>
      <c r="BK92" s="18">
        <f>0.25*BG92+0.25*BH92+0.2*BI92+0.3*BJ92</f>
        <v/>
      </c>
      <c r="BL92" s="5" t="inlineStr">
        <is>
          <t>全部通過</t>
        </is>
      </c>
      <c r="BM92" s="5" t="inlineStr"/>
    </row>
    <row r="93">
      <c r="A93" s="5" t="n">
        <v>1</v>
      </c>
      <c r="B93" s="5" t="n">
        <v>92</v>
      </c>
      <c r="C93" s="6" t="inlineStr">
        <is>
          <t>MKTX</t>
        </is>
      </c>
      <c r="D93" s="5" t="inlineStr">
        <is>
          <t>MarketAxess Holdings Inc.</t>
        </is>
      </c>
      <c r="E93" s="5" t="inlineStr">
        <is>
          <t>NASDAQ</t>
        </is>
      </c>
      <c r="F93" s="5" t="inlineStr">
        <is>
          <t>金融</t>
        </is>
      </c>
      <c r="G93" s="5" t="inlineStr">
        <is>
          <t>Investment Bankers/Brokers/Service</t>
        </is>
      </c>
      <c r="H93" s="7" t="n">
        <v>5.769</v>
      </c>
      <c r="I93" s="5" t="inlineStr">
        <is>
          <t>中型</t>
        </is>
      </c>
      <c r="J93" s="8" t="n">
        <v>164.22</v>
      </c>
      <c r="K93" s="8" t="n">
        <v>163.92</v>
      </c>
      <c r="L93" s="9">
        <f>J93/K93-1</f>
        <v/>
      </c>
      <c r="M93" s="8" t="n">
        <v>164.23</v>
      </c>
      <c r="N93" s="8" t="n">
        <v>164</v>
      </c>
      <c r="O93" s="10" t="n">
        <v>548800</v>
      </c>
      <c r="P93" s="10" t="n">
        <v>912965</v>
      </c>
      <c r="Q93" s="11">
        <f>O93/P93</f>
        <v/>
      </c>
      <c r="R93" s="8" t="n">
        <v>163.858</v>
      </c>
      <c r="S93" s="8" t="n">
        <v>162.8997</v>
      </c>
      <c r="T93" s="8" t="n">
        <v>162.1989</v>
      </c>
      <c r="U93" s="9">
        <f>S93/T93-1</f>
        <v/>
      </c>
      <c r="V93" s="12" t="n">
        <v>1</v>
      </c>
      <c r="W93" s="9">
        <f>J93/R93-1</f>
        <v/>
      </c>
      <c r="X93" s="9">
        <f>J93/S93-1</f>
        <v/>
      </c>
      <c r="Y93" s="8" t="n">
        <v>0.5906</v>
      </c>
      <c r="Z93" s="13">
        <f>Y93/J93</f>
        <v/>
      </c>
      <c r="AA93" s="11">
        <f>(J93-R93)/Y93</f>
        <v/>
      </c>
      <c r="AB93" s="11">
        <f>(J93-S93)/Y93</f>
        <v/>
      </c>
      <c r="AC93" s="5">
        <f>IF(ABS(AA93)&lt;=ABS(AB93),"9EMA","21EMA")</f>
        <v/>
      </c>
      <c r="AD93" s="5" t="inlineStr">
        <is>
          <t>9EMA</t>
        </is>
      </c>
      <c r="AE93" s="5" t="inlineStr">
        <is>
          <t>持續在上方</t>
        </is>
      </c>
      <c r="AF93" s="5" t="inlineStr"/>
      <c r="AG93" s="5" t="inlineStr"/>
      <c r="AH93" s="5" t="inlineStr">
        <is>
          <t>✓</t>
        </is>
      </c>
      <c r="AI93" s="5" t="inlineStr">
        <is>
          <t>2026-07-28</t>
        </is>
      </c>
      <c r="AJ93" s="5" t="n">
        <v>46</v>
      </c>
      <c r="AK93" s="14" t="n">
        <v>3</v>
      </c>
      <c r="AL93" s="5" t="inlineStr">
        <is>
          <t>2026-09-11</t>
        </is>
      </c>
      <c r="AM93" s="8" t="n">
        <v>162.97</v>
      </c>
      <c r="AN93" s="8" t="n">
        <v>161.74</v>
      </c>
      <c r="AO93" s="9">
        <f>IF(ISNUMBER(AN93),AM93/AN93-1,"")</f>
        <v/>
      </c>
      <c r="AP93" s="14" t="n">
        <v>14</v>
      </c>
      <c r="AQ93" s="9">
        <f>IF(ISNUMBER(AM93),J93/AM93-1,"")</f>
        <v/>
      </c>
      <c r="AR93" s="8" t="n">
        <v>164.22</v>
      </c>
      <c r="AS93" s="9">
        <f>J93/AR93-1</f>
        <v/>
      </c>
      <c r="AT93" s="5" t="inlineStr">
        <is>
          <t>上升三角（平頂）</t>
        </is>
      </c>
      <c r="AU93" s="15" t="n">
        <v>0.0261</v>
      </c>
      <c r="AV93" s="15" t="n">
        <v>0.0347</v>
      </c>
      <c r="AW93" s="15" t="n">
        <v>0.5056</v>
      </c>
      <c r="AX93" s="15" t="n">
        <v>0.5085</v>
      </c>
      <c r="AY93" s="14" t="n">
        <v>25</v>
      </c>
      <c r="AZ93" s="8" t="n">
        <v>164.23</v>
      </c>
      <c r="BA93" s="8" t="n">
        <v>162.46</v>
      </c>
      <c r="BB93" s="8" t="n">
        <v>163.355</v>
      </c>
      <c r="BC93" s="15" t="n">
        <v>1.1009</v>
      </c>
      <c r="BD93" s="11">
        <f>IF(M93=N93,0.5,(J93-N93)/(M93-N93))</f>
        <v/>
      </c>
      <c r="BE93" s="16" t="n">
        <v>5.719</v>
      </c>
      <c r="BF93" s="16" t="n">
        <v>0.965</v>
      </c>
      <c r="BG93" s="17">
        <f>100*(0.4*MIN(1,MAX(0,((U93*100)-(0.0))/((2.5)-(0.0))))+0.3*MIN(1,MAX(0,((V93)-(0.6))/((1.0)-(0.6))))+0.3*MIN(1,MAX(0,((BE93)-(0.0))/((15.0)-(0.0)))))</f>
        <v/>
      </c>
      <c r="BH93" s="17">
        <f>100*(0.4*MIN(1,MAX(0,((MIN(ABS(AA93),ABS(AB93)))-(0.75))/((0.0)-(0.75))))+0.3*MIN(1,MAX(0,((BC93)-(1.2))/((0.6)-(1.2))))+0.3*BD93)</f>
        <v/>
      </c>
      <c r="BI93" s="17">
        <f>100*(0.5*MIN(1,MAX(0,((AK93)-(1.0))/((4.0)-(1.0))))+0.3*MIN(1,MAX(0,((IF(ISNUMBER(AO93),AO93,0)*100)-(0.0))/((8.0)-(0.0))))+0.2*MIN(1,MAX(0,((IF(ISNUMBER(AP93),AP93,0))-(25.0))/((5.0)-(25.0)))))</f>
        <v/>
      </c>
      <c r="BJ93" s="17">
        <f>100*(0.35*MIN(1,MAX(0,((ABS(AU93))-(0.3))/((0.05)-(0.3))))+0.3*MIN(1,MAX(0,((AV93)-(0.0))/((0.3)-(0.0))))+0.25*MIN(1,MAX(0,((AW93)-(0.4))/((0.7)-(0.4))))+0.1*IF(AY93&gt;=2,1,0.5))</f>
        <v/>
      </c>
      <c r="BK93" s="18">
        <f>0.25*BG93+0.25*BH93+0.2*BI93+0.3*BJ93</f>
        <v/>
      </c>
      <c r="BL93" s="5" t="inlineStr">
        <is>
          <t>全部通過</t>
        </is>
      </c>
      <c r="BM93" s="5" t="inlineStr"/>
    </row>
    <row r="94">
      <c r="A94" s="5" t="n">
        <v>1</v>
      </c>
      <c r="B94" s="5" t="n">
        <v>93</v>
      </c>
      <c r="C94" s="6" t="inlineStr">
        <is>
          <t>PSX</t>
        </is>
      </c>
      <c r="D94" s="5" t="inlineStr">
        <is>
          <t>Phillips 66</t>
        </is>
      </c>
      <c r="E94" s="5" t="inlineStr">
        <is>
          <t>NYSE</t>
        </is>
      </c>
      <c r="F94" s="5" t="inlineStr">
        <is>
          <t>能源</t>
        </is>
      </c>
      <c r="G94" s="5" t="inlineStr">
        <is>
          <t>Integrated oil Companies</t>
        </is>
      </c>
      <c r="H94" s="7" t="n">
        <v>101.874</v>
      </c>
      <c r="I94" s="5" t="inlineStr">
        <is>
          <t>大型</t>
        </is>
      </c>
      <c r="J94" s="8" t="n">
        <v>264.23</v>
      </c>
      <c r="K94" s="8" t="n">
        <v>255.31</v>
      </c>
      <c r="L94" s="9">
        <f>J94/K94-1</f>
        <v/>
      </c>
      <c r="M94" s="8" t="n">
        <v>264.43</v>
      </c>
      <c r="N94" s="8" t="n">
        <v>252.54</v>
      </c>
      <c r="O94" s="10" t="n">
        <v>2529500</v>
      </c>
      <c r="P94" s="10" t="n">
        <v>3343170</v>
      </c>
      <c r="Q94" s="11">
        <f>O94/P94</f>
        <v/>
      </c>
      <c r="R94" s="8" t="n">
        <v>258.1223</v>
      </c>
      <c r="S94" s="8" t="n">
        <v>255.5702</v>
      </c>
      <c r="T94" s="8" t="n">
        <v>254.9429</v>
      </c>
      <c r="U94" s="9">
        <f>S94/T94-1</f>
        <v/>
      </c>
      <c r="V94" s="12" t="n">
        <v>0.8</v>
      </c>
      <c r="W94" s="9">
        <f>J94/R94-1</f>
        <v/>
      </c>
      <c r="X94" s="9">
        <f>J94/S94-1</f>
        <v/>
      </c>
      <c r="Y94" s="8" t="n">
        <v>8.5352</v>
      </c>
      <c r="Z94" s="13">
        <f>Y94/J94</f>
        <v/>
      </c>
      <c r="AA94" s="11">
        <f>(J94-R94)/Y94</f>
        <v/>
      </c>
      <c r="AB94" s="11">
        <f>(J94-S94)/Y94</f>
        <v/>
      </c>
      <c r="AC94" s="5">
        <f>IF(ABS(AA94)&lt;=ABS(AB94),"9EMA","21EMA")</f>
        <v/>
      </c>
      <c r="AD94" s="5" t="inlineStr">
        <is>
          <t>9+21EMA</t>
        </is>
      </c>
      <c r="AE94" s="5" t="inlineStr">
        <is>
          <t>持續在上方</t>
        </is>
      </c>
      <c r="AF94" s="5" t="inlineStr"/>
      <c r="AG94" s="5" t="inlineStr"/>
      <c r="AH94" s="5" t="inlineStr">
        <is>
          <t>✓</t>
        </is>
      </c>
      <c r="AI94" s="5" t="inlineStr">
        <is>
          <t>2026-07-07</t>
        </is>
      </c>
      <c r="AJ94" s="5" t="n">
        <v>61</v>
      </c>
      <c r="AK94" s="14" t="n">
        <v>3</v>
      </c>
      <c r="AL94" s="5" t="inlineStr">
        <is>
          <t>2026-09-14</t>
        </is>
      </c>
      <c r="AM94" s="8" t="n">
        <v>253.41</v>
      </c>
      <c r="AN94" s="8" t="n">
        <v>233.55</v>
      </c>
      <c r="AO94" s="9">
        <f>IF(ISNUMBER(AN94),AM94/AN94-1,"")</f>
        <v/>
      </c>
      <c r="AP94" s="14" t="n">
        <v>13</v>
      </c>
      <c r="AQ94" s="9">
        <f>IF(ISNUMBER(AM94),J94/AM94-1,"")</f>
        <v/>
      </c>
      <c r="AR94" s="8" t="n">
        <v>274.21</v>
      </c>
      <c r="AS94" s="9">
        <f>J94/AR94-1</f>
        <v/>
      </c>
      <c r="AT94" s="5" t="inlineStr">
        <is>
          <t>上傾擴張</t>
        </is>
      </c>
      <c r="AU94" s="15" t="n">
        <v>0.1964</v>
      </c>
      <c r="AV94" s="15" t="n">
        <v>0.1489</v>
      </c>
      <c r="AW94" s="15" t="n">
        <v>0.5433</v>
      </c>
      <c r="AX94" s="15" t="n">
        <v>0.5537</v>
      </c>
      <c r="AY94" s="14" t="n">
        <v>3</v>
      </c>
      <c r="AZ94" s="8" t="n">
        <v>277.12</v>
      </c>
      <c r="BA94" s="8" t="n">
        <v>237.13</v>
      </c>
      <c r="BB94" s="8" t="n">
        <v>258.8568</v>
      </c>
      <c r="BC94" s="15" t="n">
        <v>1.6799</v>
      </c>
      <c r="BD94" s="11">
        <f>IF(M94=N94,0.5,(J94-N94)/(M94-N94))</f>
        <v/>
      </c>
      <c r="BE94" s="16" t="n">
        <v>9.599</v>
      </c>
      <c r="BF94" s="16" t="n">
        <v>4.845</v>
      </c>
      <c r="BG94" s="17">
        <f>100*(0.4*MIN(1,MAX(0,((U94*100)-(0.0))/((2.5)-(0.0))))+0.3*MIN(1,MAX(0,((V94)-(0.6))/((1.0)-(0.6))))+0.3*MIN(1,MAX(0,((BE94)-(0.0))/((15.0)-(0.0)))))</f>
        <v/>
      </c>
      <c r="BH94" s="17">
        <f>100*(0.4*MIN(1,MAX(0,((MIN(ABS(AA94),ABS(AB94)))-(0.75))/((0.0)-(0.75))))+0.3*MIN(1,MAX(0,((BC94)-(1.2))/((0.6)-(1.2))))+0.3*BD94)</f>
        <v/>
      </c>
      <c r="BI94" s="17">
        <f>100*(0.5*MIN(1,MAX(0,((AK94)-(1.0))/((4.0)-(1.0))))+0.3*MIN(1,MAX(0,((IF(ISNUMBER(AO94),AO94,0)*100)-(0.0))/((8.0)-(0.0))))+0.2*MIN(1,MAX(0,((IF(ISNUMBER(AP94),AP94,0))-(25.0))/((5.0)-(25.0)))))</f>
        <v/>
      </c>
      <c r="BJ94" s="17">
        <f>100*(0.35*MIN(1,MAX(0,((ABS(AU94))-(0.3))/((0.05)-(0.3))))+0.3*MIN(1,MAX(0,((AV94)-(0.0))/((0.3)-(0.0))))+0.25*MIN(1,MAX(0,((AW94)-(0.4))/((0.7)-(0.4))))+0.1*IF(AY94&gt;=2,1,0.5))</f>
        <v/>
      </c>
      <c r="BK94" s="18">
        <f>0.25*BG94+0.25*BH94+0.2*BI94+0.3*BJ94</f>
        <v/>
      </c>
      <c r="BL94" s="5" t="inlineStr">
        <is>
          <t>全部通過</t>
        </is>
      </c>
      <c r="BM94" s="5" t="inlineStr"/>
    </row>
    <row r="95">
      <c r="A95" s="5" t="n">
        <v>1</v>
      </c>
      <c r="B95" s="5" t="n">
        <v>94</v>
      </c>
      <c r="C95" s="6" t="inlineStr">
        <is>
          <t>ATKR</t>
        </is>
      </c>
      <c r="D95" s="5" t="inlineStr">
        <is>
          <t>Atkore Inc.</t>
        </is>
      </c>
      <c r="E95" s="5" t="inlineStr">
        <is>
          <t>NYSE</t>
        </is>
      </c>
      <c r="F95" s="5" t="inlineStr">
        <is>
          <t>其他</t>
        </is>
      </c>
      <c r="G95" s="5" t="inlineStr">
        <is>
          <t>Industrial Machinery/Components</t>
        </is>
      </c>
      <c r="H95" s="7" t="n">
        <v>3.2</v>
      </c>
      <c r="I95" s="5" t="inlineStr">
        <is>
          <t>中型</t>
        </is>
      </c>
      <c r="J95" s="8" t="n">
        <v>94.77</v>
      </c>
      <c r="K95" s="8" t="n">
        <v>94.75</v>
      </c>
      <c r="L95" s="9">
        <f>J95/K95-1</f>
        <v/>
      </c>
      <c r="M95" s="8" t="n">
        <v>94.84</v>
      </c>
      <c r="N95" s="8" t="n">
        <v>94.75</v>
      </c>
      <c r="O95" s="10" t="n">
        <v>596600</v>
      </c>
      <c r="P95" s="10" t="n">
        <v>782225</v>
      </c>
      <c r="Q95" s="11">
        <f>O95/P95</f>
        <v/>
      </c>
      <c r="R95" s="8" t="n">
        <v>94.6057</v>
      </c>
      <c r="S95" s="8" t="n">
        <v>94.04179999999999</v>
      </c>
      <c r="T95" s="8" t="n">
        <v>93.6434</v>
      </c>
      <c r="U95" s="9">
        <f>S95/T95-1</f>
        <v/>
      </c>
      <c r="V95" s="12" t="n">
        <v>1</v>
      </c>
      <c r="W95" s="9">
        <f>J95/R95-1</f>
        <v/>
      </c>
      <c r="X95" s="9">
        <f>J95/S95-1</f>
        <v/>
      </c>
      <c r="Y95" s="8" t="n">
        <v>0.3888</v>
      </c>
      <c r="Z95" s="13">
        <f>Y95/J95</f>
        <v/>
      </c>
      <c r="AA95" s="11">
        <f>(J95-R95)/Y95</f>
        <v/>
      </c>
      <c r="AB95" s="11">
        <f>(J95-S95)/Y95</f>
        <v/>
      </c>
      <c r="AC95" s="5">
        <f>IF(ABS(AA95)&lt;=ABS(AB95),"9EMA","21EMA")</f>
        <v/>
      </c>
      <c r="AD95" s="5" t="inlineStr">
        <is>
          <t>9EMA</t>
        </is>
      </c>
      <c r="AE95" s="5" t="inlineStr">
        <is>
          <t>持續在上方</t>
        </is>
      </c>
      <c r="AF95" s="5" t="inlineStr"/>
      <c r="AG95" s="5" t="inlineStr"/>
      <c r="AH95" s="5" t="inlineStr">
        <is>
          <t>✓</t>
        </is>
      </c>
      <c r="AI95" s="5" t="inlineStr">
        <is>
          <t>2026-08-03</t>
        </is>
      </c>
      <c r="AJ95" s="5" t="n">
        <v>42</v>
      </c>
      <c r="AK95" s="14" t="n">
        <v>4</v>
      </c>
      <c r="AL95" s="5" t="inlineStr">
        <is>
          <t>2026-08-28</t>
        </is>
      </c>
      <c r="AM95" s="8" t="n">
        <v>93.5</v>
      </c>
      <c r="AN95" s="8" t="n">
        <v>93.315</v>
      </c>
      <c r="AO95" s="9">
        <f>IF(ISNUMBER(AN95),AM95/AN95-1,"")</f>
        <v/>
      </c>
      <c r="AP95" s="14" t="n">
        <v>23</v>
      </c>
      <c r="AQ95" s="9">
        <f>IF(ISNUMBER(AM95),J95/AM95-1,"")</f>
        <v/>
      </c>
      <c r="AR95" s="8" t="n">
        <v>94.77</v>
      </c>
      <c r="AS95" s="9">
        <f>J95/AR95-1</f>
        <v/>
      </c>
      <c r="AT95" s="5" t="inlineStr">
        <is>
          <t>上升三角（平頂）</t>
        </is>
      </c>
      <c r="AU95" s="15" t="n">
        <v>0.0521</v>
      </c>
      <c r="AV95" s="15" t="n">
        <v>0.0589</v>
      </c>
      <c r="AW95" s="15" t="n">
        <v>0.5371</v>
      </c>
      <c r="AX95" s="15" t="n">
        <v>0.549</v>
      </c>
      <c r="AY95" s="14" t="n">
        <v>25</v>
      </c>
      <c r="AZ95" s="8" t="n">
        <v>94.84</v>
      </c>
      <c r="BA95" s="8" t="n">
        <v>93.5</v>
      </c>
      <c r="BB95" s="8" t="n">
        <v>94.2197</v>
      </c>
      <c r="BC95" s="15" t="n">
        <v>1.9764</v>
      </c>
      <c r="BD95" s="11">
        <f>IF(M95=N95,0.5,(J95-N95)/(M95-N95))</f>
        <v/>
      </c>
      <c r="BE95" s="16" t="n">
        <v>5.972</v>
      </c>
      <c r="BF95" s="16" t="n">
        <v>1.218</v>
      </c>
      <c r="BG95" s="17">
        <f>100*(0.4*MIN(1,MAX(0,((U95*100)-(0.0))/((2.5)-(0.0))))+0.3*MIN(1,MAX(0,((V95)-(0.6))/((1.0)-(0.6))))+0.3*MIN(1,MAX(0,((BE95)-(0.0))/((15.0)-(0.0)))))</f>
        <v/>
      </c>
      <c r="BH95" s="17">
        <f>100*(0.4*MIN(1,MAX(0,((MIN(ABS(AA95),ABS(AB95)))-(0.75))/((0.0)-(0.75))))+0.3*MIN(1,MAX(0,((BC95)-(1.2))/((0.6)-(1.2))))+0.3*BD95)</f>
        <v/>
      </c>
      <c r="BI95" s="17">
        <f>100*(0.5*MIN(1,MAX(0,((AK95)-(1.0))/((4.0)-(1.0))))+0.3*MIN(1,MAX(0,((IF(ISNUMBER(AO95),AO95,0)*100)-(0.0))/((8.0)-(0.0))))+0.2*MIN(1,MAX(0,((IF(ISNUMBER(AP95),AP95,0))-(25.0))/((5.0)-(25.0)))))</f>
        <v/>
      </c>
      <c r="BJ95" s="17">
        <f>100*(0.35*MIN(1,MAX(0,((ABS(AU95))-(0.3))/((0.05)-(0.3))))+0.3*MIN(1,MAX(0,((AV95)-(0.0))/((0.3)-(0.0))))+0.25*MIN(1,MAX(0,((AW95)-(0.4))/((0.7)-(0.4))))+0.1*IF(AY95&gt;=2,1,0.5))</f>
        <v/>
      </c>
      <c r="BK95" s="18">
        <f>0.25*BG95+0.25*BH95+0.2*BI95+0.3*BJ95</f>
        <v/>
      </c>
      <c r="BL95" s="5" t="inlineStr">
        <is>
          <t>全部通過</t>
        </is>
      </c>
      <c r="BM95" s="5" t="inlineStr"/>
    </row>
    <row r="96">
      <c r="A96" s="5" t="n">
        <v>1</v>
      </c>
      <c r="B96" s="5" t="n">
        <v>95</v>
      </c>
      <c r="C96" s="6" t="inlineStr">
        <is>
          <t>COLM</t>
        </is>
      </c>
      <c r="D96" s="5" t="inlineStr">
        <is>
          <t>Columbia Sportswear Company</t>
        </is>
      </c>
      <c r="E96" s="5" t="inlineStr">
        <is>
          <t>NASDAQ</t>
        </is>
      </c>
      <c r="F96" s="5" t="inlineStr">
        <is>
          <t>非必需消費</t>
        </is>
      </c>
      <c r="G96" s="5" t="inlineStr">
        <is>
          <t>Apparel</t>
        </is>
      </c>
      <c r="H96" s="7" t="n">
        <v>2.939</v>
      </c>
      <c r="I96" s="5" t="inlineStr">
        <is>
          <t>中型</t>
        </is>
      </c>
      <c r="J96" s="8" t="n">
        <v>57.69</v>
      </c>
      <c r="K96" s="8" t="n">
        <v>57.41</v>
      </c>
      <c r="L96" s="9">
        <f>J96/K96-1</f>
        <v/>
      </c>
      <c r="M96" s="8" t="n">
        <v>58.07</v>
      </c>
      <c r="N96" s="8" t="n">
        <v>57.03</v>
      </c>
      <c r="O96" s="10" t="n">
        <v>1006100</v>
      </c>
      <c r="P96" s="10" t="n">
        <v>691920</v>
      </c>
      <c r="Q96" s="11">
        <f>O96/P96</f>
        <v/>
      </c>
      <c r="R96" s="8" t="n">
        <v>57.6394</v>
      </c>
      <c r="S96" s="8" t="n">
        <v>57.613</v>
      </c>
      <c r="T96" s="8" t="n">
        <v>57.4237</v>
      </c>
      <c r="U96" s="9">
        <f>S96/T96-1</f>
        <v/>
      </c>
      <c r="V96" s="12" t="n">
        <v>0.5</v>
      </c>
      <c r="W96" s="9">
        <f>J96/R96-1</f>
        <v/>
      </c>
      <c r="X96" s="9">
        <f>J96/S96-1</f>
        <v/>
      </c>
      <c r="Y96" s="8" t="n">
        <v>1.5485</v>
      </c>
      <c r="Z96" s="13">
        <f>Y96/J96</f>
        <v/>
      </c>
      <c r="AA96" s="11">
        <f>(J96-R96)/Y96</f>
        <v/>
      </c>
      <c r="AB96" s="11">
        <f>(J96-S96)/Y96</f>
        <v/>
      </c>
      <c r="AC96" s="5">
        <f>IF(ABS(AA96)&lt;=ABS(AB96),"9EMA","21EMA")</f>
        <v/>
      </c>
      <c r="AD96" s="5" t="inlineStr">
        <is>
          <t>9+21EMA</t>
        </is>
      </c>
      <c r="AE96" s="19" t="inlineStr">
        <is>
          <t>剛黃金交叉</t>
        </is>
      </c>
      <c r="AF96" s="5" t="inlineStr">
        <is>
          <t>✓</t>
        </is>
      </c>
      <c r="AG96" s="5" t="inlineStr"/>
      <c r="AH96" s="5" t="inlineStr">
        <is>
          <t>✓</t>
        </is>
      </c>
      <c r="AI96" s="5" t="inlineStr">
        <is>
          <t>2026-09-29</t>
        </is>
      </c>
      <c r="AJ96" s="5" t="n">
        <v>2</v>
      </c>
      <c r="AK96" s="14" t="n">
        <v>2</v>
      </c>
      <c r="AL96" s="5" t="inlineStr">
        <is>
          <t>2026-09-21</t>
        </is>
      </c>
      <c r="AM96" s="8" t="n">
        <v>55.67</v>
      </c>
      <c r="AN96" s="8" t="n">
        <v>55.01</v>
      </c>
      <c r="AO96" s="9">
        <f>IF(ISNUMBER(AN96),AM96/AN96-1,"")</f>
        <v/>
      </c>
      <c r="AP96" s="14" t="n">
        <v>8</v>
      </c>
      <c r="AQ96" s="9">
        <f>IF(ISNUMBER(AM96),J96/AM96-1,"")</f>
        <v/>
      </c>
      <c r="AR96" s="8" t="n">
        <v>58.69</v>
      </c>
      <c r="AS96" s="9">
        <f>J96/AR96-1</f>
        <v/>
      </c>
      <c r="AT96" s="5" t="inlineStr">
        <is>
          <t>上升三角（平頂）</t>
        </is>
      </c>
      <c r="AU96" s="15" t="n">
        <v>0.0939</v>
      </c>
      <c r="AV96" s="15" t="n">
        <v>0.1634</v>
      </c>
      <c r="AW96" s="15" t="n">
        <v>0.5576</v>
      </c>
      <c r="AX96" s="15" t="n">
        <v>0.453</v>
      </c>
      <c r="AY96" s="14" t="n">
        <v>7</v>
      </c>
      <c r="AZ96" s="8" t="n">
        <v>59.03</v>
      </c>
      <c r="BA96" s="8" t="n">
        <v>55.01</v>
      </c>
      <c r="BB96" s="8" t="n">
        <v>57.2514</v>
      </c>
      <c r="BC96" s="15" t="n">
        <v>1.2066</v>
      </c>
      <c r="BD96" s="11">
        <f>IF(M96=N96,0.5,(J96-N96)/(M96-N96))</f>
        <v/>
      </c>
      <c r="BE96" s="16" t="n">
        <v>6.303</v>
      </c>
      <c r="BF96" s="16" t="n">
        <v>1.549</v>
      </c>
      <c r="BG96" s="17">
        <f>100*(0.4*MIN(1,MAX(0,((U96*100)-(0.0))/((2.5)-(0.0))))+0.3*MIN(1,MAX(0,((V96)-(0.6))/((1.0)-(0.6))))+0.3*MIN(1,MAX(0,((BE96)-(0.0))/((15.0)-(0.0)))))</f>
        <v/>
      </c>
      <c r="BH96" s="17">
        <f>100*(0.4*MIN(1,MAX(0,((MIN(ABS(AA96),ABS(AB96)))-(0.75))/((0.0)-(0.75))))+0.3*MIN(1,MAX(0,((BC96)-(1.2))/((0.6)-(1.2))))+0.3*BD96)</f>
        <v/>
      </c>
      <c r="BI96" s="17">
        <f>100*(0.5*MIN(1,MAX(0,((AK96)-(1.0))/((4.0)-(1.0))))+0.3*MIN(1,MAX(0,((IF(ISNUMBER(AO96),AO96,0)*100)-(0.0))/((8.0)-(0.0))))+0.2*MIN(1,MAX(0,((IF(ISNUMBER(AP96),AP96,0))-(25.0))/((5.0)-(25.0)))))</f>
        <v/>
      </c>
      <c r="BJ96" s="17">
        <f>100*(0.35*MIN(1,MAX(0,((ABS(AU96))-(0.3))/((0.05)-(0.3))))+0.3*MIN(1,MAX(0,((AV96)-(0.0))/((0.3)-(0.0))))+0.25*MIN(1,MAX(0,((AW96)-(0.4))/((0.7)-(0.4))))+0.1*IF(AY96&gt;=2,1,0.5))</f>
        <v/>
      </c>
      <c r="BK96" s="18">
        <f>0.25*BG96+0.25*BH96+0.2*BI96+0.3*BJ96</f>
        <v/>
      </c>
      <c r="BL96" s="5" t="inlineStr">
        <is>
          <t>全部通過</t>
        </is>
      </c>
      <c r="BM96" s="5" t="inlineStr"/>
    </row>
    <row r="97">
      <c r="A97" s="5" t="n">
        <v>1</v>
      </c>
      <c r="B97" s="5" t="n">
        <v>96</v>
      </c>
      <c r="C97" s="6" t="inlineStr">
        <is>
          <t>BIIB</t>
        </is>
      </c>
      <c r="D97" s="5" t="inlineStr">
        <is>
          <t>Biogen Inc.</t>
        </is>
      </c>
      <c r="E97" s="5" t="inlineStr">
        <is>
          <t>NASDAQ</t>
        </is>
      </c>
      <c r="F97" s="5" t="inlineStr">
        <is>
          <t>醫療保健</t>
        </is>
      </c>
      <c r="G97" s="5" t="inlineStr">
        <is>
          <t>Biotechnology: Biological Products (No Diagnostic Substances)</t>
        </is>
      </c>
      <c r="H97" s="7" t="n">
        <v>33.375</v>
      </c>
      <c r="I97" s="5" t="inlineStr">
        <is>
          <t>大型</t>
        </is>
      </c>
      <c r="J97" s="8" t="n">
        <v>222.82</v>
      </c>
      <c r="K97" s="8" t="n">
        <v>225.88</v>
      </c>
      <c r="L97" s="9">
        <f>J97/K97-1</f>
        <v/>
      </c>
      <c r="M97" s="8" t="n">
        <v>228.31</v>
      </c>
      <c r="N97" s="8" t="n">
        <v>222.5</v>
      </c>
      <c r="O97" s="10" t="n">
        <v>1755300</v>
      </c>
      <c r="P97" s="10" t="n">
        <v>1056660</v>
      </c>
      <c r="Q97" s="11">
        <f>O97/P97</f>
        <v/>
      </c>
      <c r="R97" s="8" t="n">
        <v>224.4891</v>
      </c>
      <c r="S97" s="8" t="n">
        <v>221.5939</v>
      </c>
      <c r="T97" s="8" t="n">
        <v>218.8001</v>
      </c>
      <c r="U97" s="9">
        <f>S97/T97-1</f>
        <v/>
      </c>
      <c r="V97" s="12" t="n">
        <v>0.9</v>
      </c>
      <c r="W97" s="9">
        <f>J97/R97-1</f>
        <v/>
      </c>
      <c r="X97" s="9">
        <f>J97/S97-1</f>
        <v/>
      </c>
      <c r="Y97" s="8" t="n">
        <v>5.5593</v>
      </c>
      <c r="Z97" s="13">
        <f>Y97/J97</f>
        <v/>
      </c>
      <c r="AA97" s="11">
        <f>(J97-R97)/Y97</f>
        <v/>
      </c>
      <c r="AB97" s="11">
        <f>(J97-S97)/Y97</f>
        <v/>
      </c>
      <c r="AC97" s="5">
        <f>IF(ABS(AA97)&lt;=ABS(AB97),"9EMA","21EMA")</f>
        <v/>
      </c>
      <c r="AD97" s="5" t="inlineStr">
        <is>
          <t>9+21EMA</t>
        </is>
      </c>
      <c r="AE97" s="5" t="inlineStr">
        <is>
          <t>持續在上方</t>
        </is>
      </c>
      <c r="AF97" s="5" t="inlineStr"/>
      <c r="AG97" s="5" t="inlineStr">
        <is>
          <t>✓</t>
        </is>
      </c>
      <c r="AH97" s="5" t="inlineStr"/>
      <c r="AI97" s="5" t="inlineStr">
        <is>
          <t>2026-07-29</t>
        </is>
      </c>
      <c r="AJ97" s="5" t="n">
        <v>45</v>
      </c>
      <c r="AK97" s="14" t="n">
        <v>2</v>
      </c>
      <c r="AL97" s="5" t="inlineStr">
        <is>
          <t>2026-09-21</t>
        </is>
      </c>
      <c r="AM97" s="8" t="n">
        <v>214.59</v>
      </c>
      <c r="AN97" s="8" t="n">
        <v>208.93</v>
      </c>
      <c r="AO97" s="9">
        <f>IF(ISNUMBER(AN97),AM97/AN97-1,"")</f>
        <v/>
      </c>
      <c r="AP97" s="14" t="n">
        <v>8</v>
      </c>
      <c r="AQ97" s="9">
        <f>IF(ISNUMBER(AM97),J97/AM97-1,"")</f>
        <v/>
      </c>
      <c r="AR97" s="8" t="n">
        <v>228.69</v>
      </c>
      <c r="AS97" s="9">
        <f>J97/AR97-1</f>
        <v/>
      </c>
      <c r="AT97" s="5" t="inlineStr">
        <is>
          <t>上傾擴張</t>
        </is>
      </c>
      <c r="AU97" s="15" t="n">
        <v>0.1559</v>
      </c>
      <c r="AV97" s="15" t="n">
        <v>0.0324</v>
      </c>
      <c r="AW97" s="15" t="n">
        <v>0.5623</v>
      </c>
      <c r="AX97" s="15" t="n">
        <v>0.5748</v>
      </c>
      <c r="AY97" s="14" t="n">
        <v>7</v>
      </c>
      <c r="AZ97" s="8" t="n">
        <v>230.49</v>
      </c>
      <c r="BA97" s="8" t="n">
        <v>208.93</v>
      </c>
      <c r="BB97" s="8" t="n">
        <v>221.0532</v>
      </c>
      <c r="BC97" s="15" t="n">
        <v>1.3973</v>
      </c>
      <c r="BD97" s="11">
        <f>IF(M97=N97,0.5,(J97-N97)/(M97-N97))</f>
        <v/>
      </c>
      <c r="BE97" s="16" t="n">
        <v>7.892</v>
      </c>
      <c r="BF97" s="16" t="n">
        <v>3.138</v>
      </c>
      <c r="BG97" s="17">
        <f>100*(0.4*MIN(1,MAX(0,((U97*100)-(0.0))/((2.5)-(0.0))))+0.3*MIN(1,MAX(0,((V97)-(0.6))/((1.0)-(0.6))))+0.3*MIN(1,MAX(0,((BE97)-(0.0))/((15.0)-(0.0)))))</f>
        <v/>
      </c>
      <c r="BH97" s="17">
        <f>100*(0.4*MIN(1,MAX(0,((MIN(ABS(AA97),ABS(AB97)))-(0.75))/((0.0)-(0.75))))+0.3*MIN(1,MAX(0,((BC97)-(1.2))/((0.6)-(1.2))))+0.3*BD97)</f>
        <v/>
      </c>
      <c r="BI97" s="17">
        <f>100*(0.5*MIN(1,MAX(0,((AK97)-(1.0))/((4.0)-(1.0))))+0.3*MIN(1,MAX(0,((IF(ISNUMBER(AO97),AO97,0)*100)-(0.0))/((8.0)-(0.0))))+0.2*MIN(1,MAX(0,((IF(ISNUMBER(AP97),AP97,0))-(25.0))/((5.0)-(25.0)))))</f>
        <v/>
      </c>
      <c r="BJ97" s="17">
        <f>100*(0.35*MIN(1,MAX(0,((ABS(AU97))-(0.3))/((0.05)-(0.3))))+0.3*MIN(1,MAX(0,((AV97)-(0.0))/((0.3)-(0.0))))+0.25*MIN(1,MAX(0,((AW97)-(0.4))/((0.7)-(0.4))))+0.1*IF(AY97&gt;=2,1,0.5))</f>
        <v/>
      </c>
      <c r="BK97" s="18">
        <f>0.25*BG97+0.25*BH97+0.2*BI97+0.3*BJ97</f>
        <v/>
      </c>
      <c r="BL97" s="5" t="inlineStr">
        <is>
          <t>全部通過</t>
        </is>
      </c>
      <c r="BM97" s="5" t="inlineStr"/>
    </row>
    <row r="98">
      <c r="A98" s="5" t="n">
        <v>1</v>
      </c>
      <c r="B98" s="5" t="n">
        <v>97</v>
      </c>
      <c r="C98" s="6" t="inlineStr">
        <is>
          <t>SAFT</t>
        </is>
      </c>
      <c r="D98" s="5" t="inlineStr">
        <is>
          <t>Safety Insurance Group Inc.</t>
        </is>
      </c>
      <c r="E98" s="5" t="inlineStr">
        <is>
          <t>NASDAQ</t>
        </is>
      </c>
      <c r="F98" s="5" t="inlineStr">
        <is>
          <t>金融</t>
        </is>
      </c>
      <c r="G98" s="5" t="inlineStr">
        <is>
          <t>Property-Casualty Insurers</t>
        </is>
      </c>
      <c r="H98" s="7" t="n">
        <v>1.521</v>
      </c>
      <c r="I98" s="5" t="inlineStr">
        <is>
          <t>小型</t>
        </is>
      </c>
      <c r="J98" s="8" t="n">
        <v>103.81</v>
      </c>
      <c r="K98" s="8" t="n">
        <v>103.58</v>
      </c>
      <c r="L98" s="9">
        <f>J98/K98-1</f>
        <v/>
      </c>
      <c r="M98" s="8" t="n">
        <v>103.9</v>
      </c>
      <c r="N98" s="8" t="n">
        <v>103.52</v>
      </c>
      <c r="O98" s="10" t="n">
        <v>162800</v>
      </c>
      <c r="P98" s="10" t="n">
        <v>127330</v>
      </c>
      <c r="Q98" s="11">
        <f>O98/P98</f>
        <v/>
      </c>
      <c r="R98" s="8" t="n">
        <v>103.6029</v>
      </c>
      <c r="S98" s="8" t="n">
        <v>103.2596</v>
      </c>
      <c r="T98" s="8" t="n">
        <v>103.0323</v>
      </c>
      <c r="U98" s="9">
        <f>S98/T98-1</f>
        <v/>
      </c>
      <c r="V98" s="12" t="n">
        <v>1</v>
      </c>
      <c r="W98" s="9">
        <f>J98/R98-1</f>
        <v/>
      </c>
      <c r="X98" s="9">
        <f>J98/S98-1</f>
        <v/>
      </c>
      <c r="Y98" s="8" t="n">
        <v>0.3281</v>
      </c>
      <c r="Z98" s="13">
        <f>Y98/J98</f>
        <v/>
      </c>
      <c r="AA98" s="11">
        <f>(J98-R98)/Y98</f>
        <v/>
      </c>
      <c r="AB98" s="11">
        <f>(J98-S98)/Y98</f>
        <v/>
      </c>
      <c r="AC98" s="5">
        <f>IF(ABS(AA98)&lt;=ABS(AB98),"9EMA","21EMA")</f>
        <v/>
      </c>
      <c r="AD98" s="5" t="inlineStr">
        <is>
          <t>9+21EMA</t>
        </is>
      </c>
      <c r="AE98" s="5" t="inlineStr">
        <is>
          <t>持續在上方</t>
        </is>
      </c>
      <c r="AF98" s="5" t="inlineStr"/>
      <c r="AG98" s="5" t="inlineStr"/>
      <c r="AH98" s="5" t="inlineStr">
        <is>
          <t>✓</t>
        </is>
      </c>
      <c r="AI98" s="5" t="inlineStr">
        <is>
          <t>2026-07-24</t>
        </is>
      </c>
      <c r="AJ98" s="5" t="n">
        <v>48</v>
      </c>
      <c r="AK98" s="14" t="n">
        <v>2</v>
      </c>
      <c r="AL98" s="5" t="inlineStr">
        <is>
          <t>2026-09-24</t>
        </is>
      </c>
      <c r="AM98" s="8" t="n">
        <v>103.43</v>
      </c>
      <c r="AN98" s="8" t="n">
        <v>103.05</v>
      </c>
      <c r="AO98" s="9">
        <f>IF(ISNUMBER(AN98),AM98/AN98-1,"")</f>
        <v/>
      </c>
      <c r="AP98" s="14" t="n">
        <v>5</v>
      </c>
      <c r="AQ98" s="9">
        <f>IF(ISNUMBER(AM98),J98/AM98-1,"")</f>
        <v/>
      </c>
      <c r="AR98" s="8" t="n">
        <v>103.81</v>
      </c>
      <c r="AS98" s="9">
        <f>J98/AR98-1</f>
        <v/>
      </c>
      <c r="AT98" s="5" t="inlineStr">
        <is>
          <t>上升三角（平頂）</t>
        </is>
      </c>
      <c r="AU98" s="15" t="n">
        <v>0.0048</v>
      </c>
      <c r="AV98" s="15" t="n">
        <v>0.0229</v>
      </c>
      <c r="AW98" s="15" t="n">
        <v>0.5098</v>
      </c>
      <c r="AX98" s="15" t="n">
        <v>0.5399</v>
      </c>
      <c r="AY98" s="14" t="n">
        <v>25</v>
      </c>
      <c r="AZ98" s="8" t="n">
        <v>103.9</v>
      </c>
      <c r="BA98" s="8" t="n">
        <v>103.05</v>
      </c>
      <c r="BB98" s="8" t="n">
        <v>103.4833</v>
      </c>
      <c r="BC98" s="15" t="n">
        <v>1.376</v>
      </c>
      <c r="BD98" s="11">
        <f>IF(M98=N98,0.5,(J98-N98)/(M98-N98))</f>
        <v/>
      </c>
      <c r="BE98" s="16" t="n">
        <v>5.384</v>
      </c>
      <c r="BF98" s="16" t="n">
        <v>0.63</v>
      </c>
      <c r="BG98" s="17">
        <f>100*(0.4*MIN(1,MAX(0,((U98*100)-(0.0))/((2.5)-(0.0))))+0.3*MIN(1,MAX(0,((V98)-(0.6))/((1.0)-(0.6))))+0.3*MIN(1,MAX(0,((BE98)-(0.0))/((15.0)-(0.0)))))</f>
        <v/>
      </c>
      <c r="BH98" s="17">
        <f>100*(0.4*MIN(1,MAX(0,((MIN(ABS(AA98),ABS(AB98)))-(0.75))/((0.0)-(0.75))))+0.3*MIN(1,MAX(0,((BC98)-(1.2))/((0.6)-(1.2))))+0.3*BD98)</f>
        <v/>
      </c>
      <c r="BI98" s="17">
        <f>100*(0.5*MIN(1,MAX(0,((AK98)-(1.0))/((4.0)-(1.0))))+0.3*MIN(1,MAX(0,((IF(ISNUMBER(AO98),AO98,0)*100)-(0.0))/((8.0)-(0.0))))+0.2*MIN(1,MAX(0,((IF(ISNUMBER(AP98),AP98,0))-(25.0))/((5.0)-(25.0)))))</f>
        <v/>
      </c>
      <c r="BJ98" s="17">
        <f>100*(0.35*MIN(1,MAX(0,((ABS(AU98))-(0.3))/((0.05)-(0.3))))+0.3*MIN(1,MAX(0,((AV98)-(0.0))/((0.3)-(0.0))))+0.25*MIN(1,MAX(0,((AW98)-(0.4))/((0.7)-(0.4))))+0.1*IF(AY98&gt;=2,1,0.5))</f>
        <v/>
      </c>
      <c r="BK98" s="18">
        <f>0.25*BG98+0.25*BH98+0.2*BI98+0.3*BJ98</f>
        <v/>
      </c>
      <c r="BL98" s="5" t="inlineStr">
        <is>
          <t>全部通過</t>
        </is>
      </c>
      <c r="BM98" s="5" t="inlineStr"/>
    </row>
    <row r="99">
      <c r="A99" s="5" t="n">
        <v>1</v>
      </c>
      <c r="B99" s="5" t="n">
        <v>98</v>
      </c>
      <c r="C99" s="6" t="inlineStr">
        <is>
          <t>TRNS</t>
        </is>
      </c>
      <c r="D99" s="5" t="inlineStr">
        <is>
          <t>Transcat Inc.</t>
        </is>
      </c>
      <c r="E99" s="5" t="inlineStr">
        <is>
          <t>NASDAQ</t>
        </is>
      </c>
      <c r="F99" s="5" t="inlineStr">
        <is>
          <t>工業</t>
        </is>
      </c>
      <c r="G99" s="5" t="inlineStr">
        <is>
          <t>Electrical Products</t>
        </is>
      </c>
      <c r="H99" s="7" t="n">
        <v>0.83</v>
      </c>
      <c r="I99" s="5" t="inlineStr">
        <is>
          <t>小型</t>
        </is>
      </c>
      <c r="J99" s="8" t="n">
        <v>90.18000000000001</v>
      </c>
      <c r="K99" s="8" t="n">
        <v>88.42</v>
      </c>
      <c r="L99" s="9">
        <f>J99/K99-1</f>
        <v/>
      </c>
      <c r="M99" s="8" t="n">
        <v>92.38</v>
      </c>
      <c r="N99" s="8" t="n">
        <v>87.69</v>
      </c>
      <c r="O99" s="10" t="n">
        <v>210600</v>
      </c>
      <c r="P99" s="10" t="n">
        <v>120960</v>
      </c>
      <c r="Q99" s="11">
        <f>O99/P99</f>
        <v/>
      </c>
      <c r="R99" s="8" t="n">
        <v>87.82980000000001</v>
      </c>
      <c r="S99" s="8" t="n">
        <v>87.2175</v>
      </c>
      <c r="T99" s="8" t="n">
        <v>86.6692</v>
      </c>
      <c r="U99" s="9">
        <f>S99/T99-1</f>
        <v/>
      </c>
      <c r="V99" s="12" t="n">
        <v>0.8</v>
      </c>
      <c r="W99" s="9">
        <f>J99/R99-1</f>
        <v/>
      </c>
      <c r="X99" s="9">
        <f>J99/S99-1</f>
        <v/>
      </c>
      <c r="Y99" s="8" t="n">
        <v>3.532</v>
      </c>
      <c r="Z99" s="13">
        <f>Y99/J99</f>
        <v/>
      </c>
      <c r="AA99" s="11">
        <f>(J99-R99)/Y99</f>
        <v/>
      </c>
      <c r="AB99" s="11">
        <f>(J99-S99)/Y99</f>
        <v/>
      </c>
      <c r="AC99" s="5">
        <f>IF(ABS(AA99)&lt;=ABS(AB99),"9EMA","21EMA")</f>
        <v/>
      </c>
      <c r="AD99" s="5" t="inlineStr">
        <is>
          <t>9+21EMA</t>
        </is>
      </c>
      <c r="AE99" s="5" t="inlineStr">
        <is>
          <t>持續在上方</t>
        </is>
      </c>
      <c r="AF99" s="5" t="inlineStr"/>
      <c r="AG99" s="5" t="inlineStr"/>
      <c r="AH99" s="5" t="inlineStr">
        <is>
          <t>✓</t>
        </is>
      </c>
      <c r="AI99" s="5" t="inlineStr">
        <is>
          <t>2026-09-23</t>
        </is>
      </c>
      <c r="AJ99" s="5" t="n">
        <v>6</v>
      </c>
      <c r="AK99" s="14" t="n">
        <v>2</v>
      </c>
      <c r="AL99" s="5" t="inlineStr">
        <is>
          <t>2026-09-28</t>
        </is>
      </c>
      <c r="AM99" s="8" t="n">
        <v>83.5</v>
      </c>
      <c r="AN99" s="8" t="n">
        <v>79.68000000000001</v>
      </c>
      <c r="AO99" s="9">
        <f>IF(ISNUMBER(AN99),AM99/AN99-1,"")</f>
        <v/>
      </c>
      <c r="AP99" s="14" t="n">
        <v>3</v>
      </c>
      <c r="AQ99" s="9">
        <f>IF(ISNUMBER(AM99),J99/AM99-1,"")</f>
        <v/>
      </c>
      <c r="AR99" s="8" t="n">
        <v>91.83</v>
      </c>
      <c r="AS99" s="9">
        <f>J99/AR99-1</f>
        <v/>
      </c>
      <c r="AT99" s="5" t="inlineStr">
        <is>
          <t>上傾擴張</t>
        </is>
      </c>
      <c r="AU99" s="15" t="n">
        <v>0.5412</v>
      </c>
      <c r="AV99" s="15" t="n">
        <v>0.1627</v>
      </c>
      <c r="AW99" s="15" t="n">
        <v>0.5367</v>
      </c>
      <c r="AX99" s="15" t="n">
        <v>0.5074</v>
      </c>
      <c r="AY99" s="14" t="n">
        <v>5</v>
      </c>
      <c r="AZ99" s="8" t="n">
        <v>92.38</v>
      </c>
      <c r="BA99" s="8" t="n">
        <v>79.68000000000001</v>
      </c>
      <c r="BB99" s="8" t="n">
        <v>86.4957</v>
      </c>
      <c r="BC99" s="15" t="n">
        <v>1.1409</v>
      </c>
      <c r="BD99" s="11">
        <f>IF(M99=N99,0.5,(J99-N99)/(M99-N99))</f>
        <v/>
      </c>
      <c r="BE99" s="16" t="n">
        <v>10.998</v>
      </c>
      <c r="BF99" s="16" t="n">
        <v>6.244</v>
      </c>
      <c r="BG99" s="17">
        <f>100*(0.4*MIN(1,MAX(0,((U99*100)-(0.0))/((2.5)-(0.0))))+0.3*MIN(1,MAX(0,((V99)-(0.6))/((1.0)-(0.6))))+0.3*MIN(1,MAX(0,((BE99)-(0.0))/((15.0)-(0.0)))))</f>
        <v/>
      </c>
      <c r="BH99" s="17">
        <f>100*(0.4*MIN(1,MAX(0,((MIN(ABS(AA99),ABS(AB99)))-(0.75))/((0.0)-(0.75))))+0.3*MIN(1,MAX(0,((BC99)-(1.2))/((0.6)-(1.2))))+0.3*BD99)</f>
        <v/>
      </c>
      <c r="BI99" s="17">
        <f>100*(0.5*MIN(1,MAX(0,((AK99)-(1.0))/((4.0)-(1.0))))+0.3*MIN(1,MAX(0,((IF(ISNUMBER(AO99),AO99,0)*100)-(0.0))/((8.0)-(0.0))))+0.2*MIN(1,MAX(0,((IF(ISNUMBER(AP99),AP99,0))-(25.0))/((5.0)-(25.0)))))</f>
        <v/>
      </c>
      <c r="BJ99" s="17">
        <f>100*(0.35*MIN(1,MAX(0,((ABS(AU99))-(0.3))/((0.05)-(0.3))))+0.3*MIN(1,MAX(0,((AV99)-(0.0))/((0.3)-(0.0))))+0.25*MIN(1,MAX(0,((AW99)-(0.4))/((0.7)-(0.4))))+0.1*IF(AY99&gt;=2,1,0.5))</f>
        <v/>
      </c>
      <c r="BK99" s="18">
        <f>0.25*BG99+0.25*BH99+0.2*BI99+0.3*BJ99</f>
        <v/>
      </c>
      <c r="BL99" s="5" t="inlineStr">
        <is>
          <t>全部通過</t>
        </is>
      </c>
      <c r="BM99" s="5" t="inlineStr"/>
    </row>
    <row r="100">
      <c r="A100" s="5" t="n">
        <v>1</v>
      </c>
      <c r="B100" s="5" t="n">
        <v>99</v>
      </c>
      <c r="C100" s="6" t="inlineStr">
        <is>
          <t>APXT</t>
        </is>
      </c>
      <c r="D100" s="5" t="inlineStr">
        <is>
          <t>Apex Treasury Corporation</t>
        </is>
      </c>
      <c r="E100" s="5" t="inlineStr">
        <is>
          <t>NASDAQ</t>
        </is>
      </c>
      <c r="F100" s="5" t="inlineStr">
        <is>
          <t>金融</t>
        </is>
      </c>
      <c r="G100" s="5" t="inlineStr">
        <is>
          <t>Blank Checks</t>
        </is>
      </c>
      <c r="H100" s="7" t="n"/>
      <c r="I100" s="5" t="inlineStr">
        <is>
          <t>未分類</t>
        </is>
      </c>
      <c r="J100" s="8" t="n">
        <v>10.15</v>
      </c>
      <c r="K100" s="8" t="n">
        <v>10.13</v>
      </c>
      <c r="L100" s="9">
        <f>J100/K100-1</f>
        <v/>
      </c>
      <c r="M100" s="8" t="n">
        <v>10.15</v>
      </c>
      <c r="N100" s="8" t="n">
        <v>10.14</v>
      </c>
      <c r="O100" s="10" t="n">
        <v>132300</v>
      </c>
      <c r="P100" s="10" t="n">
        <v>154065</v>
      </c>
      <c r="Q100" s="11">
        <f>O100/P100</f>
        <v/>
      </c>
      <c r="R100" s="8" t="n">
        <v>10.1384</v>
      </c>
      <c r="S100" s="8" t="n">
        <v>10.1339</v>
      </c>
      <c r="T100" s="8" t="n">
        <v>10.1301</v>
      </c>
      <c r="U100" s="9">
        <f>S100/T100-1</f>
        <v/>
      </c>
      <c r="V100" s="12" t="n">
        <v>0.8</v>
      </c>
      <c r="W100" s="9">
        <f>J100/R100-1</f>
        <v/>
      </c>
      <c r="X100" s="9">
        <f>J100/S100-1</f>
        <v/>
      </c>
      <c r="Y100" s="8" t="n">
        <v>0.0128</v>
      </c>
      <c r="Z100" s="13">
        <f>Y100/J100</f>
        <v/>
      </c>
      <c r="AA100" s="11">
        <f>(J100-R100)/Y100</f>
        <v/>
      </c>
      <c r="AB100" s="11">
        <f>(J100-S100)/Y100</f>
        <v/>
      </c>
      <c r="AC100" s="5">
        <f>IF(ABS(AA100)&lt;=ABS(AB100),"9EMA","21EMA")</f>
        <v/>
      </c>
      <c r="AD100" s="5" t="inlineStr">
        <is>
          <t>9+21EMA</t>
        </is>
      </c>
      <c r="AE100" s="5" t="inlineStr">
        <is>
          <t>持續在上方</t>
        </is>
      </c>
      <c r="AF100" s="5" t="inlineStr"/>
      <c r="AG100" s="5" t="inlineStr"/>
      <c r="AH100" s="5" t="inlineStr">
        <is>
          <t>✓</t>
        </is>
      </c>
      <c r="AI100" s="5" t="inlineStr">
        <is>
          <t>2026-04-06</t>
        </is>
      </c>
      <c r="AJ100" s="5" t="n">
        <v>124</v>
      </c>
      <c r="AK100" s="14" t="n">
        <v>2</v>
      </c>
      <c r="AL100" s="5" t="inlineStr">
        <is>
          <t>2026-09-21</t>
        </is>
      </c>
      <c r="AM100" s="8" t="n">
        <v>10.12</v>
      </c>
      <c r="AN100" s="8" t="n">
        <v>10.1</v>
      </c>
      <c r="AO100" s="9">
        <f>IF(ISNUMBER(AN100),AM100/AN100-1,"")</f>
        <v/>
      </c>
      <c r="AP100" s="14" t="n">
        <v>8</v>
      </c>
      <c r="AQ100" s="9">
        <f>IF(ISNUMBER(AM100),J100/AM100-1,"")</f>
        <v/>
      </c>
      <c r="AR100" s="8" t="n">
        <v>10.15</v>
      </c>
      <c r="AS100" s="9">
        <f>J100/AR100-1</f>
        <v/>
      </c>
      <c r="AT100" s="5" t="inlineStr">
        <is>
          <t>上升三角（平頂）</t>
        </is>
      </c>
      <c r="AU100" s="15" t="n">
        <v>0</v>
      </c>
      <c r="AV100" s="15" t="n">
        <v>0.0058</v>
      </c>
      <c r="AW100" s="15" t="n">
        <v>0.5266</v>
      </c>
      <c r="AX100" s="15" t="n">
        <v>0.5266</v>
      </c>
      <c r="AY100" s="14" t="n">
        <v>25</v>
      </c>
      <c r="AZ100" s="8" t="n">
        <v>10.15</v>
      </c>
      <c r="BA100" s="8" t="n">
        <v>10.12</v>
      </c>
      <c r="BB100" s="8" t="n">
        <v>10.1358</v>
      </c>
      <c r="BC100" s="15" t="n">
        <v>1.0407</v>
      </c>
      <c r="BD100" s="11">
        <f>IF(M100=N100,0.5,(J100-N100)/(M100-N100))</f>
        <v/>
      </c>
      <c r="BE100" s="16" t="n">
        <v>5.051</v>
      </c>
      <c r="BF100" s="16" t="n">
        <v>0.296</v>
      </c>
      <c r="BG100" s="17">
        <f>100*(0.4*MIN(1,MAX(0,((U100*100)-(0.0))/((2.5)-(0.0))))+0.3*MIN(1,MAX(0,((V100)-(0.6))/((1.0)-(0.6))))+0.3*MIN(1,MAX(0,((BE100)-(0.0))/((15.0)-(0.0)))))</f>
        <v/>
      </c>
      <c r="BH100" s="17">
        <f>100*(0.4*MIN(1,MAX(0,((MIN(ABS(AA100),ABS(AB100)))-(0.75))/((0.0)-(0.75))))+0.3*MIN(1,MAX(0,((BC100)-(1.2))/((0.6)-(1.2))))+0.3*BD100)</f>
        <v/>
      </c>
      <c r="BI100" s="17">
        <f>100*(0.5*MIN(1,MAX(0,((AK100)-(1.0))/((4.0)-(1.0))))+0.3*MIN(1,MAX(0,((IF(ISNUMBER(AO100),AO100,0)*100)-(0.0))/((8.0)-(0.0))))+0.2*MIN(1,MAX(0,((IF(ISNUMBER(AP100),AP100,0))-(25.0))/((5.0)-(25.0)))))</f>
        <v/>
      </c>
      <c r="BJ100" s="17">
        <f>100*(0.35*MIN(1,MAX(0,((ABS(AU100))-(0.3))/((0.05)-(0.3))))+0.3*MIN(1,MAX(0,((AV100)-(0.0))/((0.3)-(0.0))))+0.25*MIN(1,MAX(0,((AW100)-(0.4))/((0.7)-(0.4))))+0.1*IF(AY100&gt;=2,1,0.5))</f>
        <v/>
      </c>
      <c r="BK100" s="18">
        <f>0.25*BG100+0.25*BH100+0.2*BI100+0.3*BJ100</f>
        <v/>
      </c>
      <c r="BL100" s="5" t="inlineStr">
        <is>
          <t>全部通過</t>
        </is>
      </c>
      <c r="BM100" s="5" t="inlineStr"/>
    </row>
    <row r="101">
      <c r="A101" s="5" t="n">
        <v>1</v>
      </c>
      <c r="B101" s="5" t="n">
        <v>100</v>
      </c>
      <c r="C101" s="6" t="inlineStr">
        <is>
          <t>OPY</t>
        </is>
      </c>
      <c r="D101" s="5" t="inlineStr">
        <is>
          <t>Oppenheimer Holdings Inc.</t>
        </is>
      </c>
      <c r="E101" s="5" t="inlineStr">
        <is>
          <t>NYSE</t>
        </is>
      </c>
      <c r="F101" s="5" t="inlineStr">
        <is>
          <t>金融</t>
        </is>
      </c>
      <c r="G101" s="5" t="inlineStr">
        <is>
          <t>Investment Bankers/Brokers/Service</t>
        </is>
      </c>
      <c r="H101" s="7" t="n">
        <v>1.263</v>
      </c>
      <c r="I101" s="5" t="inlineStr">
        <is>
          <t>小型</t>
        </is>
      </c>
      <c r="J101" s="8" t="n">
        <v>119.47</v>
      </c>
      <c r="K101" s="8" t="n">
        <v>117.96</v>
      </c>
      <c r="L101" s="9">
        <f>J101/K101-1</f>
        <v/>
      </c>
      <c r="M101" s="8" t="n">
        <v>119.67</v>
      </c>
      <c r="N101" s="8" t="n">
        <v>116.49</v>
      </c>
      <c r="O101" s="10" t="n">
        <v>74200</v>
      </c>
      <c r="P101" s="10" t="n">
        <v>121945</v>
      </c>
      <c r="Q101" s="11">
        <f>O101/P101</f>
        <v/>
      </c>
      <c r="R101" s="8" t="n">
        <v>118.4022</v>
      </c>
      <c r="S101" s="8" t="n">
        <v>118.1378</v>
      </c>
      <c r="T101" s="8" t="n">
        <v>117.5513</v>
      </c>
      <c r="U101" s="9">
        <f>S101/T101-1</f>
        <v/>
      </c>
      <c r="V101" s="12" t="n">
        <v>0.6</v>
      </c>
      <c r="W101" s="9">
        <f>J101/R101-1</f>
        <v/>
      </c>
      <c r="X101" s="9">
        <f>J101/S101-1</f>
        <v/>
      </c>
      <c r="Y101" s="8" t="n">
        <v>4.7195</v>
      </c>
      <c r="Z101" s="13">
        <f>Y101/J101</f>
        <v/>
      </c>
      <c r="AA101" s="11">
        <f>(J101-R101)/Y101</f>
        <v/>
      </c>
      <c r="AB101" s="11">
        <f>(J101-S101)/Y101</f>
        <v/>
      </c>
      <c r="AC101" s="5">
        <f>IF(ABS(AA101)&lt;=ABS(AB101),"9EMA","21EMA")</f>
        <v/>
      </c>
      <c r="AD101" s="5" t="inlineStr">
        <is>
          <t>9+21EMA</t>
        </is>
      </c>
      <c r="AE101" s="19" t="inlineStr">
        <is>
          <t>剛黃金交叉</t>
        </is>
      </c>
      <c r="AF101" s="5" t="inlineStr">
        <is>
          <t>✓</t>
        </is>
      </c>
      <c r="AG101" s="5" t="inlineStr"/>
      <c r="AH101" s="5" t="inlineStr">
        <is>
          <t>✓</t>
        </is>
      </c>
      <c r="AI101" s="5" t="inlineStr">
        <is>
          <t>2026-09-28</t>
        </is>
      </c>
      <c r="AJ101" s="5" t="n">
        <v>3</v>
      </c>
      <c r="AK101" s="14" t="n">
        <v>2</v>
      </c>
      <c r="AL101" s="5" t="inlineStr">
        <is>
          <t>2026-09-22</t>
        </is>
      </c>
      <c r="AM101" s="8" t="n">
        <v>111.05</v>
      </c>
      <c r="AN101" s="8" t="n">
        <v>110.35</v>
      </c>
      <c r="AO101" s="9">
        <f>IF(ISNUMBER(AN101),AM101/AN101-1,"")</f>
        <v/>
      </c>
      <c r="AP101" s="14" t="n">
        <v>7</v>
      </c>
      <c r="AQ101" s="9">
        <f>IF(ISNUMBER(AM101),J101/AM101-1,"")</f>
        <v/>
      </c>
      <c r="AR101" s="8" t="n">
        <v>123.83</v>
      </c>
      <c r="AS101" s="9">
        <f>J101/AR101-1</f>
        <v/>
      </c>
      <c r="AT101" s="5" t="inlineStr">
        <is>
          <t>上傾擴張</t>
        </is>
      </c>
      <c r="AU101" s="15" t="n">
        <v>0.2999</v>
      </c>
      <c r="AV101" s="15" t="n">
        <v>0.1465</v>
      </c>
      <c r="AW101" s="15" t="n">
        <v>0.5473</v>
      </c>
      <c r="AX101" s="15" t="n">
        <v>0.5008</v>
      </c>
      <c r="AY101" s="14" t="n">
        <v>7</v>
      </c>
      <c r="AZ101" s="8" t="n">
        <v>125.88</v>
      </c>
      <c r="BA101" s="8" t="n">
        <v>110.35</v>
      </c>
      <c r="BB101" s="8" t="n">
        <v>118.8489</v>
      </c>
      <c r="BC101" s="15" t="n">
        <v>1.1111</v>
      </c>
      <c r="BD101" s="11">
        <f>IF(M101=N101,0.5,(J101-N101)/(M101-N101))</f>
        <v/>
      </c>
      <c r="BE101" s="16" t="n">
        <v>4.637</v>
      </c>
      <c r="BF101" s="16" t="n">
        <v>-0.117</v>
      </c>
      <c r="BG101" s="17">
        <f>100*(0.4*MIN(1,MAX(0,((U101*100)-(0.0))/((2.5)-(0.0))))+0.3*MIN(1,MAX(0,((V101)-(0.6))/((1.0)-(0.6))))+0.3*MIN(1,MAX(0,((BE101)-(0.0))/((15.0)-(0.0)))))</f>
        <v/>
      </c>
      <c r="BH101" s="17">
        <f>100*(0.4*MIN(1,MAX(0,((MIN(ABS(AA101),ABS(AB101)))-(0.75))/((0.0)-(0.75))))+0.3*MIN(1,MAX(0,((BC101)-(1.2))/((0.6)-(1.2))))+0.3*BD101)</f>
        <v/>
      </c>
      <c r="BI101" s="17">
        <f>100*(0.5*MIN(1,MAX(0,((AK101)-(1.0))/((4.0)-(1.0))))+0.3*MIN(1,MAX(0,((IF(ISNUMBER(AO101),AO101,0)*100)-(0.0))/((8.0)-(0.0))))+0.2*MIN(1,MAX(0,((IF(ISNUMBER(AP101),AP101,0))-(25.0))/((5.0)-(25.0)))))</f>
        <v/>
      </c>
      <c r="BJ101" s="17">
        <f>100*(0.35*MIN(1,MAX(0,((ABS(AU101))-(0.3))/((0.05)-(0.3))))+0.3*MIN(1,MAX(0,((AV101)-(0.0))/((0.3)-(0.0))))+0.25*MIN(1,MAX(0,((AW101)-(0.4))/((0.7)-(0.4))))+0.1*IF(AY101&gt;=2,1,0.5))</f>
        <v/>
      </c>
      <c r="BK101" s="18">
        <f>0.25*BG101+0.25*BH101+0.2*BI101+0.3*BJ101</f>
        <v/>
      </c>
      <c r="BL101" s="5" t="inlineStr">
        <is>
          <t>全部通過</t>
        </is>
      </c>
      <c r="BM101" s="5" t="inlineStr"/>
    </row>
    <row r="102">
      <c r="A102" s="20" t="n">
        <v>2</v>
      </c>
      <c r="B102" s="20" t="n">
        <v>1</v>
      </c>
      <c r="C102" s="21" t="inlineStr">
        <is>
          <t>FAC</t>
        </is>
      </c>
      <c r="D102" s="20" t="inlineStr">
        <is>
          <t>Factorial Energy Inc.</t>
        </is>
      </c>
      <c r="E102" s="20" t="inlineStr">
        <is>
          <t>NASDAQ</t>
        </is>
      </c>
      <c r="F102" s="20" t="inlineStr">
        <is>
          <t>其他</t>
        </is>
      </c>
      <c r="G102" s="20" t="inlineStr">
        <is>
          <t>Industrial Machinery/Components</t>
        </is>
      </c>
      <c r="H102" s="22" t="n">
        <v>0.679</v>
      </c>
      <c r="I102" s="20" t="inlineStr">
        <is>
          <t>小型</t>
        </is>
      </c>
      <c r="J102" s="23" t="n">
        <v>6.295</v>
      </c>
      <c r="K102" s="23" t="n">
        <v>6.34</v>
      </c>
      <c r="L102" s="24">
        <f>J102/K102-1</f>
        <v/>
      </c>
      <c r="M102" s="23" t="n">
        <v>6.37</v>
      </c>
      <c r="N102" s="23" t="n">
        <v>6.11</v>
      </c>
      <c r="O102" s="25" t="n">
        <v>152200</v>
      </c>
      <c r="P102" s="25" t="n">
        <v>468865</v>
      </c>
      <c r="Q102" s="26">
        <f>O102/P102</f>
        <v/>
      </c>
      <c r="R102" s="23" t="n">
        <v>6.1658</v>
      </c>
      <c r="S102" s="23" t="n">
        <v>5.884</v>
      </c>
      <c r="T102" s="23" t="n">
        <v>5.6307</v>
      </c>
      <c r="U102" s="24">
        <f>S102/T102-1</f>
        <v/>
      </c>
      <c r="V102" s="27" t="n">
        <v>1</v>
      </c>
      <c r="W102" s="24">
        <f>J102/R102-1</f>
        <v/>
      </c>
      <c r="X102" s="24">
        <f>J102/S102-1</f>
        <v/>
      </c>
      <c r="Y102" s="23" t="n">
        <v>0.4719</v>
      </c>
      <c r="Z102" s="28">
        <f>Y102/J102</f>
        <v/>
      </c>
      <c r="AA102" s="26">
        <f>(J102-R102)/Y102</f>
        <v/>
      </c>
      <c r="AB102" s="26">
        <f>(J102-S102)/Y102</f>
        <v/>
      </c>
      <c r="AC102" s="20">
        <f>IF(ABS(AA102)&lt;=ABS(AB102),"9EMA","21EMA")</f>
        <v/>
      </c>
      <c r="AD102" s="20" t="inlineStr">
        <is>
          <t>9EMA</t>
        </is>
      </c>
      <c r="AE102" s="20" t="inlineStr">
        <is>
          <t>持續在上方</t>
        </is>
      </c>
      <c r="AF102" s="20" t="inlineStr"/>
      <c r="AG102" s="20" t="inlineStr"/>
      <c r="AH102" s="20" t="inlineStr">
        <is>
          <t>✓</t>
        </is>
      </c>
      <c r="AI102" s="20" t="inlineStr">
        <is>
          <t>2026-09-18</t>
        </is>
      </c>
      <c r="AJ102" s="20" t="n">
        <v>9</v>
      </c>
      <c r="AK102" s="29" t="n">
        <v>6</v>
      </c>
      <c r="AL102" s="20" t="inlineStr">
        <is>
          <t>2026-09-24</t>
        </is>
      </c>
      <c r="AM102" s="23" t="n">
        <v>5.8</v>
      </c>
      <c r="AN102" s="23" t="n">
        <v>4.9</v>
      </c>
      <c r="AO102" s="24">
        <f>IF(ISNUMBER(AN102),AM102/AN102-1,"")</f>
        <v/>
      </c>
      <c r="AP102" s="29" t="n">
        <v>5</v>
      </c>
      <c r="AQ102" s="24">
        <f>IF(ISNUMBER(AM102),J102/AM102-1,"")</f>
        <v/>
      </c>
      <c r="AR102" s="23" t="n">
        <v>6.44</v>
      </c>
      <c r="AS102" s="24">
        <f>J102/AR102-1</f>
        <v/>
      </c>
      <c r="AT102" s="20" t="inlineStr">
        <is>
          <t>上升通道</t>
        </is>
      </c>
      <c r="AU102" s="30" t="n">
        <v>1.2179</v>
      </c>
      <c r="AV102" s="30" t="n">
        <v>1.0062</v>
      </c>
      <c r="AW102" s="30" t="n">
        <v>0.5587</v>
      </c>
      <c r="AX102" s="30" t="n">
        <v>0.6657999999999999</v>
      </c>
      <c r="AY102" s="29" t="n">
        <v>2</v>
      </c>
      <c r="AZ102" s="23" t="n">
        <v>6.77</v>
      </c>
      <c r="BA102" s="23" t="n">
        <v>4.75</v>
      </c>
      <c r="BB102" s="23" t="n">
        <v>5.8786</v>
      </c>
      <c r="BC102" s="30" t="n">
        <v>0.7016</v>
      </c>
      <c r="BD102" s="26">
        <f>IF(M102=N102,0.5,(J102-N102)/(M102-N102))</f>
        <v/>
      </c>
      <c r="BE102" s="31" t="n">
        <v>37.002</v>
      </c>
      <c r="BF102" s="31" t="n">
        <v>32.248</v>
      </c>
      <c r="BG102" s="32">
        <f>100*(0.4*MIN(1,MAX(0,((U102*100)-(0.0))/((2.5)-(0.0))))+0.3*MIN(1,MAX(0,((V102)-(0.6))/((1.0)-(0.6))))+0.3*MIN(1,MAX(0,((BE102)-(0.0))/((15.0)-(0.0)))))</f>
        <v/>
      </c>
      <c r="BH102" s="32">
        <f>100*(0.4*MIN(1,MAX(0,((MIN(ABS(AA102),ABS(AB102)))-(0.75))/((0.0)-(0.75))))+0.3*MIN(1,MAX(0,((BC102)-(1.2))/((0.6)-(1.2))))+0.3*BD102)</f>
        <v/>
      </c>
      <c r="BI102" s="32">
        <f>100*(0.5*MIN(1,MAX(0,((AK102)-(1.0))/((4.0)-(1.0))))+0.3*MIN(1,MAX(0,((IF(ISNUMBER(AO102),AO102,0)*100)-(0.0))/((8.0)-(0.0))))+0.2*MIN(1,MAX(0,((IF(ISNUMBER(AP102),AP102,0))-(25.0))/((5.0)-(25.0)))))</f>
        <v/>
      </c>
      <c r="BJ102" s="32">
        <f>100*(0.35*MIN(1,MAX(0,((ABS(AU102))-(0.3))/((0.05)-(0.3))))+0.3*MIN(1,MAX(0,((AV102)-(0.0))/((0.3)-(0.0))))+0.25*MIN(1,MAX(0,((AW102)-(0.4))/((0.7)-(0.4))))+0.1*IF(AY102&gt;=2,1,0.5))</f>
        <v/>
      </c>
      <c r="BK102" s="33">
        <f>0.25*BG102+0.25*BH102+0.2*BI102+0.3*BJ102</f>
        <v/>
      </c>
      <c r="BL102" s="20" t="inlineStr">
        <is>
          <t>C4 上升三角／重心偏上</t>
        </is>
      </c>
      <c r="BM102" s="20" t="inlineStr"/>
    </row>
    <row r="103">
      <c r="A103" s="20" t="n">
        <v>2</v>
      </c>
      <c r="B103" s="20" t="n">
        <v>2</v>
      </c>
      <c r="C103" s="21" t="inlineStr">
        <is>
          <t>META</t>
        </is>
      </c>
      <c r="D103" s="20" t="inlineStr">
        <is>
          <t>Meta Platforms Inc.</t>
        </is>
      </c>
      <c r="E103" s="20" t="inlineStr">
        <is>
          <t>NASDAQ</t>
        </is>
      </c>
      <c r="F103" s="20" t="inlineStr">
        <is>
          <t>科技</t>
        </is>
      </c>
      <c r="G103" s="20" t="inlineStr">
        <is>
          <t>Computer Software: Programming Data Processing</t>
        </is>
      </c>
      <c r="H103" s="22" t="n">
        <v>1847.401</v>
      </c>
      <c r="I103" s="20" t="inlineStr">
        <is>
          <t>大型</t>
        </is>
      </c>
      <c r="J103" s="23" t="n">
        <v>725.9299999999999</v>
      </c>
      <c r="K103" s="23" t="n">
        <v>725.1799999999999</v>
      </c>
      <c r="L103" s="24">
        <f>J103/K103-1</f>
        <v/>
      </c>
      <c r="M103" s="23" t="n">
        <v>735.88</v>
      </c>
      <c r="N103" s="23" t="n">
        <v>721.51</v>
      </c>
      <c r="O103" s="25" t="n">
        <v>12384700</v>
      </c>
      <c r="P103" s="25" t="n">
        <v>24003340</v>
      </c>
      <c r="Q103" s="26">
        <f>O103/P103</f>
        <v/>
      </c>
      <c r="R103" s="23" t="n">
        <v>724.2957</v>
      </c>
      <c r="S103" s="23" t="n">
        <v>691.3064000000001</v>
      </c>
      <c r="T103" s="23" t="n">
        <v>667.2732</v>
      </c>
      <c r="U103" s="24">
        <f>S103/T103-1</f>
        <v/>
      </c>
      <c r="V103" s="27" t="n">
        <v>1</v>
      </c>
      <c r="W103" s="24">
        <f>J103/R103-1</f>
        <v/>
      </c>
      <c r="X103" s="24">
        <f>J103/S103-1</f>
        <v/>
      </c>
      <c r="Y103" s="23" t="n">
        <v>26.1658</v>
      </c>
      <c r="Z103" s="28">
        <f>Y103/J103</f>
        <v/>
      </c>
      <c r="AA103" s="26">
        <f>(J103-R103)/Y103</f>
        <v/>
      </c>
      <c r="AB103" s="26">
        <f>(J103-S103)/Y103</f>
        <v/>
      </c>
      <c r="AC103" s="20">
        <f>IF(ABS(AA103)&lt;=ABS(AB103),"9EMA","21EMA")</f>
        <v/>
      </c>
      <c r="AD103" s="20" t="inlineStr">
        <is>
          <t>9EMA</t>
        </is>
      </c>
      <c r="AE103" s="20" t="inlineStr">
        <is>
          <t>持續在上方</t>
        </is>
      </c>
      <c r="AF103" s="20" t="inlineStr"/>
      <c r="AG103" s="20" t="inlineStr"/>
      <c r="AH103" s="20" t="inlineStr">
        <is>
          <t>✓</t>
        </is>
      </c>
      <c r="AI103" s="20" t="inlineStr">
        <is>
          <t>2026-09-03</t>
        </is>
      </c>
      <c r="AJ103" s="20" t="n">
        <v>19</v>
      </c>
      <c r="AK103" s="29" t="n">
        <v>4</v>
      </c>
      <c r="AL103" s="20" t="inlineStr">
        <is>
          <t>2026-09-28</t>
        </is>
      </c>
      <c r="AM103" s="23" t="n">
        <v>713.1900000000001</v>
      </c>
      <c r="AN103" s="23" t="n">
        <v>556.1</v>
      </c>
      <c r="AO103" s="24">
        <f>IF(ISNUMBER(AN103),AM103/AN103-1,"")</f>
        <v/>
      </c>
      <c r="AP103" s="29" t="n">
        <v>3</v>
      </c>
      <c r="AQ103" s="24">
        <f>IF(ISNUMBER(AM103),J103/AM103-1,"")</f>
        <v/>
      </c>
      <c r="AR103" s="23" t="n">
        <v>777.59</v>
      </c>
      <c r="AS103" s="24">
        <f>J103/AR103-1</f>
        <v/>
      </c>
      <c r="AT103" s="20" t="inlineStr">
        <is>
          <t>上升通道</t>
        </is>
      </c>
      <c r="AU103" s="30" t="n">
        <v>1.1709</v>
      </c>
      <c r="AV103" s="30" t="n">
        <v>1.2022</v>
      </c>
      <c r="AW103" s="30" t="n">
        <v>0.5620000000000001</v>
      </c>
      <c r="AX103" s="30" t="n">
        <v>0.5362</v>
      </c>
      <c r="AY103" s="29" t="n">
        <v>2</v>
      </c>
      <c r="AZ103" s="23" t="n">
        <v>779.8200000000001</v>
      </c>
      <c r="BA103" s="23" t="n">
        <v>556.1</v>
      </c>
      <c r="BB103" s="23" t="n">
        <v>681.8203</v>
      </c>
      <c r="BC103" s="30" t="n">
        <v>0.8566</v>
      </c>
      <c r="BD103" s="26">
        <f>IF(M103=N103,0.5,(J103-N103)/(M103-N103))</f>
        <v/>
      </c>
      <c r="BE103" s="31" t="n">
        <v>30.23</v>
      </c>
      <c r="BF103" s="31" t="n">
        <v>25.476</v>
      </c>
      <c r="BG103" s="32">
        <f>100*(0.4*MIN(1,MAX(0,((U103*100)-(0.0))/((2.5)-(0.0))))+0.3*MIN(1,MAX(0,((V103)-(0.6))/((1.0)-(0.6))))+0.3*MIN(1,MAX(0,((BE103)-(0.0))/((15.0)-(0.0)))))</f>
        <v/>
      </c>
      <c r="BH103" s="32">
        <f>100*(0.4*MIN(1,MAX(0,((MIN(ABS(AA103),ABS(AB103)))-(0.75))/((0.0)-(0.75))))+0.3*MIN(1,MAX(0,((BC103)-(1.2))/((0.6)-(1.2))))+0.3*BD103)</f>
        <v/>
      </c>
      <c r="BI103" s="32">
        <f>100*(0.5*MIN(1,MAX(0,((AK103)-(1.0))/((4.0)-(1.0))))+0.3*MIN(1,MAX(0,((IF(ISNUMBER(AO103),AO103,0)*100)-(0.0))/((8.0)-(0.0))))+0.2*MIN(1,MAX(0,((IF(ISNUMBER(AP103),AP103,0))-(25.0))/((5.0)-(25.0)))))</f>
        <v/>
      </c>
      <c r="BJ103" s="32">
        <f>100*(0.35*MIN(1,MAX(0,((ABS(AU103))-(0.3))/((0.05)-(0.3))))+0.3*MIN(1,MAX(0,((AV103)-(0.0))/((0.3)-(0.0))))+0.25*MIN(1,MAX(0,((AW103)-(0.4))/((0.7)-(0.4))))+0.1*IF(AY103&gt;=2,1,0.5))</f>
        <v/>
      </c>
      <c r="BK103" s="33">
        <f>0.25*BG103+0.25*BH103+0.2*BI103+0.3*BJ103</f>
        <v/>
      </c>
      <c r="BL103" s="20" t="inlineStr">
        <is>
          <t>C4 上升三角／重心偏上</t>
        </is>
      </c>
      <c r="BM103" s="20" t="inlineStr"/>
    </row>
    <row r="104">
      <c r="A104" s="20" t="n">
        <v>2</v>
      </c>
      <c r="B104" s="20" t="n">
        <v>3</v>
      </c>
      <c r="C104" s="21" t="inlineStr">
        <is>
          <t>PSIX</t>
        </is>
      </c>
      <c r="D104" s="20" t="inlineStr">
        <is>
          <t>Power Solutions International Inc.</t>
        </is>
      </c>
      <c r="E104" s="20" t="inlineStr">
        <is>
          <t>NASDAQ</t>
        </is>
      </c>
      <c r="F104" s="20" t="inlineStr">
        <is>
          <t>工業</t>
        </is>
      </c>
      <c r="G104" s="20" t="inlineStr">
        <is>
          <t>Industrial Machinery/Components</t>
        </is>
      </c>
      <c r="H104" s="22" t="n">
        <v>1.06</v>
      </c>
      <c r="I104" s="20" t="inlineStr">
        <is>
          <t>小型</t>
        </is>
      </c>
      <c r="J104" s="23" t="n">
        <v>45.4</v>
      </c>
      <c r="K104" s="23" t="n">
        <v>45.97</v>
      </c>
      <c r="L104" s="24">
        <f>J104/K104-1</f>
        <v/>
      </c>
      <c r="M104" s="23" t="n">
        <v>46.51</v>
      </c>
      <c r="N104" s="23" t="n">
        <v>45.01</v>
      </c>
      <c r="O104" s="25" t="n">
        <v>257900</v>
      </c>
      <c r="P104" s="25" t="n">
        <v>393505</v>
      </c>
      <c r="Q104" s="26">
        <f>O104/P104</f>
        <v/>
      </c>
      <c r="R104" s="23" t="n">
        <v>45.5704</v>
      </c>
      <c r="S104" s="23" t="n">
        <v>43.5325</v>
      </c>
      <c r="T104" s="23" t="n">
        <v>41.9704</v>
      </c>
      <c r="U104" s="24">
        <f>S104/T104-1</f>
        <v/>
      </c>
      <c r="V104" s="27" t="n">
        <v>1</v>
      </c>
      <c r="W104" s="24">
        <f>J104/R104-1</f>
        <v/>
      </c>
      <c r="X104" s="24">
        <f>J104/S104-1</f>
        <v/>
      </c>
      <c r="Y104" s="23" t="n">
        <v>2.2692</v>
      </c>
      <c r="Z104" s="28">
        <f>Y104/J104</f>
        <v/>
      </c>
      <c r="AA104" s="26">
        <f>(J104-R104)/Y104</f>
        <v/>
      </c>
      <c r="AB104" s="26">
        <f>(J104-S104)/Y104</f>
        <v/>
      </c>
      <c r="AC104" s="20">
        <f>IF(ABS(AA104)&lt;=ABS(AB104),"9EMA","21EMA")</f>
        <v/>
      </c>
      <c r="AD104" s="20" t="inlineStr">
        <is>
          <t>9EMA</t>
        </is>
      </c>
      <c r="AE104" s="20" t="inlineStr">
        <is>
          <t>持續在上方</t>
        </is>
      </c>
      <c r="AF104" s="20" t="inlineStr"/>
      <c r="AG104" s="20" t="inlineStr"/>
      <c r="AH104" s="20" t="inlineStr">
        <is>
          <t>✓</t>
        </is>
      </c>
      <c r="AI104" s="20" t="inlineStr">
        <is>
          <t>2026-08-07</t>
        </is>
      </c>
      <c r="AJ104" s="20" t="n">
        <v>38</v>
      </c>
      <c r="AK104" s="29" t="n">
        <v>3</v>
      </c>
      <c r="AL104" s="20" t="inlineStr">
        <is>
          <t>2026-09-24</t>
        </is>
      </c>
      <c r="AM104" s="23" t="n">
        <v>44.61</v>
      </c>
      <c r="AN104" s="23" t="n">
        <v>39</v>
      </c>
      <c r="AO104" s="24">
        <f>IF(ISNUMBER(AN104),AM104/AN104-1,"")</f>
        <v/>
      </c>
      <c r="AP104" s="29" t="n">
        <v>5</v>
      </c>
      <c r="AQ104" s="24">
        <f>IF(ISNUMBER(AM104),J104/AM104-1,"")</f>
        <v/>
      </c>
      <c r="AR104" s="23" t="n">
        <v>47.1</v>
      </c>
      <c r="AS104" s="24">
        <f>J104/AR104-1</f>
        <v/>
      </c>
      <c r="AT104" s="20" t="inlineStr">
        <is>
          <t>上傾收窄（楔形）</t>
        </is>
      </c>
      <c r="AU104" s="30" t="n">
        <v>1.0629</v>
      </c>
      <c r="AV104" s="30" t="n">
        <v>1.354</v>
      </c>
      <c r="AW104" s="30" t="n">
        <v>0.6017</v>
      </c>
      <c r="AX104" s="30" t="n">
        <v>0.6387</v>
      </c>
      <c r="AY104" s="29" t="n">
        <v>1</v>
      </c>
      <c r="AZ104" s="23" t="n">
        <v>48.32</v>
      </c>
      <c r="BA104" s="23" t="n">
        <v>34.67</v>
      </c>
      <c r="BB104" s="23" t="n">
        <v>42.8834</v>
      </c>
      <c r="BC104" s="30" t="n">
        <v>0.6974</v>
      </c>
      <c r="BD104" s="26">
        <f>IF(M104=N104,0.5,(J104-N104)/(M104-N104))</f>
        <v/>
      </c>
      <c r="BE104" s="31" t="n">
        <v>32.894</v>
      </c>
      <c r="BF104" s="31" t="n">
        <v>28.14</v>
      </c>
      <c r="BG104" s="32">
        <f>100*(0.4*MIN(1,MAX(0,((U104*100)-(0.0))/((2.5)-(0.0))))+0.3*MIN(1,MAX(0,((V104)-(0.6))/((1.0)-(0.6))))+0.3*MIN(1,MAX(0,((BE104)-(0.0))/((15.0)-(0.0)))))</f>
        <v/>
      </c>
      <c r="BH104" s="32">
        <f>100*(0.4*MIN(1,MAX(0,((MIN(ABS(AA104),ABS(AB104)))-(0.75))/((0.0)-(0.75))))+0.3*MIN(1,MAX(0,((BC104)-(1.2))/((0.6)-(1.2))))+0.3*BD104)</f>
        <v/>
      </c>
      <c r="BI104" s="32">
        <f>100*(0.5*MIN(1,MAX(0,((AK104)-(1.0))/((4.0)-(1.0))))+0.3*MIN(1,MAX(0,((IF(ISNUMBER(AO104),AO104,0)*100)-(0.0))/((8.0)-(0.0))))+0.2*MIN(1,MAX(0,((IF(ISNUMBER(AP104),AP104,0))-(25.0))/((5.0)-(25.0)))))</f>
        <v/>
      </c>
      <c r="BJ104" s="32">
        <f>100*(0.35*MIN(1,MAX(0,((ABS(AU104))-(0.3))/((0.05)-(0.3))))+0.3*MIN(1,MAX(0,((AV104)-(0.0))/((0.3)-(0.0))))+0.25*MIN(1,MAX(0,((AW104)-(0.4))/((0.7)-(0.4))))+0.1*IF(AY104&gt;=2,1,0.5))</f>
        <v/>
      </c>
      <c r="BK104" s="33">
        <f>0.25*BG104+0.25*BH104+0.2*BI104+0.3*BJ104</f>
        <v/>
      </c>
      <c r="BL104" s="20" t="inlineStr">
        <is>
          <t>C4 上升三角／重心偏上</t>
        </is>
      </c>
      <c r="BM104" s="20" t="inlineStr"/>
    </row>
    <row r="105">
      <c r="A105" s="20" t="n">
        <v>2</v>
      </c>
      <c r="B105" s="20" t="n">
        <v>4</v>
      </c>
      <c r="C105" s="21" t="inlineStr">
        <is>
          <t>SNDK</t>
        </is>
      </c>
      <c r="D105" s="20" t="inlineStr">
        <is>
          <t>Sandisk Corporation</t>
        </is>
      </c>
      <c r="E105" s="20" t="inlineStr">
        <is>
          <t>NASDAQ</t>
        </is>
      </c>
      <c r="F105" s="20" t="inlineStr">
        <is>
          <t>科技</t>
        </is>
      </c>
      <c r="G105" s="20" t="inlineStr">
        <is>
          <t>Electronic Components</t>
        </is>
      </c>
      <c r="H105" s="22" t="n">
        <v>254.753</v>
      </c>
      <c r="I105" s="20" t="inlineStr">
        <is>
          <t>大型</t>
        </is>
      </c>
      <c r="J105" s="23" t="n">
        <v>1787.6899</v>
      </c>
      <c r="K105" s="23" t="n">
        <v>1739.89</v>
      </c>
      <c r="L105" s="24">
        <f>J105/K105-1</f>
        <v/>
      </c>
      <c r="M105" s="23" t="n">
        <v>1802</v>
      </c>
      <c r="N105" s="23" t="n">
        <v>1708</v>
      </c>
      <c r="O105" s="25" t="n">
        <v>9190600</v>
      </c>
      <c r="P105" s="25" t="n">
        <v>9441060</v>
      </c>
      <c r="Q105" s="26">
        <f>O105/P105</f>
        <v/>
      </c>
      <c r="R105" s="23" t="n">
        <v>1746.3611</v>
      </c>
      <c r="S105" s="23" t="n">
        <v>1695.9908</v>
      </c>
      <c r="T105" s="23" t="n">
        <v>1662.5963</v>
      </c>
      <c r="U105" s="24">
        <f>S105/T105-1</f>
        <v/>
      </c>
      <c r="V105" s="27" t="n">
        <v>1</v>
      </c>
      <c r="W105" s="24">
        <f>J105/R105-1</f>
        <v/>
      </c>
      <c r="X105" s="24">
        <f>J105/S105-1</f>
        <v/>
      </c>
      <c r="Y105" s="23" t="n">
        <v>102.3212</v>
      </c>
      <c r="Z105" s="28">
        <f>Y105/J105</f>
        <v/>
      </c>
      <c r="AA105" s="26">
        <f>(J105-R105)/Y105</f>
        <v/>
      </c>
      <c r="AB105" s="26">
        <f>(J105-S105)/Y105</f>
        <v/>
      </c>
      <c r="AC105" s="20">
        <f>IF(ABS(AA105)&lt;=ABS(AB105),"9EMA","21EMA")</f>
        <v/>
      </c>
      <c r="AD105" s="20" t="inlineStr">
        <is>
          <t>9EMA</t>
        </is>
      </c>
      <c r="AE105" s="20" t="inlineStr">
        <is>
          <t>持續在上方</t>
        </is>
      </c>
      <c r="AF105" s="20" t="inlineStr"/>
      <c r="AG105" s="20" t="inlineStr"/>
      <c r="AH105" s="20" t="inlineStr">
        <is>
          <t>✓</t>
        </is>
      </c>
      <c r="AI105" s="20" t="inlineStr">
        <is>
          <t>2026-08-17</t>
        </is>
      </c>
      <c r="AJ105" s="20" t="n">
        <v>32</v>
      </c>
      <c r="AK105" s="29" t="n">
        <v>5</v>
      </c>
      <c r="AL105" s="20" t="inlineStr">
        <is>
          <t>2026-09-28</t>
        </is>
      </c>
      <c r="AM105" s="23" t="n">
        <v>1659.02</v>
      </c>
      <c r="AN105" s="23" t="n">
        <v>1504.2</v>
      </c>
      <c r="AO105" s="24">
        <f>IF(ISNUMBER(AN105),AM105/AN105-1,"")</f>
        <v/>
      </c>
      <c r="AP105" s="29" t="n">
        <v>3</v>
      </c>
      <c r="AQ105" s="24">
        <f>IF(ISNUMBER(AM105),J105/AM105-1,"")</f>
        <v/>
      </c>
      <c r="AR105" s="23" t="n">
        <v>1887.04</v>
      </c>
      <c r="AS105" s="24">
        <f>J105/AR105-1</f>
        <v/>
      </c>
      <c r="AT105" s="20" t="inlineStr">
        <is>
          <t>上升通道</t>
        </is>
      </c>
      <c r="AU105" s="30" t="n">
        <v>0.5711000000000001</v>
      </c>
      <c r="AV105" s="30" t="n">
        <v>0.6008</v>
      </c>
      <c r="AW105" s="30" t="n">
        <v>0.4995</v>
      </c>
      <c r="AX105" s="30" t="n">
        <v>0.466</v>
      </c>
      <c r="AY105" s="29" t="n">
        <v>2</v>
      </c>
      <c r="AZ105" s="23" t="n">
        <v>1909.48</v>
      </c>
      <c r="BA105" s="23" t="n">
        <v>1435.61</v>
      </c>
      <c r="BB105" s="23" t="n">
        <v>1672.3307</v>
      </c>
      <c r="BC105" s="30" t="n">
        <v>0.837</v>
      </c>
      <c r="BD105" s="26">
        <f>IF(M105=N105,0.5,(J105-N105)/(M105-N105))</f>
        <v/>
      </c>
      <c r="BE105" s="31" t="n">
        <v>21.074</v>
      </c>
      <c r="BF105" s="31" t="n">
        <v>16.32</v>
      </c>
      <c r="BG105" s="32">
        <f>100*(0.4*MIN(1,MAX(0,((U105*100)-(0.0))/((2.5)-(0.0))))+0.3*MIN(1,MAX(0,((V105)-(0.6))/((1.0)-(0.6))))+0.3*MIN(1,MAX(0,((BE105)-(0.0))/((15.0)-(0.0)))))</f>
        <v/>
      </c>
      <c r="BH105" s="32">
        <f>100*(0.4*MIN(1,MAX(0,((MIN(ABS(AA105),ABS(AB105)))-(0.75))/((0.0)-(0.75))))+0.3*MIN(1,MAX(0,((BC105)-(1.2))/((0.6)-(1.2))))+0.3*BD105)</f>
        <v/>
      </c>
      <c r="BI105" s="32">
        <f>100*(0.5*MIN(1,MAX(0,((AK105)-(1.0))/((4.0)-(1.0))))+0.3*MIN(1,MAX(0,((IF(ISNUMBER(AO105),AO105,0)*100)-(0.0))/((8.0)-(0.0))))+0.2*MIN(1,MAX(0,((IF(ISNUMBER(AP105),AP105,0))-(25.0))/((5.0)-(25.0)))))</f>
        <v/>
      </c>
      <c r="BJ105" s="32">
        <f>100*(0.35*MIN(1,MAX(0,((ABS(AU105))-(0.3))/((0.05)-(0.3))))+0.3*MIN(1,MAX(0,((AV105)-(0.0))/((0.3)-(0.0))))+0.25*MIN(1,MAX(0,((AW105)-(0.4))/((0.7)-(0.4))))+0.1*IF(AY105&gt;=2,1,0.5))</f>
        <v/>
      </c>
      <c r="BK105" s="33">
        <f>0.25*BG105+0.25*BH105+0.2*BI105+0.3*BJ105</f>
        <v/>
      </c>
      <c r="BL105" s="20" t="inlineStr">
        <is>
          <t>C4 上升三角／重心偏上</t>
        </is>
      </c>
      <c r="BM105" s="20" t="inlineStr"/>
    </row>
    <row r="106">
      <c r="A106" s="20" t="n">
        <v>2</v>
      </c>
      <c r="B106" s="20" t="n">
        <v>5</v>
      </c>
      <c r="C106" s="21" t="inlineStr">
        <is>
          <t>FEIM</t>
        </is>
      </c>
      <c r="D106" s="20" t="inlineStr">
        <is>
          <t>Frequency Electronics Inc.</t>
        </is>
      </c>
      <c r="E106" s="20" t="inlineStr">
        <is>
          <t>NASDAQ</t>
        </is>
      </c>
      <c r="F106" s="20" t="inlineStr">
        <is>
          <t>工業</t>
        </is>
      </c>
      <c r="G106" s="20" t="inlineStr">
        <is>
          <t>Electrical Products</t>
        </is>
      </c>
      <c r="H106" s="22" t="n">
        <v>0.953</v>
      </c>
      <c r="I106" s="20" t="inlineStr">
        <is>
          <t>小型</t>
        </is>
      </c>
      <c r="J106" s="23" t="n">
        <v>85.97</v>
      </c>
      <c r="K106" s="23" t="n">
        <v>84.53</v>
      </c>
      <c r="L106" s="24">
        <f>J106/K106-1</f>
        <v/>
      </c>
      <c r="M106" s="23" t="n">
        <v>88</v>
      </c>
      <c r="N106" s="23" t="n">
        <v>82.78</v>
      </c>
      <c r="O106" s="25" t="n">
        <v>199900</v>
      </c>
      <c r="P106" s="25" t="n">
        <v>397435</v>
      </c>
      <c r="Q106" s="26">
        <f>O106/P106</f>
        <v/>
      </c>
      <c r="R106" s="23" t="n">
        <v>84.31780000000001</v>
      </c>
      <c r="S106" s="23" t="n">
        <v>80.13890000000001</v>
      </c>
      <c r="T106" s="23" t="n">
        <v>77.1276</v>
      </c>
      <c r="U106" s="24">
        <f>S106/T106-1</f>
        <v/>
      </c>
      <c r="V106" s="27" t="n">
        <v>1</v>
      </c>
      <c r="W106" s="24">
        <f>J106/R106-1</f>
        <v/>
      </c>
      <c r="X106" s="24">
        <f>J106/S106-1</f>
        <v/>
      </c>
      <c r="Y106" s="23" t="n">
        <v>5.0032</v>
      </c>
      <c r="Z106" s="28">
        <f>Y106/J106</f>
        <v/>
      </c>
      <c r="AA106" s="26">
        <f>(J106-R106)/Y106</f>
        <v/>
      </c>
      <c r="AB106" s="26">
        <f>(J106-S106)/Y106</f>
        <v/>
      </c>
      <c r="AC106" s="20">
        <f>IF(ABS(AA106)&lt;=ABS(AB106),"9EMA","21EMA")</f>
        <v/>
      </c>
      <c r="AD106" s="20" t="inlineStr">
        <is>
          <t>9EMA</t>
        </is>
      </c>
      <c r="AE106" s="20" t="inlineStr">
        <is>
          <t>持續在上方</t>
        </is>
      </c>
      <c r="AF106" s="20" t="inlineStr"/>
      <c r="AG106" s="20" t="inlineStr"/>
      <c r="AH106" s="20" t="inlineStr">
        <is>
          <t>✓</t>
        </is>
      </c>
      <c r="AI106" s="20" t="inlineStr">
        <is>
          <t>2026-09-11</t>
        </is>
      </c>
      <c r="AJ106" s="20" t="n">
        <v>14</v>
      </c>
      <c r="AK106" s="29" t="n">
        <v>2</v>
      </c>
      <c r="AL106" s="20" t="inlineStr">
        <is>
          <t>2026-09-28</t>
        </is>
      </c>
      <c r="AM106" s="23" t="n">
        <v>81.58</v>
      </c>
      <c r="AN106" s="23" t="n">
        <v>56.98</v>
      </c>
      <c r="AO106" s="24">
        <f>IF(ISNUMBER(AN106),AM106/AN106-1,"")</f>
        <v/>
      </c>
      <c r="AP106" s="29" t="n">
        <v>3</v>
      </c>
      <c r="AQ106" s="24">
        <f>IF(ISNUMBER(AM106),J106/AM106-1,"")</f>
        <v/>
      </c>
      <c r="AR106" s="23" t="n">
        <v>89</v>
      </c>
      <c r="AS106" s="24">
        <f>J106/AR106-1</f>
        <v/>
      </c>
      <c r="AT106" s="20" t="inlineStr">
        <is>
          <t>上升通道</t>
        </is>
      </c>
      <c r="AU106" s="30" t="n">
        <v>1.4574</v>
      </c>
      <c r="AV106" s="30" t="n">
        <v>1.5897</v>
      </c>
      <c r="AW106" s="30" t="n">
        <v>0.7043</v>
      </c>
      <c r="AX106" s="30" t="n">
        <v>0.7024</v>
      </c>
      <c r="AY106" s="29" t="n">
        <v>5</v>
      </c>
      <c r="AZ106" s="23" t="n">
        <v>89.76000000000001</v>
      </c>
      <c r="BA106" s="23" t="n">
        <v>56.98</v>
      </c>
      <c r="BB106" s="23" t="n">
        <v>80.0668</v>
      </c>
      <c r="BC106" s="30" t="n">
        <v>0.8741</v>
      </c>
      <c r="BD106" s="26">
        <f>IF(M106=N106,0.5,(J106-N106)/(M106-N106))</f>
        <v/>
      </c>
      <c r="BE106" s="31" t="n">
        <v>50.515</v>
      </c>
      <c r="BF106" s="31" t="n">
        <v>45.761</v>
      </c>
      <c r="BG106" s="32">
        <f>100*(0.4*MIN(1,MAX(0,((U106*100)-(0.0))/((2.5)-(0.0))))+0.3*MIN(1,MAX(0,((V106)-(0.6))/((1.0)-(0.6))))+0.3*MIN(1,MAX(0,((BE106)-(0.0))/((15.0)-(0.0)))))</f>
        <v/>
      </c>
      <c r="BH106" s="32">
        <f>100*(0.4*MIN(1,MAX(0,((MIN(ABS(AA106),ABS(AB106)))-(0.75))/((0.0)-(0.75))))+0.3*MIN(1,MAX(0,((BC106)-(1.2))/((0.6)-(1.2))))+0.3*BD106)</f>
        <v/>
      </c>
      <c r="BI106" s="32">
        <f>100*(0.5*MIN(1,MAX(0,((AK106)-(1.0))/((4.0)-(1.0))))+0.3*MIN(1,MAX(0,((IF(ISNUMBER(AO106),AO106,0)*100)-(0.0))/((8.0)-(0.0))))+0.2*MIN(1,MAX(0,((IF(ISNUMBER(AP106),AP106,0))-(25.0))/((5.0)-(25.0)))))</f>
        <v/>
      </c>
      <c r="BJ106" s="32">
        <f>100*(0.35*MIN(1,MAX(0,((ABS(AU106))-(0.3))/((0.05)-(0.3))))+0.3*MIN(1,MAX(0,((AV106)-(0.0))/((0.3)-(0.0))))+0.25*MIN(1,MAX(0,((AW106)-(0.4))/((0.7)-(0.4))))+0.1*IF(AY106&gt;=2,1,0.5))</f>
        <v/>
      </c>
      <c r="BK106" s="33">
        <f>0.25*BG106+0.25*BH106+0.2*BI106+0.3*BJ106</f>
        <v/>
      </c>
      <c r="BL106" s="20" t="inlineStr">
        <is>
          <t>C4 上升三角／重心偏上</t>
        </is>
      </c>
      <c r="BM106" s="20" t="inlineStr"/>
    </row>
    <row r="107">
      <c r="A107" s="20" t="n">
        <v>2</v>
      </c>
      <c r="B107" s="20" t="n">
        <v>6</v>
      </c>
      <c r="C107" s="21" t="inlineStr">
        <is>
          <t>LUV</t>
        </is>
      </c>
      <c r="D107" s="20" t="inlineStr">
        <is>
          <t>Southwest Airlines Company</t>
        </is>
      </c>
      <c r="E107" s="20" t="inlineStr">
        <is>
          <t>NYSE</t>
        </is>
      </c>
      <c r="F107" s="20" t="inlineStr">
        <is>
          <t>非必需消費</t>
        </is>
      </c>
      <c r="G107" s="20" t="inlineStr">
        <is>
          <t>Air Freight/Delivery Services</t>
        </is>
      </c>
      <c r="H107" s="22" t="n">
        <v>20.371</v>
      </c>
      <c r="I107" s="20" t="inlineStr">
        <is>
          <t>大型</t>
        </is>
      </c>
      <c r="J107" s="23" t="n">
        <v>41.84</v>
      </c>
      <c r="K107" s="23" t="n">
        <v>41.64</v>
      </c>
      <c r="L107" s="24">
        <f>J107/K107-1</f>
        <v/>
      </c>
      <c r="M107" s="23" t="n">
        <v>42.19</v>
      </c>
      <c r="N107" s="23" t="n">
        <v>41.36</v>
      </c>
      <c r="O107" s="25" t="n">
        <v>5114400</v>
      </c>
      <c r="P107" s="25" t="n">
        <v>6128820</v>
      </c>
      <c r="Q107" s="26">
        <f>O107/P107</f>
        <v/>
      </c>
      <c r="R107" s="23" t="n">
        <v>41.6179</v>
      </c>
      <c r="S107" s="23" t="n">
        <v>41.2144</v>
      </c>
      <c r="T107" s="23" t="n">
        <v>40.6976</v>
      </c>
      <c r="U107" s="24">
        <f>S107/T107-1</f>
        <v/>
      </c>
      <c r="V107" s="27" t="n">
        <v>1</v>
      </c>
      <c r="W107" s="24">
        <f>J107/R107-1</f>
        <v/>
      </c>
      <c r="X107" s="24">
        <f>J107/S107-1</f>
        <v/>
      </c>
      <c r="Y107" s="23" t="n">
        <v>1.2682</v>
      </c>
      <c r="Z107" s="28">
        <f>Y107/J107</f>
        <v/>
      </c>
      <c r="AA107" s="26">
        <f>(J107-R107)/Y107</f>
        <v/>
      </c>
      <c r="AB107" s="26">
        <f>(J107-S107)/Y107</f>
        <v/>
      </c>
      <c r="AC107" s="20">
        <f>IF(ABS(AA107)&lt;=ABS(AB107),"9EMA","21EMA")</f>
        <v/>
      </c>
      <c r="AD107" s="20" t="inlineStr">
        <is>
          <t>9+21EMA</t>
        </is>
      </c>
      <c r="AE107" s="20" t="inlineStr">
        <is>
          <t>持續在上方</t>
        </is>
      </c>
      <c r="AF107" s="20" t="inlineStr"/>
      <c r="AG107" s="20" t="inlineStr"/>
      <c r="AH107" s="20" t="inlineStr">
        <is>
          <t>✓</t>
        </is>
      </c>
      <c r="AI107" s="20" t="inlineStr">
        <is>
          <t>2026-09-23</t>
        </is>
      </c>
      <c r="AJ107" s="20" t="n">
        <v>6</v>
      </c>
      <c r="AK107" s="29" t="n">
        <v>4</v>
      </c>
      <c r="AL107" s="20" t="inlineStr">
        <is>
          <t>2026-09-24</t>
        </is>
      </c>
      <c r="AM107" s="23" t="n">
        <v>40.45</v>
      </c>
      <c r="AN107" s="23" t="n">
        <v>38.16</v>
      </c>
      <c r="AO107" s="24">
        <f>IF(ISNUMBER(AN107),AM107/AN107-1,"")</f>
        <v/>
      </c>
      <c r="AP107" s="29" t="n">
        <v>5</v>
      </c>
      <c r="AQ107" s="24">
        <f>IF(ISNUMBER(AM107),J107/AM107-1,"")</f>
        <v/>
      </c>
      <c r="AR107" s="23" t="n">
        <v>42.68</v>
      </c>
      <c r="AS107" s="24">
        <f>J107/AR107-1</f>
        <v/>
      </c>
      <c r="AT107" s="20" t="inlineStr">
        <is>
          <t>上傾擴張</t>
        </is>
      </c>
      <c r="AU107" s="30" t="n">
        <v>0.7474</v>
      </c>
      <c r="AV107" s="30" t="n">
        <v>0.4163</v>
      </c>
      <c r="AW107" s="30" t="n">
        <v>0.4925</v>
      </c>
      <c r="AX107" s="30" t="n">
        <v>0.5335</v>
      </c>
      <c r="AY107" s="29" t="n">
        <v>4</v>
      </c>
      <c r="AZ107" s="23" t="n">
        <v>43.2</v>
      </c>
      <c r="BA107" s="23" t="n">
        <v>37.58</v>
      </c>
      <c r="BB107" s="23" t="n">
        <v>40.3477</v>
      </c>
      <c r="BC107" s="30" t="n">
        <v>0.6672</v>
      </c>
      <c r="BD107" s="26">
        <f>IF(M107=N107,0.5,(J107-N107)/(M107-N107))</f>
        <v/>
      </c>
      <c r="BE107" s="31" t="n">
        <v>15.794</v>
      </c>
      <c r="BF107" s="31" t="n">
        <v>11.04</v>
      </c>
      <c r="BG107" s="32">
        <f>100*(0.4*MIN(1,MAX(0,((U107*100)-(0.0))/((2.5)-(0.0))))+0.3*MIN(1,MAX(0,((V107)-(0.6))/((1.0)-(0.6))))+0.3*MIN(1,MAX(0,((BE107)-(0.0))/((15.0)-(0.0)))))</f>
        <v/>
      </c>
      <c r="BH107" s="32">
        <f>100*(0.4*MIN(1,MAX(0,((MIN(ABS(AA107),ABS(AB107)))-(0.75))/((0.0)-(0.75))))+0.3*MIN(1,MAX(0,((BC107)-(1.2))/((0.6)-(1.2))))+0.3*BD107)</f>
        <v/>
      </c>
      <c r="BI107" s="32">
        <f>100*(0.5*MIN(1,MAX(0,((AK107)-(1.0))/((4.0)-(1.0))))+0.3*MIN(1,MAX(0,((IF(ISNUMBER(AO107),AO107,0)*100)-(0.0))/((8.0)-(0.0))))+0.2*MIN(1,MAX(0,((IF(ISNUMBER(AP107),AP107,0))-(25.0))/((5.0)-(25.0)))))</f>
        <v/>
      </c>
      <c r="BJ107" s="32">
        <f>100*(0.35*MIN(1,MAX(0,((ABS(AU107))-(0.3))/((0.05)-(0.3))))+0.3*MIN(1,MAX(0,((AV107)-(0.0))/((0.3)-(0.0))))+0.25*MIN(1,MAX(0,((AW107)-(0.4))/((0.7)-(0.4))))+0.1*IF(AY107&gt;=2,1,0.5))</f>
        <v/>
      </c>
      <c r="BK107" s="33">
        <f>0.25*BG107+0.25*BH107+0.2*BI107+0.3*BJ107</f>
        <v/>
      </c>
      <c r="BL107" s="20" t="inlineStr">
        <is>
          <t>C4 上升三角／重心偏上</t>
        </is>
      </c>
      <c r="BM107" s="20" t="inlineStr"/>
    </row>
    <row r="108">
      <c r="A108" s="20" t="n">
        <v>2</v>
      </c>
      <c r="B108" s="20" t="n">
        <v>7</v>
      </c>
      <c r="C108" s="21" t="inlineStr">
        <is>
          <t>GIC</t>
        </is>
      </c>
      <c r="D108" s="20" t="inlineStr">
        <is>
          <t>Global Industrial Company</t>
        </is>
      </c>
      <c r="E108" s="20" t="inlineStr">
        <is>
          <t>NYSE</t>
        </is>
      </c>
      <c r="F108" s="20" t="inlineStr">
        <is>
          <t>工業</t>
        </is>
      </c>
      <c r="G108" s="20" t="inlineStr">
        <is>
          <t>Industrial Machinery/Components</t>
        </is>
      </c>
      <c r="H108" s="22" t="n">
        <v>1.598</v>
      </c>
      <c r="I108" s="20" t="inlineStr">
        <is>
          <t>小型</t>
        </is>
      </c>
      <c r="J108" s="23" t="n">
        <v>43.07</v>
      </c>
      <c r="K108" s="23" t="n">
        <v>41.94</v>
      </c>
      <c r="L108" s="24">
        <f>J108/K108-1</f>
        <v/>
      </c>
      <c r="M108" s="23" t="n">
        <v>43.17</v>
      </c>
      <c r="N108" s="23" t="n">
        <v>41.88</v>
      </c>
      <c r="O108" s="25" t="n">
        <v>166700</v>
      </c>
      <c r="P108" s="25" t="n">
        <v>151125</v>
      </c>
      <c r="Q108" s="26">
        <f>O108/P108</f>
        <v/>
      </c>
      <c r="R108" s="23" t="n">
        <v>41.8321</v>
      </c>
      <c r="S108" s="23" t="n">
        <v>40.8562</v>
      </c>
      <c r="T108" s="23" t="n">
        <v>39.9793</v>
      </c>
      <c r="U108" s="24">
        <f>S108/T108-1</f>
        <v/>
      </c>
      <c r="V108" s="27" t="n">
        <v>1</v>
      </c>
      <c r="W108" s="24">
        <f>J108/R108-1</f>
        <v/>
      </c>
      <c r="X108" s="24">
        <f>J108/S108-1</f>
        <v/>
      </c>
      <c r="Y108" s="23" t="n">
        <v>1.0044</v>
      </c>
      <c r="Z108" s="28">
        <f>Y108/J108</f>
        <v/>
      </c>
      <c r="AA108" s="26">
        <f>(J108-R108)/Y108</f>
        <v/>
      </c>
      <c r="AB108" s="26">
        <f>(J108-S108)/Y108</f>
        <v/>
      </c>
      <c r="AC108" s="20">
        <f>IF(ABS(AA108)&lt;=ABS(AB108),"9EMA","21EMA")</f>
        <v/>
      </c>
      <c r="AD108" s="20" t="inlineStr">
        <is>
          <t>9EMA</t>
        </is>
      </c>
      <c r="AE108" s="20" t="inlineStr">
        <is>
          <t>持續在上方</t>
        </is>
      </c>
      <c r="AF108" s="20" t="inlineStr"/>
      <c r="AG108" s="20" t="inlineStr"/>
      <c r="AH108" s="20" t="inlineStr">
        <is>
          <t>✓</t>
        </is>
      </c>
      <c r="AI108" s="20" t="inlineStr">
        <is>
          <t>2026-06-05</t>
        </is>
      </c>
      <c r="AJ108" s="20" t="n">
        <v>81</v>
      </c>
      <c r="AK108" s="29" t="n">
        <v>2</v>
      </c>
      <c r="AL108" s="20" t="inlineStr">
        <is>
          <t>2026-09-28</t>
        </is>
      </c>
      <c r="AM108" s="23" t="n">
        <v>40.9</v>
      </c>
      <c r="AN108" s="23" t="n">
        <v>38.36</v>
      </c>
      <c r="AO108" s="24">
        <f>IF(ISNUMBER(AN108),AM108/AN108-1,"")</f>
        <v/>
      </c>
      <c r="AP108" s="29" t="n">
        <v>3</v>
      </c>
      <c r="AQ108" s="24">
        <f>IF(ISNUMBER(AM108),J108/AM108-1,"")</f>
        <v/>
      </c>
      <c r="AR108" s="23" t="n">
        <v>43.07</v>
      </c>
      <c r="AS108" s="24">
        <f>J108/AR108-1</f>
        <v/>
      </c>
      <c r="AT108" s="20" t="inlineStr">
        <is>
          <t>上升三角（平頂）</t>
        </is>
      </c>
      <c r="AU108" s="30" t="n">
        <v>-0.0774</v>
      </c>
      <c r="AV108" s="30" t="n">
        <v>0.3267</v>
      </c>
      <c r="AW108" s="30" t="n">
        <v>0.4609</v>
      </c>
      <c r="AX108" s="30" t="n">
        <v>0.4347</v>
      </c>
      <c r="AY108" s="29" t="n">
        <v>3</v>
      </c>
      <c r="AZ108" s="23" t="n">
        <v>43.17</v>
      </c>
      <c r="BA108" s="23" t="n">
        <v>38.36</v>
      </c>
      <c r="BB108" s="23" t="n">
        <v>40.5769</v>
      </c>
      <c r="BC108" s="30" t="n">
        <v>0.7521</v>
      </c>
      <c r="BD108" s="26">
        <f>IF(M108=N108,0.5,(J108-N108)/(M108-N108))</f>
        <v/>
      </c>
      <c r="BE108" s="31" t="n">
        <v>16.161</v>
      </c>
      <c r="BF108" s="31" t="n">
        <v>11.407</v>
      </c>
      <c r="BG108" s="32">
        <f>100*(0.4*MIN(1,MAX(0,((U108*100)-(0.0))/((2.5)-(0.0))))+0.3*MIN(1,MAX(0,((V108)-(0.6))/((1.0)-(0.6))))+0.3*MIN(1,MAX(0,((BE108)-(0.0))/((15.0)-(0.0)))))</f>
        <v/>
      </c>
      <c r="BH108" s="32">
        <f>100*(0.4*MIN(1,MAX(0,((MIN(ABS(AA108),ABS(AB108)))-(0.75))/((0.0)-(0.75))))+0.3*MIN(1,MAX(0,((BC108)-(1.2))/((0.6)-(1.2))))+0.3*BD108)</f>
        <v/>
      </c>
      <c r="BI108" s="32">
        <f>100*(0.5*MIN(1,MAX(0,((AK108)-(1.0))/((4.0)-(1.0))))+0.3*MIN(1,MAX(0,((IF(ISNUMBER(AO108),AO108,0)*100)-(0.0))/((8.0)-(0.0))))+0.2*MIN(1,MAX(0,((IF(ISNUMBER(AP108),AP108,0))-(25.0))/((5.0)-(25.0)))))</f>
        <v/>
      </c>
      <c r="BJ108" s="32">
        <f>100*(0.35*MIN(1,MAX(0,((ABS(AU108))-(0.3))/((0.05)-(0.3))))+0.3*MIN(1,MAX(0,((AV108)-(0.0))/((0.3)-(0.0))))+0.25*MIN(1,MAX(0,((AW108)-(0.4))/((0.7)-(0.4))))+0.1*IF(AY108&gt;=2,1,0.5))</f>
        <v/>
      </c>
      <c r="BK108" s="33">
        <f>0.25*BG108+0.25*BH108+0.2*BI108+0.3*BJ108</f>
        <v/>
      </c>
      <c r="BL108" s="20" t="inlineStr">
        <is>
          <t>C4 上升三角／重心偏上</t>
        </is>
      </c>
      <c r="BM108" s="20" t="inlineStr"/>
    </row>
    <row r="109">
      <c r="A109" s="20" t="n">
        <v>2</v>
      </c>
      <c r="B109" s="20" t="n">
        <v>8</v>
      </c>
      <c r="C109" s="21" t="inlineStr">
        <is>
          <t>WBTN</t>
        </is>
      </c>
      <c r="D109" s="20" t="inlineStr">
        <is>
          <t>WEBTOON Entertainment Inc. Common stock</t>
        </is>
      </c>
      <c r="E109" s="20" t="inlineStr">
        <is>
          <t>NASDAQ</t>
        </is>
      </c>
      <c r="F109" s="20" t="inlineStr">
        <is>
          <t>非必需消費</t>
        </is>
      </c>
      <c r="G109" s="20" t="inlineStr">
        <is>
          <t>Publishing</t>
        </is>
      </c>
      <c r="H109" s="22" t="n">
        <v>1.464</v>
      </c>
      <c r="I109" s="20" t="inlineStr">
        <is>
          <t>小型</t>
        </is>
      </c>
      <c r="J109" s="23" t="n">
        <v>10.86</v>
      </c>
      <c r="K109" s="23" t="n">
        <v>10.79</v>
      </c>
      <c r="L109" s="24">
        <f>J109/K109-1</f>
        <v/>
      </c>
      <c r="M109" s="23" t="n">
        <v>11.08</v>
      </c>
      <c r="N109" s="23" t="n">
        <v>10.79</v>
      </c>
      <c r="O109" s="25" t="n">
        <v>226300</v>
      </c>
      <c r="P109" s="25" t="n">
        <v>378140</v>
      </c>
      <c r="Q109" s="26">
        <f>O109/P109</f>
        <v/>
      </c>
      <c r="R109" s="23" t="n">
        <v>10.8517</v>
      </c>
      <c r="S109" s="23" t="n">
        <v>10.6103</v>
      </c>
      <c r="T109" s="23" t="n">
        <v>10.426</v>
      </c>
      <c r="U109" s="24">
        <f>S109/T109-1</f>
        <v/>
      </c>
      <c r="V109" s="27" t="n">
        <v>1</v>
      </c>
      <c r="W109" s="24">
        <f>J109/R109-1</f>
        <v/>
      </c>
      <c r="X109" s="24">
        <f>J109/S109-1</f>
        <v/>
      </c>
      <c r="Y109" s="23" t="n">
        <v>0.4801</v>
      </c>
      <c r="Z109" s="28">
        <f>Y109/J109</f>
        <v/>
      </c>
      <c r="AA109" s="26">
        <f>(J109-R109)/Y109</f>
        <v/>
      </c>
      <c r="AB109" s="26">
        <f>(J109-S109)/Y109</f>
        <v/>
      </c>
      <c r="AC109" s="20">
        <f>IF(ABS(AA109)&lt;=ABS(AB109),"9EMA","21EMA")</f>
        <v/>
      </c>
      <c r="AD109" s="20" t="inlineStr">
        <is>
          <t>9EMA</t>
        </is>
      </c>
      <c r="AE109" s="20" t="inlineStr">
        <is>
          <t>持續在上方</t>
        </is>
      </c>
      <c r="AF109" s="20" t="inlineStr"/>
      <c r="AG109" s="20" t="inlineStr"/>
      <c r="AH109" s="20" t="inlineStr">
        <is>
          <t>✓</t>
        </is>
      </c>
      <c r="AI109" s="20" t="inlineStr">
        <is>
          <t>2026-08-26</t>
        </is>
      </c>
      <c r="AJ109" s="20" t="n">
        <v>25</v>
      </c>
      <c r="AK109" s="29" t="n">
        <v>4</v>
      </c>
      <c r="AL109" s="20" t="inlineStr">
        <is>
          <t>2026-09-18</t>
        </is>
      </c>
      <c r="AM109" s="23" t="n">
        <v>10.26</v>
      </c>
      <c r="AN109" s="23" t="n">
        <v>9.82</v>
      </c>
      <c r="AO109" s="24">
        <f>IF(ISNUMBER(AN109),AM109/AN109-1,"")</f>
        <v/>
      </c>
      <c r="AP109" s="29" t="n">
        <v>9</v>
      </c>
      <c r="AQ109" s="24">
        <f>IF(ISNUMBER(AM109),J109/AM109-1,"")</f>
        <v/>
      </c>
      <c r="AR109" s="23" t="n">
        <v>11.2</v>
      </c>
      <c r="AS109" s="24">
        <f>J109/AR109-1</f>
        <v/>
      </c>
      <c r="AT109" s="20" t="inlineStr">
        <is>
          <t>對稱三角</t>
        </is>
      </c>
      <c r="AU109" s="30" t="n">
        <v>-0.1745</v>
      </c>
      <c r="AV109" s="30" t="n">
        <v>0.4502</v>
      </c>
      <c r="AW109" s="30" t="n">
        <v>0.4694</v>
      </c>
      <c r="AX109" s="30" t="n">
        <v>0.489</v>
      </c>
      <c r="AY109" s="29" t="n">
        <v>1</v>
      </c>
      <c r="AZ109" s="23" t="n">
        <v>11.41</v>
      </c>
      <c r="BA109" s="23" t="n">
        <v>9.82</v>
      </c>
      <c r="BB109" s="23" t="n">
        <v>10.5664</v>
      </c>
      <c r="BC109" s="30" t="n">
        <v>0.7147</v>
      </c>
      <c r="BD109" s="26">
        <f>IF(M109=N109,0.5,(J109-N109)/(M109-N109))</f>
        <v/>
      </c>
      <c r="BE109" s="31" t="n">
        <v>9.987</v>
      </c>
      <c r="BF109" s="31" t="n">
        <v>5.233</v>
      </c>
      <c r="BG109" s="32">
        <f>100*(0.4*MIN(1,MAX(0,((U109*100)-(0.0))/((2.5)-(0.0))))+0.3*MIN(1,MAX(0,((V109)-(0.6))/((1.0)-(0.6))))+0.3*MIN(1,MAX(0,((BE109)-(0.0))/((15.0)-(0.0)))))</f>
        <v/>
      </c>
      <c r="BH109" s="32">
        <f>100*(0.4*MIN(1,MAX(0,((MIN(ABS(AA109),ABS(AB109)))-(0.75))/((0.0)-(0.75))))+0.3*MIN(1,MAX(0,((BC109)-(1.2))/((0.6)-(1.2))))+0.3*BD109)</f>
        <v/>
      </c>
      <c r="BI109" s="32">
        <f>100*(0.5*MIN(1,MAX(0,((AK109)-(1.0))/((4.0)-(1.0))))+0.3*MIN(1,MAX(0,((IF(ISNUMBER(AO109),AO109,0)*100)-(0.0))/((8.0)-(0.0))))+0.2*MIN(1,MAX(0,((IF(ISNUMBER(AP109),AP109,0))-(25.0))/((5.0)-(25.0)))))</f>
        <v/>
      </c>
      <c r="BJ109" s="32">
        <f>100*(0.35*MIN(1,MAX(0,((ABS(AU109))-(0.3))/((0.05)-(0.3))))+0.3*MIN(1,MAX(0,((AV109)-(0.0))/((0.3)-(0.0))))+0.25*MIN(1,MAX(0,((AW109)-(0.4))/((0.7)-(0.4))))+0.1*IF(AY109&gt;=2,1,0.5))</f>
        <v/>
      </c>
      <c r="BK109" s="33">
        <f>0.25*BG109+0.25*BH109+0.2*BI109+0.3*BJ109</f>
        <v/>
      </c>
      <c r="BL109" s="20" t="inlineStr">
        <is>
          <t>C4 上升三角／重心偏上</t>
        </is>
      </c>
      <c r="BM109" s="20" t="inlineStr"/>
    </row>
    <row r="110">
      <c r="A110" s="20" t="n">
        <v>2</v>
      </c>
      <c r="B110" s="20" t="n">
        <v>9</v>
      </c>
      <c r="C110" s="21" t="inlineStr">
        <is>
          <t>SMTC</t>
        </is>
      </c>
      <c r="D110" s="20" t="inlineStr">
        <is>
          <t>Semtech Corporation</t>
        </is>
      </c>
      <c r="E110" s="20" t="inlineStr">
        <is>
          <t>NASDAQ</t>
        </is>
      </c>
      <c r="F110" s="20" t="inlineStr">
        <is>
          <t>科技</t>
        </is>
      </c>
      <c r="G110" s="20" t="inlineStr">
        <is>
          <t>Semiconductors</t>
        </is>
      </c>
      <c r="H110" s="22" t="n">
        <v>16.645</v>
      </c>
      <c r="I110" s="20" t="inlineStr">
        <is>
          <t>大型</t>
        </is>
      </c>
      <c r="J110" s="23" t="n">
        <v>186.59</v>
      </c>
      <c r="K110" s="23" t="n">
        <v>178.35</v>
      </c>
      <c r="L110" s="24">
        <f>J110/K110-1</f>
        <v/>
      </c>
      <c r="M110" s="23" t="n">
        <v>188.35</v>
      </c>
      <c r="N110" s="23" t="n">
        <v>175.01</v>
      </c>
      <c r="O110" s="25" t="n">
        <v>3381800</v>
      </c>
      <c r="P110" s="25" t="n">
        <v>3353510</v>
      </c>
      <c r="Q110" s="26">
        <f>O110/P110</f>
        <v/>
      </c>
      <c r="R110" s="23" t="n">
        <v>177.3804</v>
      </c>
      <c r="S110" s="23" t="n">
        <v>167.3891</v>
      </c>
      <c r="T110" s="23" t="n">
        <v>159.2769</v>
      </c>
      <c r="U110" s="24">
        <f>S110/T110-1</f>
        <v/>
      </c>
      <c r="V110" s="27" t="n">
        <v>1</v>
      </c>
      <c r="W110" s="24">
        <f>J110/R110-1</f>
        <v/>
      </c>
      <c r="X110" s="24">
        <f>J110/S110-1</f>
        <v/>
      </c>
      <c r="Y110" s="23" t="n">
        <v>11.367</v>
      </c>
      <c r="Z110" s="28">
        <f>Y110/J110</f>
        <v/>
      </c>
      <c r="AA110" s="26">
        <f>(J110-R110)/Y110</f>
        <v/>
      </c>
      <c r="AB110" s="26">
        <f>(J110-S110)/Y110</f>
        <v/>
      </c>
      <c r="AC110" s="20">
        <f>IF(ABS(AA110)&lt;=ABS(AB110),"9EMA","21EMA")</f>
        <v/>
      </c>
      <c r="AD110" s="20" t="inlineStr">
        <is>
          <t>9EMA</t>
        </is>
      </c>
      <c r="AE110" s="20" t="inlineStr">
        <is>
          <t>持續在上方</t>
        </is>
      </c>
      <c r="AF110" s="20" t="inlineStr"/>
      <c r="AG110" s="20" t="inlineStr"/>
      <c r="AH110" s="20" t="inlineStr"/>
      <c r="AI110" s="20" t="inlineStr">
        <is>
          <t>2026-08-27</t>
        </is>
      </c>
      <c r="AJ110" s="20" t="n">
        <v>24</v>
      </c>
      <c r="AK110" s="29" t="n">
        <v>5</v>
      </c>
      <c r="AL110" s="20" t="inlineStr">
        <is>
          <t>2026-09-24</t>
        </is>
      </c>
      <c r="AM110" s="23" t="n">
        <v>162.56</v>
      </c>
      <c r="AN110" s="23" t="n">
        <v>146.91</v>
      </c>
      <c r="AO110" s="24">
        <f>IF(ISNUMBER(AN110),AM110/AN110-1,"")</f>
        <v/>
      </c>
      <c r="AP110" s="29" t="n">
        <v>5</v>
      </c>
      <c r="AQ110" s="24">
        <f>IF(ISNUMBER(AM110),J110/AM110-1,"")</f>
        <v/>
      </c>
      <c r="AR110" s="23" t="n">
        <v>186.59</v>
      </c>
      <c r="AS110" s="24">
        <f>J110/AR110-1</f>
        <v/>
      </c>
      <c r="AT110" s="20" t="inlineStr">
        <is>
          <t>上升通道</t>
        </is>
      </c>
      <c r="AU110" s="30" t="n">
        <v>1.0482</v>
      </c>
      <c r="AV110" s="30" t="n">
        <v>1.2638</v>
      </c>
      <c r="AW110" s="30" t="n">
        <v>0.6002999999999999</v>
      </c>
      <c r="AX110" s="30" t="n">
        <v>0.5984</v>
      </c>
      <c r="AY110" s="29" t="n">
        <v>2</v>
      </c>
      <c r="AZ110" s="23" t="n">
        <v>190.64</v>
      </c>
      <c r="BA110" s="23" t="n">
        <v>124.83</v>
      </c>
      <c r="BB110" s="23" t="n">
        <v>164.3325</v>
      </c>
      <c r="BC110" s="30" t="n">
        <v>0.9973</v>
      </c>
      <c r="BD110" s="26">
        <f>IF(M110=N110,0.5,(J110-N110)/(M110-N110))</f>
        <v/>
      </c>
      <c r="BE110" s="31" t="n">
        <v>45.822</v>
      </c>
      <c r="BF110" s="31" t="n">
        <v>41.068</v>
      </c>
      <c r="BG110" s="32">
        <f>100*(0.4*MIN(1,MAX(0,((U110*100)-(0.0))/((2.5)-(0.0))))+0.3*MIN(1,MAX(0,((V110)-(0.6))/((1.0)-(0.6))))+0.3*MIN(1,MAX(0,((BE110)-(0.0))/((15.0)-(0.0)))))</f>
        <v/>
      </c>
      <c r="BH110" s="32">
        <f>100*(0.4*MIN(1,MAX(0,((MIN(ABS(AA110),ABS(AB110)))-(0.75))/((0.0)-(0.75))))+0.3*MIN(1,MAX(0,((BC110)-(1.2))/((0.6)-(1.2))))+0.3*BD110)</f>
        <v/>
      </c>
      <c r="BI110" s="32">
        <f>100*(0.5*MIN(1,MAX(0,((AK110)-(1.0))/((4.0)-(1.0))))+0.3*MIN(1,MAX(0,((IF(ISNUMBER(AO110),AO110,0)*100)-(0.0))/((8.0)-(0.0))))+0.2*MIN(1,MAX(0,((IF(ISNUMBER(AP110),AP110,0))-(25.0))/((5.0)-(25.0)))))</f>
        <v/>
      </c>
      <c r="BJ110" s="32">
        <f>100*(0.35*MIN(1,MAX(0,((ABS(AU110))-(0.3))/((0.05)-(0.3))))+0.3*MIN(1,MAX(0,((AV110)-(0.0))/((0.3)-(0.0))))+0.25*MIN(1,MAX(0,((AW110)-(0.4))/((0.7)-(0.4))))+0.1*IF(AY110&gt;=2,1,0.5))</f>
        <v/>
      </c>
      <c r="BK110" s="33">
        <f>0.25*BG110+0.25*BH110+0.2*BI110+0.3*BJ110</f>
        <v/>
      </c>
      <c r="BL110" s="20" t="inlineStr">
        <is>
          <t>C4 上升三角／重心偏上</t>
        </is>
      </c>
      <c r="BM110" s="20" t="inlineStr"/>
    </row>
    <row r="111">
      <c r="A111" s="20" t="n">
        <v>2</v>
      </c>
      <c r="B111" s="20" t="n">
        <v>10</v>
      </c>
      <c r="C111" s="21" t="inlineStr">
        <is>
          <t>FPI</t>
        </is>
      </c>
      <c r="D111" s="20" t="inlineStr">
        <is>
          <t>Farmland Partners Inc.</t>
        </is>
      </c>
      <c r="E111" s="20" t="inlineStr">
        <is>
          <t>NYSE</t>
        </is>
      </c>
      <c r="F111" s="20" t="inlineStr">
        <is>
          <t>房地產</t>
        </is>
      </c>
      <c r="G111" s="20" t="inlineStr">
        <is>
          <t>Real Estate Investment Trusts</t>
        </is>
      </c>
      <c r="H111" s="22" t="n">
        <v>0.495</v>
      </c>
      <c r="I111" s="20" t="inlineStr">
        <is>
          <t>小型</t>
        </is>
      </c>
      <c r="J111" s="23" t="n">
        <v>11.49</v>
      </c>
      <c r="K111" s="23" t="n">
        <v>11.35</v>
      </c>
      <c r="L111" s="24">
        <f>J111/K111-1</f>
        <v/>
      </c>
      <c r="M111" s="23" t="n">
        <v>11.535</v>
      </c>
      <c r="N111" s="23" t="n">
        <v>11.16</v>
      </c>
      <c r="O111" s="25" t="n">
        <v>1229400</v>
      </c>
      <c r="P111" s="25" t="n">
        <v>678520</v>
      </c>
      <c r="Q111" s="26">
        <f>O111/P111</f>
        <v/>
      </c>
      <c r="R111" s="23" t="n">
        <v>11.059</v>
      </c>
      <c r="S111" s="23" t="n">
        <v>10.8249</v>
      </c>
      <c r="T111" s="23" t="n">
        <v>10.6313</v>
      </c>
      <c r="U111" s="24">
        <f>S111/T111-1</f>
        <v/>
      </c>
      <c r="V111" s="27" t="n">
        <v>1</v>
      </c>
      <c r="W111" s="24">
        <f>J111/R111-1</f>
        <v/>
      </c>
      <c r="X111" s="24">
        <f>J111/S111-1</f>
        <v/>
      </c>
      <c r="Y111" s="23" t="n">
        <v>0.2506</v>
      </c>
      <c r="Z111" s="28">
        <f>Y111/J111</f>
        <v/>
      </c>
      <c r="AA111" s="26">
        <f>(J111-R111)/Y111</f>
        <v/>
      </c>
      <c r="AB111" s="26">
        <f>(J111-S111)/Y111</f>
        <v/>
      </c>
      <c r="AC111" s="20">
        <f>IF(ABS(AA111)&lt;=ABS(AB111),"9EMA","21EMA")</f>
        <v/>
      </c>
      <c r="AD111" s="20" t="inlineStr">
        <is>
          <t>9+21EMA</t>
        </is>
      </c>
      <c r="AE111" s="20" t="inlineStr">
        <is>
          <t>持續在上方</t>
        </is>
      </c>
      <c r="AF111" s="20" t="inlineStr"/>
      <c r="AG111" s="20" t="inlineStr"/>
      <c r="AH111" s="20" t="inlineStr"/>
      <c r="AI111" s="20" t="inlineStr">
        <is>
          <t>2026-08-06</t>
        </is>
      </c>
      <c r="AJ111" s="20" t="n">
        <v>39</v>
      </c>
      <c r="AK111" s="29" t="n">
        <v>4</v>
      </c>
      <c r="AL111" s="20" t="inlineStr">
        <is>
          <t>2026-09-24</t>
        </is>
      </c>
      <c r="AM111" s="23" t="n">
        <v>10.541</v>
      </c>
      <c r="AN111" s="23" t="n">
        <v>10.13</v>
      </c>
      <c r="AO111" s="24">
        <f>IF(ISNUMBER(AN111),AM111/AN111-1,"")</f>
        <v/>
      </c>
      <c r="AP111" s="29" t="n">
        <v>5</v>
      </c>
      <c r="AQ111" s="24">
        <f>IF(ISNUMBER(AM111),J111/AM111-1,"")</f>
        <v/>
      </c>
      <c r="AR111" s="23" t="n">
        <v>11.49</v>
      </c>
      <c r="AS111" s="24">
        <f>J111/AR111-1</f>
        <v/>
      </c>
      <c r="AT111" s="20" t="inlineStr">
        <is>
          <t>上傾收窄（楔形）</t>
        </is>
      </c>
      <c r="AU111" s="30" t="n">
        <v>0.1368</v>
      </c>
      <c r="AV111" s="30" t="n">
        <v>0.2104</v>
      </c>
      <c r="AW111" s="30" t="n">
        <v>0.4804</v>
      </c>
      <c r="AX111" s="30" t="n">
        <v>0.4475</v>
      </c>
      <c r="AY111" s="29" t="n">
        <v>2</v>
      </c>
      <c r="AZ111" s="23" t="n">
        <v>11.535</v>
      </c>
      <c r="BA111" s="23" t="n">
        <v>10.13</v>
      </c>
      <c r="BB111" s="23" t="n">
        <v>10.8049</v>
      </c>
      <c r="BC111" s="30" t="n">
        <v>0.5841</v>
      </c>
      <c r="BD111" s="26">
        <f>IF(M111=N111,0.5,(J111-N111)/(M111-N111))</f>
        <v/>
      </c>
      <c r="BE111" s="31" t="n">
        <v>13.664</v>
      </c>
      <c r="BF111" s="31" t="n">
        <v>8.91</v>
      </c>
      <c r="BG111" s="32">
        <f>100*(0.4*MIN(1,MAX(0,((U111*100)-(0.0))/((2.5)-(0.0))))+0.3*MIN(1,MAX(0,((V111)-(0.6))/((1.0)-(0.6))))+0.3*MIN(1,MAX(0,((BE111)-(0.0))/((15.0)-(0.0)))))</f>
        <v/>
      </c>
      <c r="BH111" s="32">
        <f>100*(0.4*MIN(1,MAX(0,((MIN(ABS(AA111),ABS(AB111)))-(0.75))/((0.0)-(0.75))))+0.3*MIN(1,MAX(0,((BC111)-(1.2))/((0.6)-(1.2))))+0.3*BD111)</f>
        <v/>
      </c>
      <c r="BI111" s="32">
        <f>100*(0.5*MIN(1,MAX(0,((AK111)-(1.0))/((4.0)-(1.0))))+0.3*MIN(1,MAX(0,((IF(ISNUMBER(AO111),AO111,0)*100)-(0.0))/((8.0)-(0.0))))+0.2*MIN(1,MAX(0,((IF(ISNUMBER(AP111),AP111,0))-(25.0))/((5.0)-(25.0)))))</f>
        <v/>
      </c>
      <c r="BJ111" s="32">
        <f>100*(0.35*MIN(1,MAX(0,((ABS(AU111))-(0.3))/((0.05)-(0.3))))+0.3*MIN(1,MAX(0,((AV111)-(0.0))/((0.3)-(0.0))))+0.25*MIN(1,MAX(0,((AW111)-(0.4))/((0.7)-(0.4))))+0.1*IF(AY111&gt;=2,1,0.5))</f>
        <v/>
      </c>
      <c r="BK111" s="33">
        <f>0.25*BG111+0.25*BH111+0.2*BI111+0.3*BJ111</f>
        <v/>
      </c>
      <c r="BL111" s="20" t="inlineStr">
        <is>
          <t>C4 上升三角／重心偏上</t>
        </is>
      </c>
      <c r="BM111" s="20" t="inlineStr"/>
    </row>
    <row r="112">
      <c r="A112" s="20" t="n">
        <v>2</v>
      </c>
      <c r="B112" s="20" t="n">
        <v>11</v>
      </c>
      <c r="C112" s="21" t="inlineStr">
        <is>
          <t>GME</t>
        </is>
      </c>
      <c r="D112" s="20" t="inlineStr">
        <is>
          <t>GameStop Corporation</t>
        </is>
      </c>
      <c r="E112" s="20" t="inlineStr">
        <is>
          <t>NYSE</t>
        </is>
      </c>
      <c r="F112" s="20" t="inlineStr">
        <is>
          <t>非必需消費</t>
        </is>
      </c>
      <c r="G112" s="20" t="inlineStr">
        <is>
          <t>Electronics Distribution</t>
        </is>
      </c>
      <c r="H112" s="22" t="n">
        <v>12.436</v>
      </c>
      <c r="I112" s="20" t="inlineStr">
        <is>
          <t>大型</t>
        </is>
      </c>
      <c r="J112" s="23" t="n">
        <v>24.11</v>
      </c>
      <c r="K112" s="23" t="n">
        <v>24.65</v>
      </c>
      <c r="L112" s="24">
        <f>J112/K112-1</f>
        <v/>
      </c>
      <c r="M112" s="23" t="n">
        <v>24.68</v>
      </c>
      <c r="N112" s="23" t="n">
        <v>23.99</v>
      </c>
      <c r="O112" s="25" t="n">
        <v>10649500</v>
      </c>
      <c r="P112" s="25" t="n">
        <v>10160430</v>
      </c>
      <c r="Q112" s="26">
        <f>O112/P112</f>
        <v/>
      </c>
      <c r="R112" s="23" t="n">
        <v>23.7275</v>
      </c>
      <c r="S112" s="23" t="n">
        <v>22.4812</v>
      </c>
      <c r="T112" s="23" t="n">
        <v>21.5458</v>
      </c>
      <c r="U112" s="24">
        <f>S112/T112-1</f>
        <v/>
      </c>
      <c r="V112" s="27" t="n">
        <v>1</v>
      </c>
      <c r="W112" s="24">
        <f>J112/R112-1</f>
        <v/>
      </c>
      <c r="X112" s="24">
        <f>J112/S112-1</f>
        <v/>
      </c>
      <c r="Y112" s="23" t="n">
        <v>0.8774999999999999</v>
      </c>
      <c r="Z112" s="28">
        <f>Y112/J112</f>
        <v/>
      </c>
      <c r="AA112" s="26">
        <f>(J112-R112)/Y112</f>
        <v/>
      </c>
      <c r="AB112" s="26">
        <f>(J112-S112)/Y112</f>
        <v/>
      </c>
      <c r="AC112" s="20">
        <f>IF(ABS(AA112)&lt;=ABS(AB112),"9EMA","21EMA")</f>
        <v/>
      </c>
      <c r="AD112" s="20" t="inlineStr">
        <is>
          <t>9EMA</t>
        </is>
      </c>
      <c r="AE112" s="20" t="inlineStr">
        <is>
          <t>持續在上方</t>
        </is>
      </c>
      <c r="AF112" s="20" t="inlineStr"/>
      <c r="AG112" s="20" t="inlineStr"/>
      <c r="AH112" s="20" t="inlineStr">
        <is>
          <t>✓</t>
        </is>
      </c>
      <c r="AI112" s="20" t="inlineStr">
        <is>
          <t>2026-09-09</t>
        </is>
      </c>
      <c r="AJ112" s="20" t="n">
        <v>16</v>
      </c>
      <c r="AK112" s="29" t="n">
        <v>4</v>
      </c>
      <c r="AL112" s="20" t="inlineStr">
        <is>
          <t>2026-09-25</t>
        </is>
      </c>
      <c r="AM112" s="23" t="n">
        <v>23.06</v>
      </c>
      <c r="AN112" s="23" t="n">
        <v>18.72</v>
      </c>
      <c r="AO112" s="24">
        <f>IF(ISNUMBER(AN112),AM112/AN112-1,"")</f>
        <v/>
      </c>
      <c r="AP112" s="29" t="n">
        <v>4</v>
      </c>
      <c r="AQ112" s="24">
        <f>IF(ISNUMBER(AM112),J112/AM112-1,"")</f>
        <v/>
      </c>
      <c r="AR112" s="23" t="n">
        <v>25.02</v>
      </c>
      <c r="AS112" s="24">
        <f>J112/AR112-1</f>
        <v/>
      </c>
      <c r="AT112" s="20" t="inlineStr">
        <is>
          <t>上升通道</t>
        </is>
      </c>
      <c r="AU112" s="30" t="n">
        <v>1.3173</v>
      </c>
      <c r="AV112" s="30" t="n">
        <v>1.1279</v>
      </c>
      <c r="AW112" s="30" t="n">
        <v>0.535</v>
      </c>
      <c r="AX112" s="30" t="n">
        <v>0.5477</v>
      </c>
      <c r="AY112" s="29" t="n">
        <v>3</v>
      </c>
      <c r="AZ112" s="23" t="n">
        <v>25.25</v>
      </c>
      <c r="BA112" s="23" t="n">
        <v>17.8</v>
      </c>
      <c r="BB112" s="23" t="n">
        <v>21.7858</v>
      </c>
      <c r="BC112" s="30" t="n">
        <v>0.8682</v>
      </c>
      <c r="BD112" s="26">
        <f>IF(M112=N112,0.5,(J112-N112)/(M112-N112))</f>
        <v/>
      </c>
      <c r="BE112" s="31" t="n">
        <v>32.931</v>
      </c>
      <c r="BF112" s="31" t="n">
        <v>28.177</v>
      </c>
      <c r="BG112" s="32">
        <f>100*(0.4*MIN(1,MAX(0,((U112*100)-(0.0))/((2.5)-(0.0))))+0.3*MIN(1,MAX(0,((V112)-(0.6))/((1.0)-(0.6))))+0.3*MIN(1,MAX(0,((BE112)-(0.0))/((15.0)-(0.0)))))</f>
        <v/>
      </c>
      <c r="BH112" s="32">
        <f>100*(0.4*MIN(1,MAX(0,((MIN(ABS(AA112),ABS(AB112)))-(0.75))/((0.0)-(0.75))))+0.3*MIN(1,MAX(0,((BC112)-(1.2))/((0.6)-(1.2))))+0.3*BD112)</f>
        <v/>
      </c>
      <c r="BI112" s="32">
        <f>100*(0.5*MIN(1,MAX(0,((AK112)-(1.0))/((4.0)-(1.0))))+0.3*MIN(1,MAX(0,((IF(ISNUMBER(AO112),AO112,0)*100)-(0.0))/((8.0)-(0.0))))+0.2*MIN(1,MAX(0,((IF(ISNUMBER(AP112),AP112,0))-(25.0))/((5.0)-(25.0)))))</f>
        <v/>
      </c>
      <c r="BJ112" s="32">
        <f>100*(0.35*MIN(1,MAX(0,((ABS(AU112))-(0.3))/((0.05)-(0.3))))+0.3*MIN(1,MAX(0,((AV112)-(0.0))/((0.3)-(0.0))))+0.25*MIN(1,MAX(0,((AW112)-(0.4))/((0.7)-(0.4))))+0.1*IF(AY112&gt;=2,1,0.5))</f>
        <v/>
      </c>
      <c r="BK112" s="33">
        <f>0.25*BG112+0.25*BH112+0.2*BI112+0.3*BJ112</f>
        <v/>
      </c>
      <c r="BL112" s="20" t="inlineStr">
        <is>
          <t>C4 上升三角／重心偏上</t>
        </is>
      </c>
      <c r="BM112" s="20" t="inlineStr"/>
    </row>
    <row r="113">
      <c r="A113" s="20" t="n">
        <v>2</v>
      </c>
      <c r="B113" s="20" t="n">
        <v>12</v>
      </c>
      <c r="C113" s="21" t="inlineStr">
        <is>
          <t>VSTM</t>
        </is>
      </c>
      <c r="D113" s="20" t="inlineStr">
        <is>
          <t>Verastem Inc.</t>
        </is>
      </c>
      <c r="E113" s="20" t="inlineStr">
        <is>
          <t>NASDAQ</t>
        </is>
      </c>
      <c r="F113" s="20" t="inlineStr">
        <is>
          <t>醫療保健</t>
        </is>
      </c>
      <c r="G113" s="20" t="inlineStr">
        <is>
          <t>Biotechnology: Pharmaceutical Preparations</t>
        </is>
      </c>
      <c r="H113" s="22" t="n">
        <v>0.729</v>
      </c>
      <c r="I113" s="20" t="inlineStr">
        <is>
          <t>小型</t>
        </is>
      </c>
      <c r="J113" s="23" t="n">
        <v>7.9</v>
      </c>
      <c r="K113" s="23" t="n">
        <v>8.050000000000001</v>
      </c>
      <c r="L113" s="24">
        <f>J113/K113-1</f>
        <v/>
      </c>
      <c r="M113" s="23" t="n">
        <v>8.18</v>
      </c>
      <c r="N113" s="23" t="n">
        <v>7.74</v>
      </c>
      <c r="O113" s="25" t="n">
        <v>1762300</v>
      </c>
      <c r="P113" s="25" t="n">
        <v>2313805</v>
      </c>
      <c r="Q113" s="26">
        <f>O113/P113</f>
        <v/>
      </c>
      <c r="R113" s="23" t="n">
        <v>7.8786</v>
      </c>
      <c r="S113" s="23" t="n">
        <v>7.7097</v>
      </c>
      <c r="T113" s="23" t="n">
        <v>7.6014</v>
      </c>
      <c r="U113" s="24">
        <f>S113/T113-1</f>
        <v/>
      </c>
      <c r="V113" s="27" t="n">
        <v>1</v>
      </c>
      <c r="W113" s="24">
        <f>J113/R113-1</f>
        <v/>
      </c>
      <c r="X113" s="24">
        <f>J113/S113-1</f>
        <v/>
      </c>
      <c r="Y113" s="23" t="n">
        <v>0.4538</v>
      </c>
      <c r="Z113" s="28">
        <f>Y113/J113</f>
        <v/>
      </c>
      <c r="AA113" s="26">
        <f>(J113-R113)/Y113</f>
        <v/>
      </c>
      <c r="AB113" s="26">
        <f>(J113-S113)/Y113</f>
        <v/>
      </c>
      <c r="AC113" s="20">
        <f>IF(ABS(AA113)&lt;=ABS(AB113),"9EMA","21EMA")</f>
        <v/>
      </c>
      <c r="AD113" s="20" t="inlineStr">
        <is>
          <t>9+21EMA</t>
        </is>
      </c>
      <c r="AE113" s="20" t="inlineStr">
        <is>
          <t>持續在上方</t>
        </is>
      </c>
      <c r="AF113" s="20" t="inlineStr"/>
      <c r="AG113" s="20" t="inlineStr"/>
      <c r="AH113" s="20" t="inlineStr">
        <is>
          <t>✓</t>
        </is>
      </c>
      <c r="AI113" s="20" t="inlineStr">
        <is>
          <t>2026-07-06</t>
        </is>
      </c>
      <c r="AJ113" s="20" t="n">
        <v>62</v>
      </c>
      <c r="AK113" s="29" t="n">
        <v>5</v>
      </c>
      <c r="AL113" s="20" t="inlineStr">
        <is>
          <t>2026-09-28</t>
        </is>
      </c>
      <c r="AM113" s="23" t="n">
        <v>7.39</v>
      </c>
      <c r="AN113" s="23" t="n">
        <v>7.2</v>
      </c>
      <c r="AO113" s="24">
        <f>IF(ISNUMBER(AN113),AM113/AN113-1,"")</f>
        <v/>
      </c>
      <c r="AP113" s="29" t="n">
        <v>3</v>
      </c>
      <c r="AQ113" s="24">
        <f>IF(ISNUMBER(AM113),J113/AM113-1,"")</f>
        <v/>
      </c>
      <c r="AR113" s="23" t="n">
        <v>8.369999999999999</v>
      </c>
      <c r="AS113" s="24">
        <f>J113/AR113-1</f>
        <v/>
      </c>
      <c r="AT113" s="20" t="inlineStr">
        <is>
          <t>上傾收窄（楔形）</t>
        </is>
      </c>
      <c r="AU113" s="30" t="n">
        <v>0.1392</v>
      </c>
      <c r="AV113" s="30" t="n">
        <v>0.3006</v>
      </c>
      <c r="AW113" s="30" t="n">
        <v>0.4814</v>
      </c>
      <c r="AX113" s="30" t="n">
        <v>0.4994</v>
      </c>
      <c r="AY113" s="29" t="n">
        <v>2</v>
      </c>
      <c r="AZ113" s="23" t="n">
        <v>8.65</v>
      </c>
      <c r="BA113" s="23" t="n">
        <v>7</v>
      </c>
      <c r="BB113" s="23" t="n">
        <v>7.7943</v>
      </c>
      <c r="BC113" s="30" t="n">
        <v>0.9769</v>
      </c>
      <c r="BD113" s="26">
        <f>IF(M113=N113,0.5,(J113-N113)/(M113-N113))</f>
        <v/>
      </c>
      <c r="BE113" s="31" t="n">
        <v>8.565</v>
      </c>
      <c r="BF113" s="31" t="n">
        <v>3.811</v>
      </c>
      <c r="BG113" s="32">
        <f>100*(0.4*MIN(1,MAX(0,((U113*100)-(0.0))/((2.5)-(0.0))))+0.3*MIN(1,MAX(0,((V113)-(0.6))/((1.0)-(0.6))))+0.3*MIN(1,MAX(0,((BE113)-(0.0))/((15.0)-(0.0)))))</f>
        <v/>
      </c>
      <c r="BH113" s="32">
        <f>100*(0.4*MIN(1,MAX(0,((MIN(ABS(AA113),ABS(AB113)))-(0.75))/((0.0)-(0.75))))+0.3*MIN(1,MAX(0,((BC113)-(1.2))/((0.6)-(1.2))))+0.3*BD113)</f>
        <v/>
      </c>
      <c r="BI113" s="32">
        <f>100*(0.5*MIN(1,MAX(0,((AK113)-(1.0))/((4.0)-(1.0))))+0.3*MIN(1,MAX(0,((IF(ISNUMBER(AO113),AO113,0)*100)-(0.0))/((8.0)-(0.0))))+0.2*MIN(1,MAX(0,((IF(ISNUMBER(AP113),AP113,0))-(25.0))/((5.0)-(25.0)))))</f>
        <v/>
      </c>
      <c r="BJ113" s="32">
        <f>100*(0.35*MIN(1,MAX(0,((ABS(AU113))-(0.3))/((0.05)-(0.3))))+0.3*MIN(1,MAX(0,((AV113)-(0.0))/((0.3)-(0.0))))+0.25*MIN(1,MAX(0,((AW113)-(0.4))/((0.7)-(0.4))))+0.1*IF(AY113&gt;=2,1,0.5))</f>
        <v/>
      </c>
      <c r="BK113" s="33">
        <f>0.25*BG113+0.25*BH113+0.2*BI113+0.3*BJ113</f>
        <v/>
      </c>
      <c r="BL113" s="20" t="inlineStr">
        <is>
          <t>C4 上升三角／重心偏上</t>
        </is>
      </c>
      <c r="BM113" s="20" t="inlineStr"/>
    </row>
    <row r="114">
      <c r="A114" s="20" t="n">
        <v>2</v>
      </c>
      <c r="B114" s="20" t="n">
        <v>13</v>
      </c>
      <c r="C114" s="21" t="inlineStr">
        <is>
          <t>HYLN</t>
        </is>
      </c>
      <c r="D114" s="20" t="inlineStr">
        <is>
          <t>Hyliion Holdings Corp.</t>
        </is>
      </c>
      <c r="E114" s="20" t="inlineStr">
        <is>
          <t>AMEX</t>
        </is>
      </c>
      <c r="F114" s="20" t="inlineStr">
        <is>
          <t>非必需消費</t>
        </is>
      </c>
      <c r="G114" s="20" t="inlineStr">
        <is>
          <t>Construction/Ag Equipment/Trucks</t>
        </is>
      </c>
      <c r="H114" s="22" t="n">
        <v>0.745</v>
      </c>
      <c r="I114" s="20" t="inlineStr">
        <is>
          <t>小型</t>
        </is>
      </c>
      <c r="J114" s="23" t="n">
        <v>4.21</v>
      </c>
      <c r="K114" s="23" t="n">
        <v>4.17</v>
      </c>
      <c r="L114" s="24">
        <f>J114/K114-1</f>
        <v/>
      </c>
      <c r="M114" s="23" t="n">
        <v>4.255</v>
      </c>
      <c r="N114" s="23" t="n">
        <v>4</v>
      </c>
      <c r="O114" s="25" t="n">
        <v>1607400</v>
      </c>
      <c r="P114" s="25" t="n">
        <v>1889655</v>
      </c>
      <c r="Q114" s="26">
        <f>O114/P114</f>
        <v/>
      </c>
      <c r="R114" s="23" t="n">
        <v>4.1294</v>
      </c>
      <c r="S114" s="23" t="n">
        <v>4.0268</v>
      </c>
      <c r="T114" s="23" t="n">
        <v>3.971</v>
      </c>
      <c r="U114" s="24">
        <f>S114/T114-1</f>
        <v/>
      </c>
      <c r="V114" s="27" t="n">
        <v>0.9</v>
      </c>
      <c r="W114" s="24">
        <f>J114/R114-1</f>
        <v/>
      </c>
      <c r="X114" s="24">
        <f>J114/S114-1</f>
        <v/>
      </c>
      <c r="Y114" s="23" t="n">
        <v>0.291</v>
      </c>
      <c r="Z114" s="28">
        <f>Y114/J114</f>
        <v/>
      </c>
      <c r="AA114" s="26">
        <f>(J114-R114)/Y114</f>
        <v/>
      </c>
      <c r="AB114" s="26">
        <f>(J114-S114)/Y114</f>
        <v/>
      </c>
      <c r="AC114" s="20">
        <f>IF(ABS(AA114)&lt;=ABS(AB114),"9EMA","21EMA")</f>
        <v/>
      </c>
      <c r="AD114" s="20" t="inlineStr">
        <is>
          <t>9+21EMA</t>
        </is>
      </c>
      <c r="AE114" s="20" t="inlineStr">
        <is>
          <t>持續在上方</t>
        </is>
      </c>
      <c r="AF114" s="20" t="inlineStr"/>
      <c r="AG114" s="20" t="inlineStr"/>
      <c r="AH114" s="20" t="inlineStr">
        <is>
          <t>✓</t>
        </is>
      </c>
      <c r="AI114" s="20" t="inlineStr">
        <is>
          <t>2026-09-09</t>
        </is>
      </c>
      <c r="AJ114" s="20" t="n">
        <v>16</v>
      </c>
      <c r="AK114" s="29" t="n">
        <v>4</v>
      </c>
      <c r="AL114" s="20" t="inlineStr">
        <is>
          <t>2026-09-28</t>
        </is>
      </c>
      <c r="AM114" s="23" t="n">
        <v>3.92</v>
      </c>
      <c r="AN114" s="23" t="n">
        <v>3.62</v>
      </c>
      <c r="AO114" s="24">
        <f>IF(ISNUMBER(AN114),AM114/AN114-1,"")</f>
        <v/>
      </c>
      <c r="AP114" s="29" t="n">
        <v>3</v>
      </c>
      <c r="AQ114" s="24">
        <f>IF(ISNUMBER(AM114),J114/AM114-1,"")</f>
        <v/>
      </c>
      <c r="AR114" s="23" t="n">
        <v>4.47</v>
      </c>
      <c r="AS114" s="24">
        <f>J114/AR114-1</f>
        <v/>
      </c>
      <c r="AT114" s="20" t="inlineStr">
        <is>
          <t>上傾擴張</t>
        </is>
      </c>
      <c r="AU114" s="30" t="n">
        <v>1.3937</v>
      </c>
      <c r="AV114" s="30" t="n">
        <v>0.8771</v>
      </c>
      <c r="AW114" s="30" t="n">
        <v>0.4933</v>
      </c>
      <c r="AX114" s="30" t="n">
        <v>0.5145999999999999</v>
      </c>
      <c r="AY114" s="29" t="n">
        <v>1</v>
      </c>
      <c r="AZ114" s="23" t="n">
        <v>4.68</v>
      </c>
      <c r="BA114" s="23" t="n">
        <v>3.25</v>
      </c>
      <c r="BB114" s="23" t="n">
        <v>3.9554</v>
      </c>
      <c r="BC114" s="30" t="n">
        <v>0.8023</v>
      </c>
      <c r="BD114" s="26">
        <f>IF(M114=N114,0.5,(J114-N114)/(M114-N114))</f>
        <v/>
      </c>
      <c r="BE114" s="31" t="n">
        <v>27.854</v>
      </c>
      <c r="BF114" s="31" t="n">
        <v>23.099</v>
      </c>
      <c r="BG114" s="32">
        <f>100*(0.4*MIN(1,MAX(0,((U114*100)-(0.0))/((2.5)-(0.0))))+0.3*MIN(1,MAX(0,((V114)-(0.6))/((1.0)-(0.6))))+0.3*MIN(1,MAX(0,((BE114)-(0.0))/((15.0)-(0.0)))))</f>
        <v/>
      </c>
      <c r="BH114" s="32">
        <f>100*(0.4*MIN(1,MAX(0,((MIN(ABS(AA114),ABS(AB114)))-(0.75))/((0.0)-(0.75))))+0.3*MIN(1,MAX(0,((BC114)-(1.2))/((0.6)-(1.2))))+0.3*BD114)</f>
        <v/>
      </c>
      <c r="BI114" s="32">
        <f>100*(0.5*MIN(1,MAX(0,((AK114)-(1.0))/((4.0)-(1.0))))+0.3*MIN(1,MAX(0,((IF(ISNUMBER(AO114),AO114,0)*100)-(0.0))/((8.0)-(0.0))))+0.2*MIN(1,MAX(0,((IF(ISNUMBER(AP114),AP114,0))-(25.0))/((5.0)-(25.0)))))</f>
        <v/>
      </c>
      <c r="BJ114" s="32">
        <f>100*(0.35*MIN(1,MAX(0,((ABS(AU114))-(0.3))/((0.05)-(0.3))))+0.3*MIN(1,MAX(0,((AV114)-(0.0))/((0.3)-(0.0))))+0.25*MIN(1,MAX(0,((AW114)-(0.4))/((0.7)-(0.4))))+0.1*IF(AY114&gt;=2,1,0.5))</f>
        <v/>
      </c>
      <c r="BK114" s="33">
        <f>0.25*BG114+0.25*BH114+0.2*BI114+0.3*BJ114</f>
        <v/>
      </c>
      <c r="BL114" s="20" t="inlineStr">
        <is>
          <t>C4 上升三角／重心偏上</t>
        </is>
      </c>
      <c r="BM114" s="20" t="inlineStr"/>
    </row>
    <row r="115">
      <c r="A115" s="20" t="n">
        <v>2</v>
      </c>
      <c r="B115" s="20" t="n">
        <v>14</v>
      </c>
      <c r="C115" s="21" t="inlineStr">
        <is>
          <t>RVTY</t>
        </is>
      </c>
      <c r="D115" s="20" t="inlineStr">
        <is>
          <t>Revvity Inc.</t>
        </is>
      </c>
      <c r="E115" s="20" t="inlineStr">
        <is>
          <t>NYSE</t>
        </is>
      </c>
      <c r="F115" s="20" t="inlineStr">
        <is>
          <t>工業</t>
        </is>
      </c>
      <c r="G115" s="20" t="inlineStr">
        <is>
          <t>Biotechnology: Laboratory Analytical Instruments</t>
        </is>
      </c>
      <c r="H115" s="22" t="n">
        <v>17.06</v>
      </c>
      <c r="I115" s="20" t="inlineStr">
        <is>
          <t>大型</t>
        </is>
      </c>
      <c r="J115" s="23" t="n">
        <v>149.06</v>
      </c>
      <c r="K115" s="23" t="n">
        <v>152.89</v>
      </c>
      <c r="L115" s="24">
        <f>J115/K115-1</f>
        <v/>
      </c>
      <c r="M115" s="23" t="n">
        <v>155.48</v>
      </c>
      <c r="N115" s="23" t="n">
        <v>148.31</v>
      </c>
      <c r="O115" s="25" t="n">
        <v>2483800</v>
      </c>
      <c r="P115" s="25" t="n">
        <v>2281660</v>
      </c>
      <c r="Q115" s="26">
        <f>O115/P115</f>
        <v/>
      </c>
      <c r="R115" s="23" t="n">
        <v>148.1923</v>
      </c>
      <c r="S115" s="23" t="n">
        <v>141.3003</v>
      </c>
      <c r="T115" s="23" t="n">
        <v>135.1836</v>
      </c>
      <c r="U115" s="24">
        <f>S115/T115-1</f>
        <v/>
      </c>
      <c r="V115" s="27" t="n">
        <v>1</v>
      </c>
      <c r="W115" s="24">
        <f>J115/R115-1</f>
        <v/>
      </c>
      <c r="X115" s="24">
        <f>J115/S115-1</f>
        <v/>
      </c>
      <c r="Y115" s="23" t="n">
        <v>4.9197</v>
      </c>
      <c r="Z115" s="28">
        <f>Y115/J115</f>
        <v/>
      </c>
      <c r="AA115" s="26">
        <f>(J115-R115)/Y115</f>
        <v/>
      </c>
      <c r="AB115" s="26">
        <f>(J115-S115)/Y115</f>
        <v/>
      </c>
      <c r="AC115" s="20">
        <f>IF(ABS(AA115)&lt;=ABS(AB115),"9EMA","21EMA")</f>
        <v/>
      </c>
      <c r="AD115" s="20" t="inlineStr">
        <is>
          <t>9EMA</t>
        </is>
      </c>
      <c r="AE115" s="20" t="inlineStr">
        <is>
          <t>持續在上方</t>
        </is>
      </c>
      <c r="AF115" s="20" t="inlineStr"/>
      <c r="AG115" s="20" t="inlineStr"/>
      <c r="AH115" s="20" t="inlineStr">
        <is>
          <t>✓</t>
        </is>
      </c>
      <c r="AI115" s="20" t="inlineStr">
        <is>
          <t>2026-05-06</t>
        </is>
      </c>
      <c r="AJ115" s="20" t="n">
        <v>102</v>
      </c>
      <c r="AK115" s="29" t="n">
        <v>6</v>
      </c>
      <c r="AL115" s="20" t="inlineStr">
        <is>
          <t>2026-09-23</t>
        </is>
      </c>
      <c r="AM115" s="23" t="n">
        <v>140.08</v>
      </c>
      <c r="AN115" s="23" t="n">
        <v>120.9</v>
      </c>
      <c r="AO115" s="24">
        <f>IF(ISNUMBER(AN115),AM115/AN115-1,"")</f>
        <v/>
      </c>
      <c r="AP115" s="29" t="n">
        <v>6</v>
      </c>
      <c r="AQ115" s="24">
        <f>IF(ISNUMBER(AM115),J115/AM115-1,"")</f>
        <v/>
      </c>
      <c r="AR115" s="23" t="n">
        <v>152.89</v>
      </c>
      <c r="AS115" s="24">
        <f>J115/AR115-1</f>
        <v/>
      </c>
      <c r="AT115" s="20" t="inlineStr">
        <is>
          <t>上升通道</t>
        </is>
      </c>
      <c r="AU115" s="30" t="n">
        <v>1.2314</v>
      </c>
      <c r="AV115" s="30" t="n">
        <v>1.4297</v>
      </c>
      <c r="AW115" s="30" t="n">
        <v>0.5003</v>
      </c>
      <c r="AX115" s="30" t="n">
        <v>0.584</v>
      </c>
      <c r="AY115" s="29" t="n">
        <v>1</v>
      </c>
      <c r="AZ115" s="23" t="n">
        <v>158.28</v>
      </c>
      <c r="BA115" s="23" t="n">
        <v>120.9</v>
      </c>
      <c r="BB115" s="23" t="n">
        <v>139.6001</v>
      </c>
      <c r="BC115" s="30" t="n">
        <v>0.986</v>
      </c>
      <c r="BD115" s="26">
        <f>IF(M115=N115,0.5,(J115-N115)/(M115-N115))</f>
        <v/>
      </c>
      <c r="BE115" s="31" t="n">
        <v>22.504</v>
      </c>
      <c r="BF115" s="31" t="n">
        <v>17.75</v>
      </c>
      <c r="BG115" s="32">
        <f>100*(0.4*MIN(1,MAX(0,((U115*100)-(0.0))/((2.5)-(0.0))))+0.3*MIN(1,MAX(0,((V115)-(0.6))/((1.0)-(0.6))))+0.3*MIN(1,MAX(0,((BE115)-(0.0))/((15.0)-(0.0)))))</f>
        <v/>
      </c>
      <c r="BH115" s="32">
        <f>100*(0.4*MIN(1,MAX(0,((MIN(ABS(AA115),ABS(AB115)))-(0.75))/((0.0)-(0.75))))+0.3*MIN(1,MAX(0,((BC115)-(1.2))/((0.6)-(1.2))))+0.3*BD115)</f>
        <v/>
      </c>
      <c r="BI115" s="32">
        <f>100*(0.5*MIN(1,MAX(0,((AK115)-(1.0))/((4.0)-(1.0))))+0.3*MIN(1,MAX(0,((IF(ISNUMBER(AO115),AO115,0)*100)-(0.0))/((8.0)-(0.0))))+0.2*MIN(1,MAX(0,((IF(ISNUMBER(AP115),AP115,0))-(25.0))/((5.0)-(25.0)))))</f>
        <v/>
      </c>
      <c r="BJ115" s="32">
        <f>100*(0.35*MIN(1,MAX(0,((ABS(AU115))-(0.3))/((0.05)-(0.3))))+0.3*MIN(1,MAX(0,((AV115)-(0.0))/((0.3)-(0.0))))+0.25*MIN(1,MAX(0,((AW115)-(0.4))/((0.7)-(0.4))))+0.1*IF(AY115&gt;=2,1,0.5))</f>
        <v/>
      </c>
      <c r="BK115" s="33">
        <f>0.25*BG115+0.25*BH115+0.2*BI115+0.3*BJ115</f>
        <v/>
      </c>
      <c r="BL115" s="20" t="inlineStr">
        <is>
          <t>C4 上升三角／重心偏上</t>
        </is>
      </c>
      <c r="BM115" s="20" t="inlineStr"/>
    </row>
    <row r="116">
      <c r="A116" s="20" t="n">
        <v>2</v>
      </c>
      <c r="B116" s="20" t="n">
        <v>15</v>
      </c>
      <c r="C116" s="21" t="inlineStr">
        <is>
          <t>AXTI</t>
        </is>
      </c>
      <c r="D116" s="20" t="inlineStr">
        <is>
          <t>AXT Inc</t>
        </is>
      </c>
      <c r="E116" s="20" t="inlineStr">
        <is>
          <t>NASDAQ</t>
        </is>
      </c>
      <c r="F116" s="20" t="inlineStr">
        <is>
          <t>科技</t>
        </is>
      </c>
      <c r="G116" s="20" t="inlineStr">
        <is>
          <t>Semiconductors</t>
        </is>
      </c>
      <c r="H116" s="22" t="n">
        <v>5.076</v>
      </c>
      <c r="I116" s="20" t="inlineStr">
        <is>
          <t>中型</t>
        </is>
      </c>
      <c r="J116" s="23" t="n">
        <v>81.81</v>
      </c>
      <c r="K116" s="23" t="n">
        <v>77.41</v>
      </c>
      <c r="L116" s="24">
        <f>J116/K116-1</f>
        <v/>
      </c>
      <c r="M116" s="23" t="n">
        <v>83.3</v>
      </c>
      <c r="N116" s="23" t="n">
        <v>77.25</v>
      </c>
      <c r="O116" s="25" t="n">
        <v>9148000</v>
      </c>
      <c r="P116" s="25" t="n">
        <v>8948690</v>
      </c>
      <c r="Q116" s="26">
        <f>O116/P116</f>
        <v/>
      </c>
      <c r="R116" s="23" t="n">
        <v>76.20569999999999</v>
      </c>
      <c r="S116" s="23" t="n">
        <v>72.24890000000001</v>
      </c>
      <c r="T116" s="23" t="n">
        <v>68.619</v>
      </c>
      <c r="U116" s="24">
        <f>S116/T116-1</f>
        <v/>
      </c>
      <c r="V116" s="27" t="n">
        <v>1</v>
      </c>
      <c r="W116" s="24">
        <f>J116/R116-1</f>
        <v/>
      </c>
      <c r="X116" s="24">
        <f>J116/S116-1</f>
        <v/>
      </c>
      <c r="Y116" s="23" t="n">
        <v>7.114</v>
      </c>
      <c r="Z116" s="28">
        <f>Y116/J116</f>
        <v/>
      </c>
      <c r="AA116" s="26">
        <f>(J116-R116)/Y116</f>
        <v/>
      </c>
      <c r="AB116" s="26">
        <f>(J116-S116)/Y116</f>
        <v/>
      </c>
      <c r="AC116" s="20">
        <f>IF(ABS(AA116)&lt;=ABS(AB116),"9EMA","21EMA")</f>
        <v/>
      </c>
      <c r="AD116" s="20" t="inlineStr">
        <is>
          <t>—</t>
        </is>
      </c>
      <c r="AE116" s="20" t="inlineStr">
        <is>
          <t>持續在上方</t>
        </is>
      </c>
      <c r="AF116" s="20" t="inlineStr"/>
      <c r="AG116" s="20" t="inlineStr"/>
      <c r="AH116" s="20" t="inlineStr"/>
      <c r="AI116" s="20" t="inlineStr">
        <is>
          <t>2026-09-21</t>
        </is>
      </c>
      <c r="AJ116" s="20" t="n">
        <v>8</v>
      </c>
      <c r="AK116" s="29" t="n">
        <v>3</v>
      </c>
      <c r="AL116" s="20" t="inlineStr">
        <is>
          <t>2026-09-24</t>
        </is>
      </c>
      <c r="AM116" s="23" t="n">
        <v>69.59999999999999</v>
      </c>
      <c r="AN116" s="23" t="n">
        <v>56.9</v>
      </c>
      <c r="AO116" s="24">
        <f>IF(ISNUMBER(AN116),AM116/AN116-1,"")</f>
        <v/>
      </c>
      <c r="AP116" s="29" t="n">
        <v>5</v>
      </c>
      <c r="AQ116" s="24">
        <f>IF(ISNUMBER(AM116),J116/AM116-1,"")</f>
        <v/>
      </c>
      <c r="AR116" s="23" t="n">
        <v>81.81</v>
      </c>
      <c r="AS116" s="24">
        <f>J116/AR116-1</f>
        <v/>
      </c>
      <c r="AT116" s="20" t="inlineStr">
        <is>
          <t>上傾收窄（楔形）</t>
        </is>
      </c>
      <c r="AU116" s="30" t="n">
        <v>1.1551</v>
      </c>
      <c r="AV116" s="30" t="n">
        <v>1.4957</v>
      </c>
      <c r="AW116" s="30" t="n">
        <v>0.5007</v>
      </c>
      <c r="AX116" s="30" t="n">
        <v>0.4779</v>
      </c>
      <c r="AY116" s="29" t="n">
        <v>2</v>
      </c>
      <c r="AZ116" s="23" t="n">
        <v>83.98</v>
      </c>
      <c r="BA116" s="23" t="n">
        <v>52.76</v>
      </c>
      <c r="BB116" s="23" t="n">
        <v>68.3914</v>
      </c>
      <c r="BC116" s="30" t="n">
        <v>0.65</v>
      </c>
      <c r="BD116" s="26">
        <f>IF(M116=N116,0.5,(J116-N116)/(M116-N116))</f>
        <v/>
      </c>
      <c r="BE116" s="31" t="n">
        <v>50.557</v>
      </c>
      <c r="BF116" s="31" t="n">
        <v>45.803</v>
      </c>
      <c r="BG116" s="32">
        <f>100*(0.4*MIN(1,MAX(0,((U116*100)-(0.0))/((2.5)-(0.0))))+0.3*MIN(1,MAX(0,((V116)-(0.6))/((1.0)-(0.6))))+0.3*MIN(1,MAX(0,((BE116)-(0.0))/((15.0)-(0.0)))))</f>
        <v/>
      </c>
      <c r="BH116" s="32">
        <f>100*(0.4*MIN(1,MAX(0,((MIN(ABS(AA116),ABS(AB116)))-(0.75))/((0.0)-(0.75))))+0.3*MIN(1,MAX(0,((BC116)-(1.2))/((0.6)-(1.2))))+0.3*BD116)</f>
        <v/>
      </c>
      <c r="BI116" s="32">
        <f>100*(0.5*MIN(1,MAX(0,((AK116)-(1.0))/((4.0)-(1.0))))+0.3*MIN(1,MAX(0,((IF(ISNUMBER(AO116),AO116,0)*100)-(0.0))/((8.0)-(0.0))))+0.2*MIN(1,MAX(0,((IF(ISNUMBER(AP116),AP116,0))-(25.0))/((5.0)-(25.0)))))</f>
        <v/>
      </c>
      <c r="BJ116" s="32">
        <f>100*(0.35*MIN(1,MAX(0,((ABS(AU116))-(0.3))/((0.05)-(0.3))))+0.3*MIN(1,MAX(0,((AV116)-(0.0))/((0.3)-(0.0))))+0.25*MIN(1,MAX(0,((AW116)-(0.4))/((0.7)-(0.4))))+0.1*IF(AY116&gt;=2,1,0.5))</f>
        <v/>
      </c>
      <c r="BK116" s="33">
        <f>0.25*BG116+0.25*BH116+0.2*BI116+0.3*BJ116</f>
        <v/>
      </c>
      <c r="BL116" s="20" t="inlineStr">
        <is>
          <t>C4 上升三角／重心偏上</t>
        </is>
      </c>
      <c r="BM116" s="20" t="inlineStr"/>
    </row>
    <row r="117">
      <c r="A117" s="20" t="n">
        <v>2</v>
      </c>
      <c r="B117" s="20" t="n">
        <v>16</v>
      </c>
      <c r="C117" s="21" t="inlineStr">
        <is>
          <t>EMBC</t>
        </is>
      </c>
      <c r="D117" s="20" t="inlineStr">
        <is>
          <t>Embecta Corp.</t>
        </is>
      </c>
      <c r="E117" s="20" t="inlineStr">
        <is>
          <t>NASDAQ</t>
        </is>
      </c>
      <c r="F117" s="20" t="inlineStr">
        <is>
          <t>醫療保健</t>
        </is>
      </c>
      <c r="G117" s="20" t="inlineStr">
        <is>
          <t>Medical/Dental Instruments</t>
        </is>
      </c>
      <c r="H117" s="22" t="n">
        <v>0.321</v>
      </c>
      <c r="I117" s="20" t="inlineStr">
        <is>
          <t>小型</t>
        </is>
      </c>
      <c r="J117" s="23" t="n">
        <v>5.79</v>
      </c>
      <c r="K117" s="23" t="n">
        <v>5.66</v>
      </c>
      <c r="L117" s="24">
        <f>J117/K117-1</f>
        <v/>
      </c>
      <c r="M117" s="23" t="n">
        <v>5.955</v>
      </c>
      <c r="N117" s="23" t="n">
        <v>5.65</v>
      </c>
      <c r="O117" s="25" t="n">
        <v>1046800</v>
      </c>
      <c r="P117" s="25" t="n">
        <v>1106685</v>
      </c>
      <c r="Q117" s="26">
        <f>O117/P117</f>
        <v/>
      </c>
      <c r="R117" s="23" t="n">
        <v>5.6628</v>
      </c>
      <c r="S117" s="23" t="n">
        <v>5.4533</v>
      </c>
      <c r="T117" s="23" t="n">
        <v>5.2423</v>
      </c>
      <c r="U117" s="24">
        <f>S117/T117-1</f>
        <v/>
      </c>
      <c r="V117" s="27" t="n">
        <v>1</v>
      </c>
      <c r="W117" s="24">
        <f>J117/R117-1</f>
        <v/>
      </c>
      <c r="X117" s="24">
        <f>J117/S117-1</f>
        <v/>
      </c>
      <c r="Y117" s="23" t="n">
        <v>0.2681</v>
      </c>
      <c r="Z117" s="28">
        <f>Y117/J117</f>
        <v/>
      </c>
      <c r="AA117" s="26">
        <f>(J117-R117)/Y117</f>
        <v/>
      </c>
      <c r="AB117" s="26">
        <f>(J117-S117)/Y117</f>
        <v/>
      </c>
      <c r="AC117" s="20">
        <f>IF(ABS(AA117)&lt;=ABS(AB117),"9EMA","21EMA")</f>
        <v/>
      </c>
      <c r="AD117" s="20" t="inlineStr">
        <is>
          <t>9EMA</t>
        </is>
      </c>
      <c r="AE117" s="20" t="inlineStr">
        <is>
          <t>持續在上方</t>
        </is>
      </c>
      <c r="AF117" s="20" t="inlineStr"/>
      <c r="AG117" s="20" t="inlineStr"/>
      <c r="AH117" s="20" t="inlineStr">
        <is>
          <t>✓</t>
        </is>
      </c>
      <c r="AI117" s="20" t="inlineStr">
        <is>
          <t>2026-07-27</t>
        </is>
      </c>
      <c r="AJ117" s="20" t="n">
        <v>47</v>
      </c>
      <c r="AK117" s="29" t="n">
        <v>5</v>
      </c>
      <c r="AL117" s="20" t="inlineStr">
        <is>
          <t>2026-09-10</t>
        </is>
      </c>
      <c r="AM117" s="23" t="n">
        <v>4.87</v>
      </c>
      <c r="AN117" s="23" t="n">
        <v>4.8</v>
      </c>
      <c r="AO117" s="24">
        <f>IF(ISNUMBER(AN117),AM117/AN117-1,"")</f>
        <v/>
      </c>
      <c r="AP117" s="29" t="n">
        <v>15</v>
      </c>
      <c r="AQ117" s="24">
        <f>IF(ISNUMBER(AM117),J117/AM117-1,"")</f>
        <v/>
      </c>
      <c r="AR117" s="23" t="n">
        <v>5.93</v>
      </c>
      <c r="AS117" s="24">
        <f>J117/AR117-1</f>
        <v/>
      </c>
      <c r="AT117" s="20" t="inlineStr">
        <is>
          <t>上升三角（平頂）</t>
        </is>
      </c>
      <c r="AU117" s="30" t="n">
        <v>0.0806</v>
      </c>
      <c r="AV117" s="30" t="n">
        <v>0.1343</v>
      </c>
      <c r="AW117" s="30" t="n">
        <v>0.4782</v>
      </c>
      <c r="AX117" s="30" t="n">
        <v>0.456</v>
      </c>
      <c r="AY117" s="29" t="n">
        <v>6</v>
      </c>
      <c r="AZ117" s="23" t="n">
        <v>5.98</v>
      </c>
      <c r="BA117" s="23" t="n">
        <v>4.8</v>
      </c>
      <c r="BB117" s="23" t="n">
        <v>5.3642</v>
      </c>
      <c r="BC117" s="30" t="n">
        <v>0.8438</v>
      </c>
      <c r="BD117" s="26">
        <f>IF(M117=N117,0.5,(J117-N117)/(M117-N117))</f>
        <v/>
      </c>
      <c r="BE117" s="31" t="n">
        <v>15.04</v>
      </c>
      <c r="BF117" s="31" t="n">
        <v>10.286</v>
      </c>
      <c r="BG117" s="32">
        <f>100*(0.4*MIN(1,MAX(0,((U117*100)-(0.0))/((2.5)-(0.0))))+0.3*MIN(1,MAX(0,((V117)-(0.6))/((1.0)-(0.6))))+0.3*MIN(1,MAX(0,((BE117)-(0.0))/((15.0)-(0.0)))))</f>
        <v/>
      </c>
      <c r="BH117" s="32">
        <f>100*(0.4*MIN(1,MAX(0,((MIN(ABS(AA117),ABS(AB117)))-(0.75))/((0.0)-(0.75))))+0.3*MIN(1,MAX(0,((BC117)-(1.2))/((0.6)-(1.2))))+0.3*BD117)</f>
        <v/>
      </c>
      <c r="BI117" s="32">
        <f>100*(0.5*MIN(1,MAX(0,((AK117)-(1.0))/((4.0)-(1.0))))+0.3*MIN(1,MAX(0,((IF(ISNUMBER(AO117),AO117,0)*100)-(0.0))/((8.0)-(0.0))))+0.2*MIN(1,MAX(0,((IF(ISNUMBER(AP117),AP117,0))-(25.0))/((5.0)-(25.0)))))</f>
        <v/>
      </c>
      <c r="BJ117" s="32">
        <f>100*(0.35*MIN(1,MAX(0,((ABS(AU117))-(0.3))/((0.05)-(0.3))))+0.3*MIN(1,MAX(0,((AV117)-(0.0))/((0.3)-(0.0))))+0.25*MIN(1,MAX(0,((AW117)-(0.4))/((0.7)-(0.4))))+0.1*IF(AY117&gt;=2,1,0.5))</f>
        <v/>
      </c>
      <c r="BK117" s="33">
        <f>0.25*BG117+0.25*BH117+0.2*BI117+0.3*BJ117</f>
        <v/>
      </c>
      <c r="BL117" s="20" t="inlineStr">
        <is>
          <t>C4 上升三角／重心偏上</t>
        </is>
      </c>
      <c r="BM117" s="20" t="inlineStr"/>
    </row>
    <row r="118">
      <c r="A118" s="20" t="n">
        <v>2</v>
      </c>
      <c r="B118" s="20" t="n">
        <v>17</v>
      </c>
      <c r="C118" s="21" t="inlineStr">
        <is>
          <t>FTK</t>
        </is>
      </c>
      <c r="D118" s="20" t="inlineStr">
        <is>
          <t>Flotek Industries Inc.</t>
        </is>
      </c>
      <c r="E118" s="20" t="inlineStr">
        <is>
          <t>NYSE</t>
        </is>
      </c>
      <c r="F118" s="20" t="inlineStr">
        <is>
          <t>工業</t>
        </is>
      </c>
      <c r="G118" s="20" t="inlineStr">
        <is>
          <t>Major Chemicals</t>
        </is>
      </c>
      <c r="H118" s="22" t="n">
        <v>1.062</v>
      </c>
      <c r="I118" s="20" t="inlineStr">
        <is>
          <t>小型</t>
        </is>
      </c>
      <c r="J118" s="23" t="n">
        <v>29.79</v>
      </c>
      <c r="K118" s="23" t="n">
        <v>29.32</v>
      </c>
      <c r="L118" s="24">
        <f>J118/K118-1</f>
        <v/>
      </c>
      <c r="M118" s="23" t="n">
        <v>30.61</v>
      </c>
      <c r="N118" s="23" t="n">
        <v>27.7</v>
      </c>
      <c r="O118" s="25" t="n">
        <v>785800</v>
      </c>
      <c r="P118" s="25" t="n">
        <v>479735</v>
      </c>
      <c r="Q118" s="26">
        <f>O118/P118</f>
        <v/>
      </c>
      <c r="R118" s="23" t="n">
        <v>29.2234</v>
      </c>
      <c r="S118" s="23" t="n">
        <v>28.5134</v>
      </c>
      <c r="T118" s="23" t="n">
        <v>28.1283</v>
      </c>
      <c r="U118" s="24">
        <f>S118/T118-1</f>
        <v/>
      </c>
      <c r="V118" s="27" t="n">
        <v>1</v>
      </c>
      <c r="W118" s="24">
        <f>J118/R118-1</f>
        <v/>
      </c>
      <c r="X118" s="24">
        <f>J118/S118-1</f>
        <v/>
      </c>
      <c r="Y118" s="23" t="n">
        <v>1.8744</v>
      </c>
      <c r="Z118" s="28">
        <f>Y118/J118</f>
        <v/>
      </c>
      <c r="AA118" s="26">
        <f>(J118-R118)/Y118</f>
        <v/>
      </c>
      <c r="AB118" s="26">
        <f>(J118-S118)/Y118</f>
        <v/>
      </c>
      <c r="AC118" s="20">
        <f>IF(ABS(AA118)&lt;=ABS(AB118),"9EMA","21EMA")</f>
        <v/>
      </c>
      <c r="AD118" s="20" t="inlineStr">
        <is>
          <t>9+21EMA</t>
        </is>
      </c>
      <c r="AE118" s="20" t="inlineStr">
        <is>
          <t>持續在上方</t>
        </is>
      </c>
      <c r="AF118" s="20" t="inlineStr"/>
      <c r="AG118" s="20" t="inlineStr"/>
      <c r="AH118" s="20" t="inlineStr">
        <is>
          <t>✓</t>
        </is>
      </c>
      <c r="AI118" s="20" t="inlineStr">
        <is>
          <t>2026-09-16</t>
        </is>
      </c>
      <c r="AJ118" s="20" t="n">
        <v>11</v>
      </c>
      <c r="AK118" s="29" t="n">
        <v>2</v>
      </c>
      <c r="AL118" s="20" t="inlineStr">
        <is>
          <t>2026-09-14</t>
        </is>
      </c>
      <c r="AM118" s="23" t="n">
        <v>25.91</v>
      </c>
      <c r="AN118" s="23" t="n">
        <v>22.15</v>
      </c>
      <c r="AO118" s="24">
        <f>IF(ISNUMBER(AN118),AM118/AN118-1,"")</f>
        <v/>
      </c>
      <c r="AP118" s="29" t="n">
        <v>13</v>
      </c>
      <c r="AQ118" s="24">
        <f>IF(ISNUMBER(AM118),J118/AM118-1,"")</f>
        <v/>
      </c>
      <c r="AR118" s="23" t="n">
        <v>31.4</v>
      </c>
      <c r="AS118" s="24">
        <f>J118/AR118-1</f>
        <v/>
      </c>
      <c r="AT118" s="20" t="inlineStr">
        <is>
          <t>上傾收窄（楔形）</t>
        </is>
      </c>
      <c r="AU118" s="30" t="n">
        <v>1.3722</v>
      </c>
      <c r="AV118" s="30" t="n">
        <v>1.8031</v>
      </c>
      <c r="AW118" s="30" t="n">
        <v>0.5852000000000001</v>
      </c>
      <c r="AX118" s="30" t="n">
        <v>0.5877</v>
      </c>
      <c r="AY118" s="29" t="n">
        <v>3</v>
      </c>
      <c r="AZ118" s="23" t="n">
        <v>31.89</v>
      </c>
      <c r="BA118" s="23" t="n">
        <v>22.15</v>
      </c>
      <c r="BB118" s="23" t="n">
        <v>27.8503</v>
      </c>
      <c r="BC118" s="30" t="n">
        <v>0.4948</v>
      </c>
      <c r="BD118" s="26">
        <f>IF(M118=N118,0.5,(J118-N118)/(M118-N118))</f>
        <v/>
      </c>
      <c r="BE118" s="31" t="n">
        <v>35.469</v>
      </c>
      <c r="BF118" s="31" t="n">
        <v>30.715</v>
      </c>
      <c r="BG118" s="32">
        <f>100*(0.4*MIN(1,MAX(0,((U118*100)-(0.0))/((2.5)-(0.0))))+0.3*MIN(1,MAX(0,((V118)-(0.6))/((1.0)-(0.6))))+0.3*MIN(1,MAX(0,((BE118)-(0.0))/((15.0)-(0.0)))))</f>
        <v/>
      </c>
      <c r="BH118" s="32">
        <f>100*(0.4*MIN(1,MAX(0,((MIN(ABS(AA118),ABS(AB118)))-(0.75))/((0.0)-(0.75))))+0.3*MIN(1,MAX(0,((BC118)-(1.2))/((0.6)-(1.2))))+0.3*BD118)</f>
        <v/>
      </c>
      <c r="BI118" s="32">
        <f>100*(0.5*MIN(1,MAX(0,((AK118)-(1.0))/((4.0)-(1.0))))+0.3*MIN(1,MAX(0,((IF(ISNUMBER(AO118),AO118,0)*100)-(0.0))/((8.0)-(0.0))))+0.2*MIN(1,MAX(0,((IF(ISNUMBER(AP118),AP118,0))-(25.0))/((5.0)-(25.0)))))</f>
        <v/>
      </c>
      <c r="BJ118" s="32">
        <f>100*(0.35*MIN(1,MAX(0,((ABS(AU118))-(0.3))/((0.05)-(0.3))))+0.3*MIN(1,MAX(0,((AV118)-(0.0))/((0.3)-(0.0))))+0.25*MIN(1,MAX(0,((AW118)-(0.4))/((0.7)-(0.4))))+0.1*IF(AY118&gt;=2,1,0.5))</f>
        <v/>
      </c>
      <c r="BK118" s="33">
        <f>0.25*BG118+0.25*BH118+0.2*BI118+0.3*BJ118</f>
        <v/>
      </c>
      <c r="BL118" s="20" t="inlineStr">
        <is>
          <t>C4 上升三角／重心偏上</t>
        </is>
      </c>
      <c r="BM118" s="20" t="inlineStr"/>
    </row>
    <row r="119">
      <c r="A119" s="20" t="n">
        <v>2</v>
      </c>
      <c r="B119" s="20" t="n">
        <v>18</v>
      </c>
      <c r="C119" s="21" t="inlineStr">
        <is>
          <t>ALNT</t>
        </is>
      </c>
      <c r="D119" s="20" t="inlineStr">
        <is>
          <t>Allient Inc.</t>
        </is>
      </c>
      <c r="E119" s="20" t="inlineStr">
        <is>
          <t>NASDAQ</t>
        </is>
      </c>
      <c r="F119" s="20" t="inlineStr">
        <is>
          <t>工業</t>
        </is>
      </c>
      <c r="G119" s="20" t="inlineStr">
        <is>
          <t>Electrical Products</t>
        </is>
      </c>
      <c r="H119" s="22" t="n">
        <v>1.897</v>
      </c>
      <c r="I119" s="20" t="inlineStr">
        <is>
          <t>小型</t>
        </is>
      </c>
      <c r="J119" s="23" t="n">
        <v>115.95</v>
      </c>
      <c r="K119" s="23" t="n">
        <v>111.6</v>
      </c>
      <c r="L119" s="24">
        <f>J119/K119-1</f>
        <v/>
      </c>
      <c r="M119" s="23" t="n">
        <v>116.93</v>
      </c>
      <c r="N119" s="23" t="n">
        <v>107.08</v>
      </c>
      <c r="O119" s="25" t="n">
        <v>210000</v>
      </c>
      <c r="P119" s="25" t="n">
        <v>223800</v>
      </c>
      <c r="Q119" s="26">
        <f>O119/P119</f>
        <v/>
      </c>
      <c r="R119" s="23" t="n">
        <v>111.029</v>
      </c>
      <c r="S119" s="23" t="n">
        <v>105.67</v>
      </c>
      <c r="T119" s="23" t="n">
        <v>100.6022</v>
      </c>
      <c r="U119" s="24">
        <f>S119/T119-1</f>
        <v/>
      </c>
      <c r="V119" s="27" t="n">
        <v>1</v>
      </c>
      <c r="W119" s="24">
        <f>J119/R119-1</f>
        <v/>
      </c>
      <c r="X119" s="24">
        <f>J119/S119-1</f>
        <v/>
      </c>
      <c r="Y119" s="23" t="n">
        <v>5.6038</v>
      </c>
      <c r="Z119" s="28">
        <f>Y119/J119</f>
        <v/>
      </c>
      <c r="AA119" s="26">
        <f>(J119-R119)/Y119</f>
        <v/>
      </c>
      <c r="AB119" s="26">
        <f>(J119-S119)/Y119</f>
        <v/>
      </c>
      <c r="AC119" s="20">
        <f>IF(ABS(AA119)&lt;=ABS(AB119),"9EMA","21EMA")</f>
        <v/>
      </c>
      <c r="AD119" s="20" t="inlineStr">
        <is>
          <t>9EMA</t>
        </is>
      </c>
      <c r="AE119" s="20" t="inlineStr">
        <is>
          <t>持續在上方</t>
        </is>
      </c>
      <c r="AF119" s="20" t="inlineStr"/>
      <c r="AG119" s="20" t="inlineStr"/>
      <c r="AH119" s="20" t="inlineStr"/>
      <c r="AI119" s="20" t="inlineStr">
        <is>
          <t>2026-09-18</t>
        </is>
      </c>
      <c r="AJ119" s="20" t="n">
        <v>9</v>
      </c>
      <c r="AK119" s="29" t="n">
        <v>3</v>
      </c>
      <c r="AL119" s="20" t="inlineStr">
        <is>
          <t>2026-09-14</t>
        </is>
      </c>
      <c r="AM119" s="23" t="n">
        <v>89.29000000000001</v>
      </c>
      <c r="AN119" s="23" t="n">
        <v>85.97</v>
      </c>
      <c r="AO119" s="24">
        <f>IF(ISNUMBER(AN119),AM119/AN119-1,"")</f>
        <v/>
      </c>
      <c r="AP119" s="29" t="n">
        <v>13</v>
      </c>
      <c r="AQ119" s="24">
        <f>IF(ISNUMBER(AM119),J119/AM119-1,"")</f>
        <v/>
      </c>
      <c r="AR119" s="23" t="n">
        <v>116.01</v>
      </c>
      <c r="AS119" s="24">
        <f>J119/AR119-1</f>
        <v/>
      </c>
      <c r="AT119" s="20" t="inlineStr">
        <is>
          <t>上傾收窄（楔形）</t>
        </is>
      </c>
      <c r="AU119" s="30" t="n">
        <v>0.1121</v>
      </c>
      <c r="AV119" s="30" t="n">
        <v>0.3579</v>
      </c>
      <c r="AW119" s="30" t="n">
        <v>0.4848</v>
      </c>
      <c r="AX119" s="30" t="n">
        <v>0.5014</v>
      </c>
      <c r="AY119" s="29" t="n">
        <v>4</v>
      </c>
      <c r="AZ119" s="23" t="n">
        <v>117.53</v>
      </c>
      <c r="BA119" s="23" t="n">
        <v>85.97</v>
      </c>
      <c r="BB119" s="23" t="n">
        <v>101.2713</v>
      </c>
      <c r="BC119" s="30" t="n">
        <v>1.0484</v>
      </c>
      <c r="BD119" s="26">
        <f>IF(M119=N119,0.5,(J119-N119)/(M119-N119))</f>
        <v/>
      </c>
      <c r="BE119" s="31" t="n">
        <v>38.878</v>
      </c>
      <c r="BF119" s="31" t="n">
        <v>34.124</v>
      </c>
      <c r="BG119" s="32">
        <f>100*(0.4*MIN(1,MAX(0,((U119*100)-(0.0))/((2.5)-(0.0))))+0.3*MIN(1,MAX(0,((V119)-(0.6))/((1.0)-(0.6))))+0.3*MIN(1,MAX(0,((BE119)-(0.0))/((15.0)-(0.0)))))</f>
        <v/>
      </c>
      <c r="BH119" s="32">
        <f>100*(0.4*MIN(1,MAX(0,((MIN(ABS(AA119),ABS(AB119)))-(0.75))/((0.0)-(0.75))))+0.3*MIN(1,MAX(0,((BC119)-(1.2))/((0.6)-(1.2))))+0.3*BD119)</f>
        <v/>
      </c>
      <c r="BI119" s="32">
        <f>100*(0.5*MIN(1,MAX(0,((AK119)-(1.0))/((4.0)-(1.0))))+0.3*MIN(1,MAX(0,((IF(ISNUMBER(AO119),AO119,0)*100)-(0.0))/((8.0)-(0.0))))+0.2*MIN(1,MAX(0,((IF(ISNUMBER(AP119),AP119,0))-(25.0))/((5.0)-(25.0)))))</f>
        <v/>
      </c>
      <c r="BJ119" s="32">
        <f>100*(0.35*MIN(1,MAX(0,((ABS(AU119))-(0.3))/((0.05)-(0.3))))+0.3*MIN(1,MAX(0,((AV119)-(0.0))/((0.3)-(0.0))))+0.25*MIN(1,MAX(0,((AW119)-(0.4))/((0.7)-(0.4))))+0.1*IF(AY119&gt;=2,1,0.5))</f>
        <v/>
      </c>
      <c r="BK119" s="33">
        <f>0.25*BG119+0.25*BH119+0.2*BI119+0.3*BJ119</f>
        <v/>
      </c>
      <c r="BL119" s="20" t="inlineStr">
        <is>
          <t>C4 上升三角／重心偏上</t>
        </is>
      </c>
      <c r="BM119" s="20" t="inlineStr"/>
    </row>
    <row r="120">
      <c r="A120" s="20" t="n">
        <v>2</v>
      </c>
      <c r="B120" s="20" t="n">
        <v>19</v>
      </c>
      <c r="C120" s="21" t="inlineStr">
        <is>
          <t>NTSK</t>
        </is>
      </c>
      <c r="D120" s="20" t="inlineStr">
        <is>
          <t>Netskope Inc.</t>
        </is>
      </c>
      <c r="E120" s="20" t="inlineStr">
        <is>
          <t>NASDAQ</t>
        </is>
      </c>
      <c r="F120" s="20" t="inlineStr">
        <is>
          <t>科技</t>
        </is>
      </c>
      <c r="G120" s="20" t="inlineStr">
        <is>
          <t>Computer Software: Prepackaged Software</t>
        </is>
      </c>
      <c r="H120" s="22" t="n">
        <v>7.126</v>
      </c>
      <c r="I120" s="20" t="inlineStr">
        <is>
          <t>中型</t>
        </is>
      </c>
      <c r="J120" s="23" t="n">
        <v>17.85</v>
      </c>
      <c r="K120" s="23" t="n">
        <v>17.44</v>
      </c>
      <c r="L120" s="24">
        <f>J120/K120-1</f>
        <v/>
      </c>
      <c r="M120" s="23" t="n">
        <v>18.18</v>
      </c>
      <c r="N120" s="23" t="n">
        <v>16.863</v>
      </c>
      <c r="O120" s="25" t="n">
        <v>7295600</v>
      </c>
      <c r="P120" s="25" t="n">
        <v>7596135</v>
      </c>
      <c r="Q120" s="26">
        <f>O120/P120</f>
        <v/>
      </c>
      <c r="R120" s="23" t="n">
        <v>17.6351</v>
      </c>
      <c r="S120" s="23" t="n">
        <v>16.8981</v>
      </c>
      <c r="T120" s="23" t="n">
        <v>16.4597</v>
      </c>
      <c r="U120" s="24">
        <f>S120/T120-1</f>
        <v/>
      </c>
      <c r="V120" s="27" t="n">
        <v>1</v>
      </c>
      <c r="W120" s="24">
        <f>J120/R120-1</f>
        <v/>
      </c>
      <c r="X120" s="24">
        <f>J120/S120-1</f>
        <v/>
      </c>
      <c r="Y120" s="23" t="n">
        <v>0.9546</v>
      </c>
      <c r="Z120" s="28">
        <f>Y120/J120</f>
        <v/>
      </c>
      <c r="AA120" s="26">
        <f>(J120-R120)/Y120</f>
        <v/>
      </c>
      <c r="AB120" s="26">
        <f>(J120-S120)/Y120</f>
        <v/>
      </c>
      <c r="AC120" s="20">
        <f>IF(ABS(AA120)&lt;=ABS(AB120),"9EMA","21EMA")</f>
        <v/>
      </c>
      <c r="AD120" s="20" t="inlineStr">
        <is>
          <t>9+21EMA</t>
        </is>
      </c>
      <c r="AE120" s="20" t="inlineStr">
        <is>
          <t>持續在上方</t>
        </is>
      </c>
      <c r="AF120" s="20" t="inlineStr"/>
      <c r="AG120" s="20" t="inlineStr"/>
      <c r="AH120" s="20" t="inlineStr">
        <is>
          <t>✓</t>
        </is>
      </c>
      <c r="AI120" s="20" t="inlineStr">
        <is>
          <t>2026-06-30</t>
        </is>
      </c>
      <c r="AJ120" s="20" t="n">
        <v>65</v>
      </c>
      <c r="AK120" s="29" t="n">
        <v>3</v>
      </c>
      <c r="AL120" s="20" t="inlineStr">
        <is>
          <t>2026-09-02</t>
        </is>
      </c>
      <c r="AM120" s="23" t="n">
        <v>13.26</v>
      </c>
      <c r="AN120" s="23" t="n">
        <v>13.14</v>
      </c>
      <c r="AO120" s="24">
        <f>IF(ISNUMBER(AN120),AM120/AN120-1,"")</f>
        <v/>
      </c>
      <c r="AP120" s="29" t="n">
        <v>20</v>
      </c>
      <c r="AQ120" s="24">
        <f>IF(ISNUMBER(AM120),J120/AM120-1,"")</f>
        <v/>
      </c>
      <c r="AR120" s="23" t="n">
        <v>18.57</v>
      </c>
      <c r="AS120" s="24">
        <f>J120/AR120-1</f>
        <v/>
      </c>
      <c r="AT120" s="20" t="inlineStr">
        <is>
          <t>上傾擴張</t>
        </is>
      </c>
      <c r="AU120" s="30" t="n">
        <v>1.4307</v>
      </c>
      <c r="AV120" s="30" t="n">
        <v>1.0887</v>
      </c>
      <c r="AW120" s="30" t="n">
        <v>0.5572</v>
      </c>
      <c r="AX120" s="30" t="n">
        <v>0.5573</v>
      </c>
      <c r="AY120" s="29" t="n">
        <v>3</v>
      </c>
      <c r="AZ120" s="23" t="n">
        <v>18.96</v>
      </c>
      <c r="BA120" s="23" t="n">
        <v>13.26</v>
      </c>
      <c r="BB120" s="23" t="n">
        <v>16.4361</v>
      </c>
      <c r="BC120" s="30" t="n">
        <v>0.7513</v>
      </c>
      <c r="BD120" s="26">
        <f>IF(M120=N120,0.5,(J120-N120)/(M120-N120))</f>
        <v/>
      </c>
      <c r="BE120" s="31" t="n">
        <v>31.8</v>
      </c>
      <c r="BF120" s="31" t="n">
        <v>27.046</v>
      </c>
      <c r="BG120" s="32">
        <f>100*(0.4*MIN(1,MAX(0,((U120*100)-(0.0))/((2.5)-(0.0))))+0.3*MIN(1,MAX(0,((V120)-(0.6))/((1.0)-(0.6))))+0.3*MIN(1,MAX(0,((BE120)-(0.0))/((15.0)-(0.0)))))</f>
        <v/>
      </c>
      <c r="BH120" s="32">
        <f>100*(0.4*MIN(1,MAX(0,((MIN(ABS(AA120),ABS(AB120)))-(0.75))/((0.0)-(0.75))))+0.3*MIN(1,MAX(0,((BC120)-(1.2))/((0.6)-(1.2))))+0.3*BD120)</f>
        <v/>
      </c>
      <c r="BI120" s="32">
        <f>100*(0.5*MIN(1,MAX(0,((AK120)-(1.0))/((4.0)-(1.0))))+0.3*MIN(1,MAX(0,((IF(ISNUMBER(AO120),AO120,0)*100)-(0.0))/((8.0)-(0.0))))+0.2*MIN(1,MAX(0,((IF(ISNUMBER(AP120),AP120,0))-(25.0))/((5.0)-(25.0)))))</f>
        <v/>
      </c>
      <c r="BJ120" s="32">
        <f>100*(0.35*MIN(1,MAX(0,((ABS(AU120))-(0.3))/((0.05)-(0.3))))+0.3*MIN(1,MAX(0,((AV120)-(0.0))/((0.3)-(0.0))))+0.25*MIN(1,MAX(0,((AW120)-(0.4))/((0.7)-(0.4))))+0.1*IF(AY120&gt;=2,1,0.5))</f>
        <v/>
      </c>
      <c r="BK120" s="33">
        <f>0.25*BG120+0.25*BH120+0.2*BI120+0.3*BJ120</f>
        <v/>
      </c>
      <c r="BL120" s="20" t="inlineStr">
        <is>
          <t>C4 上升三角／重心偏上</t>
        </is>
      </c>
      <c r="BM120" s="20" t="inlineStr"/>
    </row>
    <row r="121">
      <c r="A121" s="20" t="n">
        <v>2</v>
      </c>
      <c r="B121" s="20" t="n">
        <v>20</v>
      </c>
      <c r="C121" s="21" t="inlineStr">
        <is>
          <t>SANM</t>
        </is>
      </c>
      <c r="D121" s="20" t="inlineStr">
        <is>
          <t>Sanmina Corporation</t>
        </is>
      </c>
      <c r="E121" s="20" t="inlineStr">
        <is>
          <t>NASDAQ</t>
        </is>
      </c>
      <c r="F121" s="20" t="inlineStr">
        <is>
          <t>科技</t>
        </is>
      </c>
      <c r="G121" s="20" t="inlineStr">
        <is>
          <t>Electrical Products</t>
        </is>
      </c>
      <c r="H121" s="22" t="n">
        <v>11.519</v>
      </c>
      <c r="I121" s="20" t="inlineStr">
        <is>
          <t>大型</t>
        </is>
      </c>
      <c r="J121" s="23" t="n">
        <v>221.96</v>
      </c>
      <c r="K121" s="23" t="n">
        <v>214.91</v>
      </c>
      <c r="L121" s="24">
        <f>J121/K121-1</f>
        <v/>
      </c>
      <c r="M121" s="23" t="n">
        <v>224.33</v>
      </c>
      <c r="N121" s="23" t="n">
        <v>211.29</v>
      </c>
      <c r="O121" s="25" t="n">
        <v>540300</v>
      </c>
      <c r="P121" s="25" t="n">
        <v>583815</v>
      </c>
      <c r="Q121" s="26">
        <f>O121/P121</f>
        <v/>
      </c>
      <c r="R121" s="23" t="n">
        <v>217.1303</v>
      </c>
      <c r="S121" s="23" t="n">
        <v>210.8233</v>
      </c>
      <c r="T121" s="23" t="n">
        <v>204.7975</v>
      </c>
      <c r="U121" s="24">
        <f>S121/T121-1</f>
        <v/>
      </c>
      <c r="V121" s="27" t="n">
        <v>1</v>
      </c>
      <c r="W121" s="24">
        <f>J121/R121-1</f>
        <v/>
      </c>
      <c r="X121" s="24">
        <f>J121/S121-1</f>
        <v/>
      </c>
      <c r="Y121" s="23" t="n">
        <v>11.042</v>
      </c>
      <c r="Z121" s="28">
        <f>Y121/J121</f>
        <v/>
      </c>
      <c r="AA121" s="26">
        <f>(J121-R121)/Y121</f>
        <v/>
      </c>
      <c r="AB121" s="26">
        <f>(J121-S121)/Y121</f>
        <v/>
      </c>
      <c r="AC121" s="20">
        <f>IF(ABS(AA121)&lt;=ABS(AB121),"9EMA","21EMA")</f>
        <v/>
      </c>
      <c r="AD121" s="20" t="inlineStr">
        <is>
          <t>9+21EMA</t>
        </is>
      </c>
      <c r="AE121" s="20" t="inlineStr">
        <is>
          <t>持續在上方</t>
        </is>
      </c>
      <c r="AF121" s="20" t="inlineStr"/>
      <c r="AG121" s="20" t="inlineStr"/>
      <c r="AH121" s="20" t="inlineStr">
        <is>
          <t>✓</t>
        </is>
      </c>
      <c r="AI121" s="20" t="inlineStr">
        <is>
          <t>2026-09-21</t>
        </is>
      </c>
      <c r="AJ121" s="20" t="n">
        <v>8</v>
      </c>
      <c r="AK121" s="29" t="n">
        <v>4</v>
      </c>
      <c r="AL121" s="20" t="inlineStr">
        <is>
          <t>2026-09-15</t>
        </is>
      </c>
      <c r="AM121" s="23" t="n">
        <v>189.58</v>
      </c>
      <c r="AN121" s="23" t="n">
        <v>182.47</v>
      </c>
      <c r="AO121" s="24">
        <f>IF(ISNUMBER(AN121),AM121/AN121-1,"")</f>
        <v/>
      </c>
      <c r="AP121" s="29" t="n">
        <v>12</v>
      </c>
      <c r="AQ121" s="24">
        <f>IF(ISNUMBER(AM121),J121/AM121-1,"")</f>
        <v/>
      </c>
      <c r="AR121" s="23" t="n">
        <v>224.77</v>
      </c>
      <c r="AS121" s="24">
        <f>J121/AR121-1</f>
        <v/>
      </c>
      <c r="AT121" s="20" t="inlineStr">
        <is>
          <t>上傾擴張</t>
        </is>
      </c>
      <c r="AU121" s="30" t="n">
        <v>0.5738</v>
      </c>
      <c r="AV121" s="30" t="n">
        <v>0.4004</v>
      </c>
      <c r="AW121" s="30" t="n">
        <v>0.4729</v>
      </c>
      <c r="AX121" s="30" t="n">
        <v>0.5024999999999999</v>
      </c>
      <c r="AY121" s="29" t="n">
        <v>1</v>
      </c>
      <c r="AZ121" s="23" t="n">
        <v>232.5</v>
      </c>
      <c r="BA121" s="23" t="n">
        <v>182.47</v>
      </c>
      <c r="BB121" s="23" t="n">
        <v>206.1305</v>
      </c>
      <c r="BC121" s="30" t="n">
        <v>0.8771</v>
      </c>
      <c r="BD121" s="26">
        <f>IF(M121=N121,0.5,(J121-N121)/(M121-N121))</f>
        <v/>
      </c>
      <c r="BE121" s="31" t="n">
        <v>23.259</v>
      </c>
      <c r="BF121" s="31" t="n">
        <v>18.505</v>
      </c>
      <c r="BG121" s="32">
        <f>100*(0.4*MIN(1,MAX(0,((U121*100)-(0.0))/((2.5)-(0.0))))+0.3*MIN(1,MAX(0,((V121)-(0.6))/((1.0)-(0.6))))+0.3*MIN(1,MAX(0,((BE121)-(0.0))/((15.0)-(0.0)))))</f>
        <v/>
      </c>
      <c r="BH121" s="32">
        <f>100*(0.4*MIN(1,MAX(0,((MIN(ABS(AA121),ABS(AB121)))-(0.75))/((0.0)-(0.75))))+0.3*MIN(1,MAX(0,((BC121)-(1.2))/((0.6)-(1.2))))+0.3*BD121)</f>
        <v/>
      </c>
      <c r="BI121" s="32">
        <f>100*(0.5*MIN(1,MAX(0,((AK121)-(1.0))/((4.0)-(1.0))))+0.3*MIN(1,MAX(0,((IF(ISNUMBER(AO121),AO121,0)*100)-(0.0))/((8.0)-(0.0))))+0.2*MIN(1,MAX(0,((IF(ISNUMBER(AP121),AP121,0))-(25.0))/((5.0)-(25.0)))))</f>
        <v/>
      </c>
      <c r="BJ121" s="32">
        <f>100*(0.35*MIN(1,MAX(0,((ABS(AU121))-(0.3))/((0.05)-(0.3))))+0.3*MIN(1,MAX(0,((AV121)-(0.0))/((0.3)-(0.0))))+0.25*MIN(1,MAX(0,((AW121)-(0.4))/((0.7)-(0.4))))+0.1*IF(AY121&gt;=2,1,0.5))</f>
        <v/>
      </c>
      <c r="BK121" s="33">
        <f>0.25*BG121+0.25*BH121+0.2*BI121+0.3*BJ121</f>
        <v/>
      </c>
      <c r="BL121" s="20" t="inlineStr">
        <is>
          <t>C4 上升三角／重心偏上</t>
        </is>
      </c>
      <c r="BM121" s="20" t="inlineStr"/>
    </row>
    <row r="122">
      <c r="A122" s="20" t="n">
        <v>2</v>
      </c>
      <c r="B122" s="20" t="n">
        <v>21</v>
      </c>
      <c r="C122" s="21" t="inlineStr">
        <is>
          <t>DHX</t>
        </is>
      </c>
      <c r="D122" s="20" t="inlineStr">
        <is>
          <t>DHI Group Inc.</t>
        </is>
      </c>
      <c r="E122" s="20" t="inlineStr">
        <is>
          <t>NYSE</t>
        </is>
      </c>
      <c r="F122" s="20" t="inlineStr">
        <is>
          <t>非必需消費</t>
        </is>
      </c>
      <c r="G122" s="20" t="inlineStr">
        <is>
          <t>Business Services</t>
        </is>
      </c>
      <c r="H122" s="22" t="n">
        <v>0.204</v>
      </c>
      <c r="I122" s="20" t="inlineStr">
        <is>
          <t>小型</t>
        </is>
      </c>
      <c r="J122" s="23" t="n">
        <v>4.77</v>
      </c>
      <c r="K122" s="23" t="n">
        <v>4.7</v>
      </c>
      <c r="L122" s="24">
        <f>J122/K122-1</f>
        <v/>
      </c>
      <c r="M122" s="23" t="n">
        <v>4.81</v>
      </c>
      <c r="N122" s="23" t="n">
        <v>4.64</v>
      </c>
      <c r="O122" s="25" t="n">
        <v>194700</v>
      </c>
      <c r="P122" s="25" t="n">
        <v>276325</v>
      </c>
      <c r="Q122" s="26">
        <f>O122/P122</f>
        <v/>
      </c>
      <c r="R122" s="23" t="n">
        <v>4.7389</v>
      </c>
      <c r="S122" s="23" t="n">
        <v>4.6513</v>
      </c>
      <c r="T122" s="23" t="n">
        <v>4.5942</v>
      </c>
      <c r="U122" s="24">
        <f>S122/T122-1</f>
        <v/>
      </c>
      <c r="V122" s="27" t="n">
        <v>1</v>
      </c>
      <c r="W122" s="24">
        <f>J122/R122-1</f>
        <v/>
      </c>
      <c r="X122" s="24">
        <f>J122/S122-1</f>
        <v/>
      </c>
      <c r="Y122" s="23" t="n">
        <v>0.2467</v>
      </c>
      <c r="Z122" s="28">
        <f>Y122/J122</f>
        <v/>
      </c>
      <c r="AA122" s="26">
        <f>(J122-R122)/Y122</f>
        <v/>
      </c>
      <c r="AB122" s="26">
        <f>(J122-S122)/Y122</f>
        <v/>
      </c>
      <c r="AC122" s="20">
        <f>IF(ABS(AA122)&lt;=ABS(AB122),"9EMA","21EMA")</f>
        <v/>
      </c>
      <c r="AD122" s="20" t="inlineStr">
        <is>
          <t>9+21EMA</t>
        </is>
      </c>
      <c r="AE122" s="20" t="inlineStr">
        <is>
          <t>持續在上方</t>
        </is>
      </c>
      <c r="AF122" s="20" t="inlineStr"/>
      <c r="AG122" s="20" t="inlineStr"/>
      <c r="AH122" s="20" t="inlineStr">
        <is>
          <t>✓</t>
        </is>
      </c>
      <c r="AI122" s="20" t="inlineStr">
        <is>
          <t>2026-08-17</t>
        </is>
      </c>
      <c r="AJ122" s="20" t="n">
        <v>32</v>
      </c>
      <c r="AK122" s="29" t="n">
        <v>4</v>
      </c>
      <c r="AL122" s="20" t="inlineStr">
        <is>
          <t>2026-09-28</t>
        </is>
      </c>
      <c r="AM122" s="23" t="n">
        <v>4.54</v>
      </c>
      <c r="AN122" s="23" t="n">
        <v>4.06</v>
      </c>
      <c r="AO122" s="24">
        <f>IF(ISNUMBER(AN122),AM122/AN122-1,"")</f>
        <v/>
      </c>
      <c r="AP122" s="29" t="n">
        <v>3</v>
      </c>
      <c r="AQ122" s="24">
        <f>IF(ISNUMBER(AM122),J122/AM122-1,"")</f>
        <v/>
      </c>
      <c r="AR122" s="23" t="n">
        <v>4.99</v>
      </c>
      <c r="AS122" s="24">
        <f>J122/AR122-1</f>
        <v/>
      </c>
      <c r="AT122" s="20" t="inlineStr">
        <is>
          <t>上傾擴張</t>
        </is>
      </c>
      <c r="AU122" s="30" t="n">
        <v>1.0482</v>
      </c>
      <c r="AV122" s="30" t="n">
        <v>0.7003</v>
      </c>
      <c r="AW122" s="30" t="n">
        <v>0.5691000000000001</v>
      </c>
      <c r="AX122" s="30" t="n">
        <v>0.626</v>
      </c>
      <c r="AY122" s="29" t="n">
        <v>1</v>
      </c>
      <c r="AZ122" s="23" t="n">
        <v>5.19</v>
      </c>
      <c r="BA122" s="23" t="n">
        <v>3.91</v>
      </c>
      <c r="BB122" s="23" t="n">
        <v>4.6384</v>
      </c>
      <c r="BC122" s="30" t="n">
        <v>1.2364</v>
      </c>
      <c r="BD122" s="26">
        <f>IF(M122=N122,0.5,(J122-N122)/(M122-N122))</f>
        <v/>
      </c>
      <c r="BE122" s="31" t="n">
        <v>11.466</v>
      </c>
      <c r="BF122" s="31" t="n">
        <v>6.711</v>
      </c>
      <c r="BG122" s="32">
        <f>100*(0.4*MIN(1,MAX(0,((U122*100)-(0.0))/((2.5)-(0.0))))+0.3*MIN(1,MAX(0,((V122)-(0.6))/((1.0)-(0.6))))+0.3*MIN(1,MAX(0,((BE122)-(0.0))/((15.0)-(0.0)))))</f>
        <v/>
      </c>
      <c r="BH122" s="32">
        <f>100*(0.4*MIN(1,MAX(0,((MIN(ABS(AA122),ABS(AB122)))-(0.75))/((0.0)-(0.75))))+0.3*MIN(1,MAX(0,((BC122)-(1.2))/((0.6)-(1.2))))+0.3*BD122)</f>
        <v/>
      </c>
      <c r="BI122" s="32">
        <f>100*(0.5*MIN(1,MAX(0,((AK122)-(1.0))/((4.0)-(1.0))))+0.3*MIN(1,MAX(0,((IF(ISNUMBER(AO122),AO122,0)*100)-(0.0))/((8.0)-(0.0))))+0.2*MIN(1,MAX(0,((IF(ISNUMBER(AP122),AP122,0))-(25.0))/((5.0)-(25.0)))))</f>
        <v/>
      </c>
      <c r="BJ122" s="32">
        <f>100*(0.35*MIN(1,MAX(0,((ABS(AU122))-(0.3))/((0.05)-(0.3))))+0.3*MIN(1,MAX(0,((AV122)-(0.0))/((0.3)-(0.0))))+0.25*MIN(1,MAX(0,((AW122)-(0.4))/((0.7)-(0.4))))+0.1*IF(AY122&gt;=2,1,0.5))</f>
        <v/>
      </c>
      <c r="BK122" s="33">
        <f>0.25*BG122+0.25*BH122+0.2*BI122+0.3*BJ122</f>
        <v/>
      </c>
      <c r="BL122" s="20" t="inlineStr">
        <is>
          <t>C4 上升三角／重心偏上</t>
        </is>
      </c>
      <c r="BM122" s="20" t="inlineStr"/>
    </row>
    <row r="123">
      <c r="A123" s="20" t="n">
        <v>2</v>
      </c>
      <c r="B123" s="20" t="n">
        <v>22</v>
      </c>
      <c r="C123" s="21" t="inlineStr">
        <is>
          <t>SMCI</t>
        </is>
      </c>
      <c r="D123" s="20" t="inlineStr">
        <is>
          <t>Super Micro Computer Inc.</t>
        </is>
      </c>
      <c r="E123" s="20" t="inlineStr">
        <is>
          <t>NASDAQ</t>
        </is>
      </c>
      <c r="F123" s="20" t="inlineStr">
        <is>
          <t>科技</t>
        </is>
      </c>
      <c r="G123" s="20" t="inlineStr">
        <is>
          <t>Computer Manufacturing</t>
        </is>
      </c>
      <c r="H123" s="22" t="n">
        <v>26.982</v>
      </c>
      <c r="I123" s="20" t="inlineStr">
        <is>
          <t>大型</t>
        </is>
      </c>
      <c r="J123" s="23" t="n">
        <v>41.92</v>
      </c>
      <c r="K123" s="23" t="n">
        <v>41.07</v>
      </c>
      <c r="L123" s="24">
        <f>J123/K123-1</f>
        <v/>
      </c>
      <c r="M123" s="23" t="n">
        <v>42.02</v>
      </c>
      <c r="N123" s="23" t="n">
        <v>40.13</v>
      </c>
      <c r="O123" s="25" t="n">
        <v>26436800</v>
      </c>
      <c r="P123" s="25" t="n">
        <v>38011860</v>
      </c>
      <c r="Q123" s="26">
        <f>O123/P123</f>
        <v/>
      </c>
      <c r="R123" s="23" t="n">
        <v>41.1832</v>
      </c>
      <c r="S123" s="23" t="n">
        <v>39.8536</v>
      </c>
      <c r="T123" s="23" t="n">
        <v>38.6955</v>
      </c>
      <c r="U123" s="24">
        <f>S123/T123-1</f>
        <v/>
      </c>
      <c r="V123" s="27" t="n">
        <v>1</v>
      </c>
      <c r="W123" s="24">
        <f>J123/R123-1</f>
        <v/>
      </c>
      <c r="X123" s="24">
        <f>J123/S123-1</f>
        <v/>
      </c>
      <c r="Y123" s="23" t="n">
        <v>2.2601</v>
      </c>
      <c r="Z123" s="28">
        <f>Y123/J123</f>
        <v/>
      </c>
      <c r="AA123" s="26">
        <f>(J123-R123)/Y123</f>
        <v/>
      </c>
      <c r="AB123" s="26">
        <f>(J123-S123)/Y123</f>
        <v/>
      </c>
      <c r="AC123" s="20">
        <f>IF(ABS(AA123)&lt;=ABS(AB123),"9EMA","21EMA")</f>
        <v/>
      </c>
      <c r="AD123" s="20" t="inlineStr">
        <is>
          <t>9EMA</t>
        </is>
      </c>
      <c r="AE123" s="20" t="inlineStr">
        <is>
          <t>持續在上方</t>
        </is>
      </c>
      <c r="AF123" s="20" t="inlineStr"/>
      <c r="AG123" s="20" t="inlineStr"/>
      <c r="AH123" s="20" t="inlineStr">
        <is>
          <t>✓</t>
        </is>
      </c>
      <c r="AI123" s="20" t="inlineStr">
        <is>
          <t>2026-08-04</t>
        </is>
      </c>
      <c r="AJ123" s="20" t="n">
        <v>41</v>
      </c>
      <c r="AK123" s="29" t="n">
        <v>2</v>
      </c>
      <c r="AL123" s="20" t="inlineStr">
        <is>
          <t>2026-09-24</t>
        </is>
      </c>
      <c r="AM123" s="23" t="n">
        <v>39.85</v>
      </c>
      <c r="AN123" s="23" t="n">
        <v>35.36</v>
      </c>
      <c r="AO123" s="24">
        <f>IF(ISNUMBER(AN123),AM123/AN123-1,"")</f>
        <v/>
      </c>
      <c r="AP123" s="29" t="n">
        <v>5</v>
      </c>
      <c r="AQ123" s="24">
        <f>IF(ISNUMBER(AM123),J123/AM123-1,"")</f>
        <v/>
      </c>
      <c r="AR123" s="23" t="n">
        <v>43.26</v>
      </c>
      <c r="AS123" s="24">
        <f>J123/AR123-1</f>
        <v/>
      </c>
      <c r="AT123" s="20" t="inlineStr">
        <is>
          <t>上升通道</t>
        </is>
      </c>
      <c r="AU123" s="30" t="n">
        <v>0.4988</v>
      </c>
      <c r="AV123" s="30" t="n">
        <v>0.6125</v>
      </c>
      <c r="AW123" s="30" t="n">
        <v>0.499</v>
      </c>
      <c r="AX123" s="30" t="n">
        <v>0.5133</v>
      </c>
      <c r="AY123" s="29" t="n">
        <v>1</v>
      </c>
      <c r="AZ123" s="23" t="n">
        <v>43.76</v>
      </c>
      <c r="BA123" s="23" t="n">
        <v>35.36</v>
      </c>
      <c r="BB123" s="23" t="n">
        <v>39.5512</v>
      </c>
      <c r="BC123" s="30" t="n">
        <v>0.9752</v>
      </c>
      <c r="BD123" s="26">
        <f>IF(M123=N123,0.5,(J123-N123)/(M123-N123))</f>
        <v/>
      </c>
      <c r="BE123" s="31" t="n">
        <v>18.946</v>
      </c>
      <c r="BF123" s="31" t="n">
        <v>14.192</v>
      </c>
      <c r="BG123" s="32">
        <f>100*(0.4*MIN(1,MAX(0,((U123*100)-(0.0))/((2.5)-(0.0))))+0.3*MIN(1,MAX(0,((V123)-(0.6))/((1.0)-(0.6))))+0.3*MIN(1,MAX(0,((BE123)-(0.0))/((15.0)-(0.0)))))</f>
        <v/>
      </c>
      <c r="BH123" s="32">
        <f>100*(0.4*MIN(1,MAX(0,((MIN(ABS(AA123),ABS(AB123)))-(0.75))/((0.0)-(0.75))))+0.3*MIN(1,MAX(0,((BC123)-(1.2))/((0.6)-(1.2))))+0.3*BD123)</f>
        <v/>
      </c>
      <c r="BI123" s="32">
        <f>100*(0.5*MIN(1,MAX(0,((AK123)-(1.0))/((4.0)-(1.0))))+0.3*MIN(1,MAX(0,((IF(ISNUMBER(AO123),AO123,0)*100)-(0.0))/((8.0)-(0.0))))+0.2*MIN(1,MAX(0,((IF(ISNUMBER(AP123),AP123,0))-(25.0))/((5.0)-(25.0)))))</f>
        <v/>
      </c>
      <c r="BJ123" s="32">
        <f>100*(0.35*MIN(1,MAX(0,((ABS(AU123))-(0.3))/((0.05)-(0.3))))+0.3*MIN(1,MAX(0,((AV123)-(0.0))/((0.3)-(0.0))))+0.25*MIN(1,MAX(0,((AW123)-(0.4))/((0.7)-(0.4))))+0.1*IF(AY123&gt;=2,1,0.5))</f>
        <v/>
      </c>
      <c r="BK123" s="33">
        <f>0.25*BG123+0.25*BH123+0.2*BI123+0.3*BJ123</f>
        <v/>
      </c>
      <c r="BL123" s="20" t="inlineStr">
        <is>
          <t>C4 上升三角／重心偏上</t>
        </is>
      </c>
      <c r="BM123" s="20" t="inlineStr"/>
    </row>
    <row r="124">
      <c r="A124" s="20" t="n">
        <v>2</v>
      </c>
      <c r="B124" s="20" t="n">
        <v>23</v>
      </c>
      <c r="C124" s="21" t="inlineStr">
        <is>
          <t>COHU</t>
        </is>
      </c>
      <c r="D124" s="20" t="inlineStr">
        <is>
          <t>Cohu Inc.</t>
        </is>
      </c>
      <c r="E124" s="20" t="inlineStr">
        <is>
          <t>NASDAQ</t>
        </is>
      </c>
      <c r="F124" s="20" t="inlineStr">
        <is>
          <t>工業</t>
        </is>
      </c>
      <c r="G124" s="20" t="inlineStr">
        <is>
          <t>Electrical Products</t>
        </is>
      </c>
      <c r="H124" s="22" t="n">
        <v>3.226</v>
      </c>
      <c r="I124" s="20" t="inlineStr">
        <is>
          <t>中型</t>
        </is>
      </c>
      <c r="J124" s="23" t="n">
        <v>70.34</v>
      </c>
      <c r="K124" s="23" t="n">
        <v>68.14</v>
      </c>
      <c r="L124" s="24">
        <f>J124/K124-1</f>
        <v/>
      </c>
      <c r="M124" s="23" t="n">
        <v>70.69</v>
      </c>
      <c r="N124" s="23" t="n">
        <v>67.37</v>
      </c>
      <c r="O124" s="25" t="n">
        <v>1184400</v>
      </c>
      <c r="P124" s="25" t="n">
        <v>995950</v>
      </c>
      <c r="Q124" s="26">
        <f>O124/P124</f>
        <v/>
      </c>
      <c r="R124" s="23" t="n">
        <v>65.13290000000001</v>
      </c>
      <c r="S124" s="23" t="n">
        <v>60.4249</v>
      </c>
      <c r="T124" s="23" t="n">
        <v>55.9969</v>
      </c>
      <c r="U124" s="24">
        <f>S124/T124-1</f>
        <v/>
      </c>
      <c r="V124" s="27" t="n">
        <v>1</v>
      </c>
      <c r="W124" s="24">
        <f>J124/R124-1</f>
        <v/>
      </c>
      <c r="X124" s="24">
        <f>J124/S124-1</f>
        <v/>
      </c>
      <c r="Y124" s="23" t="n">
        <v>3.5191</v>
      </c>
      <c r="Z124" s="28">
        <f>Y124/J124</f>
        <v/>
      </c>
      <c r="AA124" s="26">
        <f>(J124-R124)/Y124</f>
        <v/>
      </c>
      <c r="AB124" s="26">
        <f>(J124-S124)/Y124</f>
        <v/>
      </c>
      <c r="AC124" s="20">
        <f>IF(ABS(AA124)&lt;=ABS(AB124),"9EMA","21EMA")</f>
        <v/>
      </c>
      <c r="AD124" s="20" t="inlineStr">
        <is>
          <t>—</t>
        </is>
      </c>
      <c r="AE124" s="20" t="inlineStr">
        <is>
          <t>持續在上方</t>
        </is>
      </c>
      <c r="AF124" s="20" t="inlineStr"/>
      <c r="AG124" s="20" t="inlineStr"/>
      <c r="AH124" s="20" t="inlineStr"/>
      <c r="AI124" s="20" t="inlineStr">
        <is>
          <t>2026-09-17</t>
        </is>
      </c>
      <c r="AJ124" s="20" t="n">
        <v>10</v>
      </c>
      <c r="AK124" s="29" t="n">
        <v>3</v>
      </c>
      <c r="AL124" s="20" t="inlineStr">
        <is>
          <t>2026-09-15</t>
        </is>
      </c>
      <c r="AM124" s="23" t="n">
        <v>48.14</v>
      </c>
      <c r="AN124" s="23" t="n">
        <v>43.27</v>
      </c>
      <c r="AO124" s="24">
        <f>IF(ISNUMBER(AN124),AM124/AN124-1,"")</f>
        <v/>
      </c>
      <c r="AP124" s="29" t="n">
        <v>12</v>
      </c>
      <c r="AQ124" s="24">
        <f>IF(ISNUMBER(AM124),J124/AM124-1,"")</f>
        <v/>
      </c>
      <c r="AR124" s="23" t="n">
        <v>70.34</v>
      </c>
      <c r="AS124" s="24">
        <f>J124/AR124-1</f>
        <v/>
      </c>
      <c r="AT124" s="20" t="inlineStr">
        <is>
          <t>上升通道</t>
        </is>
      </c>
      <c r="AU124" s="30" t="n">
        <v>0.7179</v>
      </c>
      <c r="AV124" s="30" t="n">
        <v>0.8653999999999999</v>
      </c>
      <c r="AW124" s="30" t="n">
        <v>0.4714</v>
      </c>
      <c r="AX124" s="30" t="n">
        <v>0.4597</v>
      </c>
      <c r="AY124" s="29" t="n">
        <v>1</v>
      </c>
      <c r="AZ124" s="23" t="n">
        <v>70.69</v>
      </c>
      <c r="BA124" s="23" t="n">
        <v>43.27</v>
      </c>
      <c r="BB124" s="23" t="n">
        <v>56.1952</v>
      </c>
      <c r="BC124" s="30" t="n">
        <v>0.5252</v>
      </c>
      <c r="BD124" s="26">
        <f>IF(M124=N124,0.5,(J124-N124)/(M124-N124))</f>
        <v/>
      </c>
      <c r="BE124" s="31" t="n">
        <v>64.039</v>
      </c>
      <c r="BF124" s="31" t="n">
        <v>59.284</v>
      </c>
      <c r="BG124" s="32">
        <f>100*(0.4*MIN(1,MAX(0,((U124*100)-(0.0))/((2.5)-(0.0))))+0.3*MIN(1,MAX(0,((V124)-(0.6))/((1.0)-(0.6))))+0.3*MIN(1,MAX(0,((BE124)-(0.0))/((15.0)-(0.0)))))</f>
        <v/>
      </c>
      <c r="BH124" s="32">
        <f>100*(0.4*MIN(1,MAX(0,((MIN(ABS(AA124),ABS(AB124)))-(0.75))/((0.0)-(0.75))))+0.3*MIN(1,MAX(0,((BC124)-(1.2))/((0.6)-(1.2))))+0.3*BD124)</f>
        <v/>
      </c>
      <c r="BI124" s="32">
        <f>100*(0.5*MIN(1,MAX(0,((AK124)-(1.0))/((4.0)-(1.0))))+0.3*MIN(1,MAX(0,((IF(ISNUMBER(AO124),AO124,0)*100)-(0.0))/((8.0)-(0.0))))+0.2*MIN(1,MAX(0,((IF(ISNUMBER(AP124),AP124,0))-(25.0))/((5.0)-(25.0)))))</f>
        <v/>
      </c>
      <c r="BJ124" s="32">
        <f>100*(0.35*MIN(1,MAX(0,((ABS(AU124))-(0.3))/((0.05)-(0.3))))+0.3*MIN(1,MAX(0,((AV124)-(0.0))/((0.3)-(0.0))))+0.25*MIN(1,MAX(0,((AW124)-(0.4))/((0.7)-(0.4))))+0.1*IF(AY124&gt;=2,1,0.5))</f>
        <v/>
      </c>
      <c r="BK124" s="33">
        <f>0.25*BG124+0.25*BH124+0.2*BI124+0.3*BJ124</f>
        <v/>
      </c>
      <c r="BL124" s="20" t="inlineStr">
        <is>
          <t>C4 上升三角／重心偏上</t>
        </is>
      </c>
      <c r="BM124" s="20" t="inlineStr"/>
    </row>
    <row r="125">
      <c r="A125" s="20" t="n">
        <v>2</v>
      </c>
      <c r="B125" s="20" t="n">
        <v>24</v>
      </c>
      <c r="C125" s="21" t="inlineStr">
        <is>
          <t>VLGEA</t>
        </is>
      </c>
      <c r="D125" s="20" t="inlineStr">
        <is>
          <t>Village Super Market Inc.</t>
        </is>
      </c>
      <c r="E125" s="20" t="inlineStr">
        <is>
          <t>NASDAQ</t>
        </is>
      </c>
      <c r="F125" s="20" t="inlineStr">
        <is>
          <t>必需消費</t>
        </is>
      </c>
      <c r="G125" s="20" t="inlineStr">
        <is>
          <t>Food Chains</t>
        </is>
      </c>
      <c r="H125" s="22" t="n">
        <v>0.673</v>
      </c>
      <c r="I125" s="20" t="inlineStr">
        <is>
          <t>小型</t>
        </is>
      </c>
      <c r="J125" s="23" t="n">
        <v>45.53</v>
      </c>
      <c r="K125" s="23" t="n">
        <v>45.42</v>
      </c>
      <c r="L125" s="24">
        <f>J125/K125-1</f>
        <v/>
      </c>
      <c r="M125" s="23" t="n">
        <v>45.97</v>
      </c>
      <c r="N125" s="23" t="n">
        <v>44.63</v>
      </c>
      <c r="O125" s="25" t="n">
        <v>33800</v>
      </c>
      <c r="P125" s="25" t="n">
        <v>46210</v>
      </c>
      <c r="Q125" s="26">
        <f>O125/P125</f>
        <v/>
      </c>
      <c r="R125" s="23" t="n">
        <v>45.2749</v>
      </c>
      <c r="S125" s="23" t="n">
        <v>44.6622</v>
      </c>
      <c r="T125" s="23" t="n">
        <v>44.0895</v>
      </c>
      <c r="U125" s="24">
        <f>S125/T125-1</f>
        <v/>
      </c>
      <c r="V125" s="27" t="n">
        <v>1</v>
      </c>
      <c r="W125" s="24">
        <f>J125/R125-1</f>
        <v/>
      </c>
      <c r="X125" s="24">
        <f>J125/S125-1</f>
        <v/>
      </c>
      <c r="Y125" s="23" t="n">
        <v>1.1749</v>
      </c>
      <c r="Z125" s="28">
        <f>Y125/J125</f>
        <v/>
      </c>
      <c r="AA125" s="26">
        <f>(J125-R125)/Y125</f>
        <v/>
      </c>
      <c r="AB125" s="26">
        <f>(J125-S125)/Y125</f>
        <v/>
      </c>
      <c r="AC125" s="20">
        <f>IF(ABS(AA125)&lt;=ABS(AB125),"9EMA","21EMA")</f>
        <v/>
      </c>
      <c r="AD125" s="20" t="inlineStr">
        <is>
          <t>9+21EMA</t>
        </is>
      </c>
      <c r="AE125" s="20" t="inlineStr">
        <is>
          <t>持續在上方</t>
        </is>
      </c>
      <c r="AF125" s="20" t="inlineStr"/>
      <c r="AG125" s="20" t="inlineStr"/>
      <c r="AH125" s="20" t="inlineStr">
        <is>
          <t>✓</t>
        </is>
      </c>
      <c r="AI125" s="20" t="inlineStr">
        <is>
          <t>2026-09-14</t>
        </is>
      </c>
      <c r="AJ125" s="20" t="n">
        <v>13</v>
      </c>
      <c r="AK125" s="29" t="n">
        <v>3</v>
      </c>
      <c r="AL125" s="20" t="inlineStr">
        <is>
          <t>2026-09-18</t>
        </is>
      </c>
      <c r="AM125" s="23" t="n">
        <v>43.38</v>
      </c>
      <c r="AN125" s="23" t="n">
        <v>42.04</v>
      </c>
      <c r="AO125" s="24">
        <f>IF(ISNUMBER(AN125),AM125/AN125-1,"")</f>
        <v/>
      </c>
      <c r="AP125" s="29" t="n">
        <v>9</v>
      </c>
      <c r="AQ125" s="24">
        <f>IF(ISNUMBER(AM125),J125/AM125-1,"")</f>
        <v/>
      </c>
      <c r="AR125" s="23" t="n">
        <v>46.11</v>
      </c>
      <c r="AS125" s="24">
        <f>J125/AR125-1</f>
        <v/>
      </c>
      <c r="AT125" s="20" t="inlineStr">
        <is>
          <t>上升通道</t>
        </is>
      </c>
      <c r="AU125" s="30" t="n">
        <v>0.2573</v>
      </c>
      <c r="AV125" s="30" t="n">
        <v>0.3182</v>
      </c>
      <c r="AW125" s="30" t="n">
        <v>0.4922</v>
      </c>
      <c r="AX125" s="30" t="n">
        <v>0.4464</v>
      </c>
      <c r="AY125" s="29" t="n">
        <v>2</v>
      </c>
      <c r="AZ125" s="23" t="n">
        <v>46.8</v>
      </c>
      <c r="BA125" s="23" t="n">
        <v>41.68</v>
      </c>
      <c r="BB125" s="23" t="n">
        <v>44.2</v>
      </c>
      <c r="BC125" s="30" t="n">
        <v>0.5873</v>
      </c>
      <c r="BD125" s="26">
        <f>IF(M125=N125,0.5,(J125-N125)/(M125-N125))</f>
        <v/>
      </c>
      <c r="BE125" s="31" t="n">
        <v>10.687</v>
      </c>
      <c r="BF125" s="31" t="n">
        <v>5.933</v>
      </c>
      <c r="BG125" s="32">
        <f>100*(0.4*MIN(1,MAX(0,((U125*100)-(0.0))/((2.5)-(0.0))))+0.3*MIN(1,MAX(0,((V125)-(0.6))/((1.0)-(0.6))))+0.3*MIN(1,MAX(0,((BE125)-(0.0))/((15.0)-(0.0)))))</f>
        <v/>
      </c>
      <c r="BH125" s="32">
        <f>100*(0.4*MIN(1,MAX(0,((MIN(ABS(AA125),ABS(AB125)))-(0.75))/((0.0)-(0.75))))+0.3*MIN(1,MAX(0,((BC125)-(1.2))/((0.6)-(1.2))))+0.3*BD125)</f>
        <v/>
      </c>
      <c r="BI125" s="32">
        <f>100*(0.5*MIN(1,MAX(0,((AK125)-(1.0))/((4.0)-(1.0))))+0.3*MIN(1,MAX(0,((IF(ISNUMBER(AO125),AO125,0)*100)-(0.0))/((8.0)-(0.0))))+0.2*MIN(1,MAX(0,((IF(ISNUMBER(AP125),AP125,0))-(25.0))/((5.0)-(25.0)))))</f>
        <v/>
      </c>
      <c r="BJ125" s="32">
        <f>100*(0.35*MIN(1,MAX(0,((ABS(AU125))-(0.3))/((0.05)-(0.3))))+0.3*MIN(1,MAX(0,((AV125)-(0.0))/((0.3)-(0.0))))+0.25*MIN(1,MAX(0,((AW125)-(0.4))/((0.7)-(0.4))))+0.1*IF(AY125&gt;=2,1,0.5))</f>
        <v/>
      </c>
      <c r="BK125" s="33">
        <f>0.25*BG125+0.25*BH125+0.2*BI125+0.3*BJ125</f>
        <v/>
      </c>
      <c r="BL125" s="20" t="inlineStr">
        <is>
          <t>C4 上升三角／重心偏上</t>
        </is>
      </c>
      <c r="BM125" s="20" t="inlineStr"/>
    </row>
    <row r="126">
      <c r="A126" s="20" t="n">
        <v>2</v>
      </c>
      <c r="B126" s="20" t="n">
        <v>25</v>
      </c>
      <c r="C126" s="21" t="inlineStr">
        <is>
          <t>AEHR</t>
        </is>
      </c>
      <c r="D126" s="20" t="inlineStr">
        <is>
          <t>Aehr Test Systems</t>
        </is>
      </c>
      <c r="E126" s="20" t="inlineStr">
        <is>
          <t>NASDAQ</t>
        </is>
      </c>
      <c r="F126" s="20" t="inlineStr">
        <is>
          <t>工業</t>
        </is>
      </c>
      <c r="G126" s="20" t="inlineStr">
        <is>
          <t>Electrical Products</t>
        </is>
      </c>
      <c r="H126" s="22" t="n">
        <v>3.254</v>
      </c>
      <c r="I126" s="20" t="inlineStr">
        <is>
          <t>中型</t>
        </is>
      </c>
      <c r="J126" s="23" t="n">
        <v>101.6</v>
      </c>
      <c r="K126" s="23" t="n">
        <v>99.62</v>
      </c>
      <c r="L126" s="24">
        <f>J126/K126-1</f>
        <v/>
      </c>
      <c r="M126" s="23" t="n">
        <v>103.73</v>
      </c>
      <c r="N126" s="23" t="n">
        <v>98.33</v>
      </c>
      <c r="O126" s="25" t="n">
        <v>1626200</v>
      </c>
      <c r="P126" s="25" t="n">
        <v>2719200</v>
      </c>
      <c r="Q126" s="26">
        <f>O126/P126</f>
        <v/>
      </c>
      <c r="R126" s="23" t="n">
        <v>98.6842</v>
      </c>
      <c r="S126" s="23" t="n">
        <v>96.0729</v>
      </c>
      <c r="T126" s="23" t="n">
        <v>93.12439999999999</v>
      </c>
      <c r="U126" s="24">
        <f>S126/T126-1</f>
        <v/>
      </c>
      <c r="V126" s="27" t="n">
        <v>1</v>
      </c>
      <c r="W126" s="24">
        <f>J126/R126-1</f>
        <v/>
      </c>
      <c r="X126" s="24">
        <f>J126/S126-1</f>
        <v/>
      </c>
      <c r="Y126" s="23" t="n">
        <v>8.5433</v>
      </c>
      <c r="Z126" s="28">
        <f>Y126/J126</f>
        <v/>
      </c>
      <c r="AA126" s="26">
        <f>(J126-R126)/Y126</f>
        <v/>
      </c>
      <c r="AB126" s="26">
        <f>(J126-S126)/Y126</f>
        <v/>
      </c>
      <c r="AC126" s="20">
        <f>IF(ABS(AA126)&lt;=ABS(AB126),"9EMA","21EMA")</f>
        <v/>
      </c>
      <c r="AD126" s="20" t="inlineStr">
        <is>
          <t>9EMA</t>
        </is>
      </c>
      <c r="AE126" s="20" t="inlineStr">
        <is>
          <t>持續在上方</t>
        </is>
      </c>
      <c r="AF126" s="20" t="inlineStr"/>
      <c r="AG126" s="20" t="inlineStr"/>
      <c r="AH126" s="20" t="inlineStr">
        <is>
          <t>✓</t>
        </is>
      </c>
      <c r="AI126" s="20" t="inlineStr">
        <is>
          <t>2026-09-22</t>
        </is>
      </c>
      <c r="AJ126" s="20" t="n">
        <v>7</v>
      </c>
      <c r="AK126" s="29" t="n">
        <v>3</v>
      </c>
      <c r="AL126" s="20" t="inlineStr">
        <is>
          <t>2026-09-15</t>
        </is>
      </c>
      <c r="AM126" s="23" t="n">
        <v>80.95</v>
      </c>
      <c r="AN126" s="23" t="n">
        <v>74.23</v>
      </c>
      <c r="AO126" s="24">
        <f>IF(ISNUMBER(AN126),AM126/AN126-1,"")</f>
        <v/>
      </c>
      <c r="AP126" s="29" t="n">
        <v>12</v>
      </c>
      <c r="AQ126" s="24">
        <f>IF(ISNUMBER(AM126),J126/AM126-1,"")</f>
        <v/>
      </c>
      <c r="AR126" s="23" t="n">
        <v>104.39</v>
      </c>
      <c r="AS126" s="24">
        <f>J126/AR126-1</f>
        <v/>
      </c>
      <c r="AT126" s="20" t="inlineStr">
        <is>
          <t>上升通道</t>
        </is>
      </c>
      <c r="AU126" s="30" t="n">
        <v>0.8272</v>
      </c>
      <c r="AV126" s="30" t="n">
        <v>0.7349</v>
      </c>
      <c r="AW126" s="30" t="n">
        <v>0.466</v>
      </c>
      <c r="AX126" s="30" t="n">
        <v>0.4937</v>
      </c>
      <c r="AY126" s="29" t="n">
        <v>1</v>
      </c>
      <c r="AZ126" s="23" t="n">
        <v>108.4</v>
      </c>
      <c r="BA126" s="23" t="n">
        <v>74.23</v>
      </c>
      <c r="BB126" s="23" t="n">
        <v>90.1541</v>
      </c>
      <c r="BC126" s="30" t="n">
        <v>0.9607</v>
      </c>
      <c r="BD126" s="26">
        <f>IF(M126=N126,0.5,(J126-N126)/(M126-N126))</f>
        <v/>
      </c>
      <c r="BE126" s="31" t="n">
        <v>37.409</v>
      </c>
      <c r="BF126" s="31" t="n">
        <v>32.654</v>
      </c>
      <c r="BG126" s="32">
        <f>100*(0.4*MIN(1,MAX(0,((U126*100)-(0.0))/((2.5)-(0.0))))+0.3*MIN(1,MAX(0,((V126)-(0.6))/((1.0)-(0.6))))+0.3*MIN(1,MAX(0,((BE126)-(0.0))/((15.0)-(0.0)))))</f>
        <v/>
      </c>
      <c r="BH126" s="32">
        <f>100*(0.4*MIN(1,MAX(0,((MIN(ABS(AA126),ABS(AB126)))-(0.75))/((0.0)-(0.75))))+0.3*MIN(1,MAX(0,((BC126)-(1.2))/((0.6)-(1.2))))+0.3*BD126)</f>
        <v/>
      </c>
      <c r="BI126" s="32">
        <f>100*(0.5*MIN(1,MAX(0,((AK126)-(1.0))/((4.0)-(1.0))))+0.3*MIN(1,MAX(0,((IF(ISNUMBER(AO126),AO126,0)*100)-(0.0))/((8.0)-(0.0))))+0.2*MIN(1,MAX(0,((IF(ISNUMBER(AP126),AP126,0))-(25.0))/((5.0)-(25.0)))))</f>
        <v/>
      </c>
      <c r="BJ126" s="32">
        <f>100*(0.35*MIN(1,MAX(0,((ABS(AU126))-(0.3))/((0.05)-(0.3))))+0.3*MIN(1,MAX(0,((AV126)-(0.0))/((0.3)-(0.0))))+0.25*MIN(1,MAX(0,((AW126)-(0.4))/((0.7)-(0.4))))+0.1*IF(AY126&gt;=2,1,0.5))</f>
        <v/>
      </c>
      <c r="BK126" s="33">
        <f>0.25*BG126+0.25*BH126+0.2*BI126+0.3*BJ126</f>
        <v/>
      </c>
      <c r="BL126" s="20" t="inlineStr">
        <is>
          <t>C4 上升三角／重心偏上</t>
        </is>
      </c>
      <c r="BM126" s="20" t="inlineStr"/>
    </row>
    <row r="127">
      <c r="A127" s="20" t="n">
        <v>2</v>
      </c>
      <c r="B127" s="20" t="n">
        <v>26</v>
      </c>
      <c r="C127" s="21" t="inlineStr">
        <is>
          <t>SITM</t>
        </is>
      </c>
      <c r="D127" s="20" t="inlineStr">
        <is>
          <t>SiTime Corporation</t>
        </is>
      </c>
      <c r="E127" s="20" t="inlineStr">
        <is>
          <t>NASDAQ</t>
        </is>
      </c>
      <c r="F127" s="20" t="inlineStr">
        <is>
          <t>科技</t>
        </is>
      </c>
      <c r="G127" s="20" t="inlineStr">
        <is>
          <t>Semiconductors</t>
        </is>
      </c>
      <c r="H127" s="22" t="n">
        <v>19.607</v>
      </c>
      <c r="I127" s="20" t="inlineStr">
        <is>
          <t>大型</t>
        </is>
      </c>
      <c r="J127" s="23" t="n">
        <v>678.87</v>
      </c>
      <c r="K127" s="23" t="n">
        <v>652.03</v>
      </c>
      <c r="L127" s="24">
        <f>J127/K127-1</f>
        <v/>
      </c>
      <c r="M127" s="23" t="n">
        <v>695.54</v>
      </c>
      <c r="N127" s="23" t="n">
        <v>642.026</v>
      </c>
      <c r="O127" s="25" t="n">
        <v>417500</v>
      </c>
      <c r="P127" s="25" t="n">
        <v>471555</v>
      </c>
      <c r="Q127" s="26">
        <f>O127/P127</f>
        <v/>
      </c>
      <c r="R127" s="23" t="n">
        <v>645.9723</v>
      </c>
      <c r="S127" s="23" t="n">
        <v>626.4704</v>
      </c>
      <c r="T127" s="23" t="n">
        <v>605.4768</v>
      </c>
      <c r="U127" s="24">
        <f>S127/T127-1</f>
        <v/>
      </c>
      <c r="V127" s="27" t="n">
        <v>1</v>
      </c>
      <c r="W127" s="24">
        <f>J127/R127-1</f>
        <v/>
      </c>
      <c r="X127" s="24">
        <f>J127/S127-1</f>
        <v/>
      </c>
      <c r="Y127" s="23" t="n">
        <v>38.7024</v>
      </c>
      <c r="Z127" s="28">
        <f>Y127/J127</f>
        <v/>
      </c>
      <c r="AA127" s="26">
        <f>(J127-R127)/Y127</f>
        <v/>
      </c>
      <c r="AB127" s="26">
        <f>(J127-S127)/Y127</f>
        <v/>
      </c>
      <c r="AC127" s="20">
        <f>IF(ABS(AA127)&lt;=ABS(AB127),"9EMA","21EMA")</f>
        <v/>
      </c>
      <c r="AD127" s="20" t="inlineStr">
        <is>
          <t>9EMA</t>
        </is>
      </c>
      <c r="AE127" s="20" t="inlineStr">
        <is>
          <t>持續在上方</t>
        </is>
      </c>
      <c r="AF127" s="20" t="inlineStr"/>
      <c r="AG127" s="20" t="inlineStr"/>
      <c r="AH127" s="20" t="inlineStr"/>
      <c r="AI127" s="20" t="inlineStr">
        <is>
          <t>2026-09-21</t>
        </is>
      </c>
      <c r="AJ127" s="20" t="n">
        <v>8</v>
      </c>
      <c r="AK127" s="29" t="n">
        <v>3</v>
      </c>
      <c r="AL127" s="20" t="inlineStr">
        <is>
          <t>2026-09-24</t>
        </is>
      </c>
      <c r="AM127" s="23" t="n">
        <v>578.53</v>
      </c>
      <c r="AN127" s="23" t="n">
        <v>539.54</v>
      </c>
      <c r="AO127" s="24">
        <f>IF(ISNUMBER(AN127),AM127/AN127-1,"")</f>
        <v/>
      </c>
      <c r="AP127" s="29" t="n">
        <v>5</v>
      </c>
      <c r="AQ127" s="24">
        <f>IF(ISNUMBER(AM127),J127/AM127-1,"")</f>
        <v/>
      </c>
      <c r="AR127" s="23" t="n">
        <v>678.87</v>
      </c>
      <c r="AS127" s="24">
        <f>J127/AR127-1</f>
        <v/>
      </c>
      <c r="AT127" s="20" t="inlineStr">
        <is>
          <t>上升通道</t>
        </is>
      </c>
      <c r="AU127" s="30" t="n">
        <v>0.3081</v>
      </c>
      <c r="AV127" s="30" t="n">
        <v>0.3558</v>
      </c>
      <c r="AW127" s="30" t="n">
        <v>0.4523</v>
      </c>
      <c r="AX127" s="30" t="n">
        <v>0.4564</v>
      </c>
      <c r="AY127" s="29" t="n">
        <v>1</v>
      </c>
      <c r="AZ127" s="23" t="n">
        <v>695.54</v>
      </c>
      <c r="BA127" s="23" t="n">
        <v>536.11</v>
      </c>
      <c r="BB127" s="23" t="n">
        <v>608.2188</v>
      </c>
      <c r="BC127" s="30" t="n">
        <v>0.6511</v>
      </c>
      <c r="BD127" s="26">
        <f>IF(M127=N127,0.5,(J127-N127)/(M127-N127))</f>
        <v/>
      </c>
      <c r="BE127" s="31" t="n">
        <v>27.571</v>
      </c>
      <c r="BF127" s="31" t="n">
        <v>22.817</v>
      </c>
      <c r="BG127" s="32">
        <f>100*(0.4*MIN(1,MAX(0,((U127*100)-(0.0))/((2.5)-(0.0))))+0.3*MIN(1,MAX(0,((V127)-(0.6))/((1.0)-(0.6))))+0.3*MIN(1,MAX(0,((BE127)-(0.0))/((15.0)-(0.0)))))</f>
        <v/>
      </c>
      <c r="BH127" s="32">
        <f>100*(0.4*MIN(1,MAX(0,((MIN(ABS(AA127),ABS(AB127)))-(0.75))/((0.0)-(0.75))))+0.3*MIN(1,MAX(0,((BC127)-(1.2))/((0.6)-(1.2))))+0.3*BD127)</f>
        <v/>
      </c>
      <c r="BI127" s="32">
        <f>100*(0.5*MIN(1,MAX(0,((AK127)-(1.0))/((4.0)-(1.0))))+0.3*MIN(1,MAX(0,((IF(ISNUMBER(AO127),AO127,0)*100)-(0.0))/((8.0)-(0.0))))+0.2*MIN(1,MAX(0,((IF(ISNUMBER(AP127),AP127,0))-(25.0))/((5.0)-(25.0)))))</f>
        <v/>
      </c>
      <c r="BJ127" s="32">
        <f>100*(0.35*MIN(1,MAX(0,((ABS(AU127))-(0.3))/((0.05)-(0.3))))+0.3*MIN(1,MAX(0,((AV127)-(0.0))/((0.3)-(0.0))))+0.25*MIN(1,MAX(0,((AW127)-(0.4))/((0.7)-(0.4))))+0.1*IF(AY127&gt;=2,1,0.5))</f>
        <v/>
      </c>
      <c r="BK127" s="33">
        <f>0.25*BG127+0.25*BH127+0.2*BI127+0.3*BJ127</f>
        <v/>
      </c>
      <c r="BL127" s="20" t="inlineStr">
        <is>
          <t>C4 上升三角／重心偏上</t>
        </is>
      </c>
      <c r="BM127" s="20" t="inlineStr"/>
    </row>
    <row r="128">
      <c r="A128" s="20" t="n">
        <v>2</v>
      </c>
      <c r="B128" s="20" t="n">
        <v>27</v>
      </c>
      <c r="C128" s="21" t="inlineStr">
        <is>
          <t>TWLO</t>
        </is>
      </c>
      <c r="D128" s="20" t="inlineStr">
        <is>
          <t>Twilio Inc.</t>
        </is>
      </c>
      <c r="E128" s="20" t="inlineStr">
        <is>
          <t>NYSE</t>
        </is>
      </c>
      <c r="F128" s="20" t="inlineStr">
        <is>
          <t>科技</t>
        </is>
      </c>
      <c r="G128" s="20" t="inlineStr">
        <is>
          <t>Computer Software: Prepackaged Software</t>
        </is>
      </c>
      <c r="H128" s="22" t="n">
        <v>44.915</v>
      </c>
      <c r="I128" s="20" t="inlineStr">
        <is>
          <t>大型</t>
        </is>
      </c>
      <c r="J128" s="23" t="n">
        <v>301.27</v>
      </c>
      <c r="K128" s="23" t="n">
        <v>292.46</v>
      </c>
      <c r="L128" s="24">
        <f>J128/K128-1</f>
        <v/>
      </c>
      <c r="M128" s="23" t="n">
        <v>305.95</v>
      </c>
      <c r="N128" s="23" t="n">
        <v>287.51</v>
      </c>
      <c r="O128" s="25" t="n">
        <v>2566200</v>
      </c>
      <c r="P128" s="25" t="n">
        <v>2583990</v>
      </c>
      <c r="Q128" s="26">
        <f>O128/P128</f>
        <v/>
      </c>
      <c r="R128" s="23" t="n">
        <v>283.9155</v>
      </c>
      <c r="S128" s="23" t="n">
        <v>265.3448</v>
      </c>
      <c r="T128" s="23" t="n">
        <v>249.9729</v>
      </c>
      <c r="U128" s="24">
        <f>S128/T128-1</f>
        <v/>
      </c>
      <c r="V128" s="27" t="n">
        <v>1</v>
      </c>
      <c r="W128" s="24">
        <f>J128/R128-1</f>
        <v/>
      </c>
      <c r="X128" s="24">
        <f>J128/S128-1</f>
        <v/>
      </c>
      <c r="Y128" s="23" t="n">
        <v>14.1319</v>
      </c>
      <c r="Z128" s="28">
        <f>Y128/J128</f>
        <v/>
      </c>
      <c r="AA128" s="26">
        <f>(J128-R128)/Y128</f>
        <v/>
      </c>
      <c r="AB128" s="26">
        <f>(J128-S128)/Y128</f>
        <v/>
      </c>
      <c r="AC128" s="20">
        <f>IF(ABS(AA128)&lt;=ABS(AB128),"9EMA","21EMA")</f>
        <v/>
      </c>
      <c r="AD128" s="20" t="inlineStr">
        <is>
          <t>—</t>
        </is>
      </c>
      <c r="AE128" s="20" t="inlineStr">
        <is>
          <t>持續在上方</t>
        </is>
      </c>
      <c r="AF128" s="20" t="inlineStr"/>
      <c r="AG128" s="20" t="inlineStr"/>
      <c r="AH128" s="20" t="inlineStr"/>
      <c r="AI128" s="20" t="inlineStr">
        <is>
          <t>2026-08-07</t>
        </is>
      </c>
      <c r="AJ128" s="20" t="n">
        <v>38</v>
      </c>
      <c r="AK128" s="29" t="n">
        <v>6</v>
      </c>
      <c r="AL128" s="20" t="inlineStr">
        <is>
          <t>2026-09-28</t>
        </is>
      </c>
      <c r="AM128" s="23" t="n">
        <v>265.4</v>
      </c>
      <c r="AN128" s="23" t="n">
        <v>221.86</v>
      </c>
      <c r="AO128" s="24">
        <f>IF(ISNUMBER(AN128),AM128/AN128-1,"")</f>
        <v/>
      </c>
      <c r="AP128" s="29" t="n">
        <v>3</v>
      </c>
      <c r="AQ128" s="24">
        <f>IF(ISNUMBER(AM128),J128/AM128-1,"")</f>
        <v/>
      </c>
      <c r="AR128" s="23" t="n">
        <v>301.27</v>
      </c>
      <c r="AS128" s="24">
        <f>J128/AR128-1</f>
        <v/>
      </c>
      <c r="AT128" s="20" t="inlineStr">
        <is>
          <t>上升通道</t>
        </is>
      </c>
      <c r="AU128" s="30" t="n">
        <v>1.2226</v>
      </c>
      <c r="AV128" s="30" t="n">
        <v>1.0323</v>
      </c>
      <c r="AW128" s="30" t="n">
        <v>0.4842</v>
      </c>
      <c r="AX128" s="30" t="n">
        <v>0.4867</v>
      </c>
      <c r="AY128" s="29" t="n">
        <v>2</v>
      </c>
      <c r="AZ128" s="23" t="n">
        <v>305.95</v>
      </c>
      <c r="BA128" s="23" t="n">
        <v>221.86</v>
      </c>
      <c r="BB128" s="23" t="n">
        <v>262.5771</v>
      </c>
      <c r="BC128" s="30" t="n">
        <v>1.2362</v>
      </c>
      <c r="BD128" s="26">
        <f>IF(M128=N128,0.5,(J128-N128)/(M128-N128))</f>
        <v/>
      </c>
      <c r="BE128" s="31" t="n">
        <v>36.514</v>
      </c>
      <c r="BF128" s="31" t="n">
        <v>31.76</v>
      </c>
      <c r="BG128" s="32">
        <f>100*(0.4*MIN(1,MAX(0,((U128*100)-(0.0))/((2.5)-(0.0))))+0.3*MIN(1,MAX(0,((V128)-(0.6))/((1.0)-(0.6))))+0.3*MIN(1,MAX(0,((BE128)-(0.0))/((15.0)-(0.0)))))</f>
        <v/>
      </c>
      <c r="BH128" s="32">
        <f>100*(0.4*MIN(1,MAX(0,((MIN(ABS(AA128),ABS(AB128)))-(0.75))/((0.0)-(0.75))))+0.3*MIN(1,MAX(0,((BC128)-(1.2))/((0.6)-(1.2))))+0.3*BD128)</f>
        <v/>
      </c>
      <c r="BI128" s="32">
        <f>100*(0.5*MIN(1,MAX(0,((AK128)-(1.0))/((4.0)-(1.0))))+0.3*MIN(1,MAX(0,((IF(ISNUMBER(AO128),AO128,0)*100)-(0.0))/((8.0)-(0.0))))+0.2*MIN(1,MAX(0,((IF(ISNUMBER(AP128),AP128,0))-(25.0))/((5.0)-(25.0)))))</f>
        <v/>
      </c>
      <c r="BJ128" s="32">
        <f>100*(0.35*MIN(1,MAX(0,((ABS(AU128))-(0.3))/((0.05)-(0.3))))+0.3*MIN(1,MAX(0,((AV128)-(0.0))/((0.3)-(0.0))))+0.25*MIN(1,MAX(0,((AW128)-(0.4))/((0.7)-(0.4))))+0.1*IF(AY128&gt;=2,1,0.5))</f>
        <v/>
      </c>
      <c r="BK128" s="33">
        <f>0.25*BG128+0.25*BH128+0.2*BI128+0.3*BJ128</f>
        <v/>
      </c>
      <c r="BL128" s="20" t="inlineStr">
        <is>
          <t>C4 上升三角／重心偏上</t>
        </is>
      </c>
      <c r="BM128" s="20" t="inlineStr"/>
    </row>
    <row r="129">
      <c r="A129" s="20" t="n">
        <v>2</v>
      </c>
      <c r="B129" s="20" t="n">
        <v>28</v>
      </c>
      <c r="C129" s="21" t="inlineStr">
        <is>
          <t>GH</t>
        </is>
      </c>
      <c r="D129" s="20" t="inlineStr">
        <is>
          <t>Guardant Health Inc.</t>
        </is>
      </c>
      <c r="E129" s="20" t="inlineStr">
        <is>
          <t>NASDAQ</t>
        </is>
      </c>
      <c r="F129" s="20" t="inlineStr">
        <is>
          <t>醫療保健</t>
        </is>
      </c>
      <c r="G129" s="20" t="inlineStr">
        <is>
          <t>Medical Specialities</t>
        </is>
      </c>
      <c r="H129" s="22" t="n">
        <v>23.935</v>
      </c>
      <c r="I129" s="20" t="inlineStr">
        <is>
          <t>大型</t>
        </is>
      </c>
      <c r="J129" s="23" t="n">
        <v>174.75</v>
      </c>
      <c r="K129" s="23" t="n">
        <v>178.36</v>
      </c>
      <c r="L129" s="24">
        <f>J129/K129-1</f>
        <v/>
      </c>
      <c r="M129" s="23" t="n">
        <v>180.91</v>
      </c>
      <c r="N129" s="23" t="n">
        <v>173.96</v>
      </c>
      <c r="O129" s="25" t="n">
        <v>1961100</v>
      </c>
      <c r="P129" s="25" t="n">
        <v>1812350</v>
      </c>
      <c r="Q129" s="26">
        <f>O129/P129</f>
        <v/>
      </c>
      <c r="R129" s="23" t="n">
        <v>176.0794</v>
      </c>
      <c r="S129" s="23" t="n">
        <v>172.6904</v>
      </c>
      <c r="T129" s="23" t="n">
        <v>170.0581</v>
      </c>
      <c r="U129" s="24">
        <f>S129/T129-1</f>
        <v/>
      </c>
      <c r="V129" s="27" t="n">
        <v>1</v>
      </c>
      <c r="W129" s="24">
        <f>J129/R129-1</f>
        <v/>
      </c>
      <c r="X129" s="24">
        <f>J129/S129-1</f>
        <v/>
      </c>
      <c r="Y129" s="23" t="n">
        <v>7.3956</v>
      </c>
      <c r="Z129" s="28">
        <f>Y129/J129</f>
        <v/>
      </c>
      <c r="AA129" s="26">
        <f>(J129-R129)/Y129</f>
        <v/>
      </c>
      <c r="AB129" s="26">
        <f>(J129-S129)/Y129</f>
        <v/>
      </c>
      <c r="AC129" s="20">
        <f>IF(ABS(AA129)&lt;=ABS(AB129),"9EMA","21EMA")</f>
        <v/>
      </c>
      <c r="AD129" s="20" t="inlineStr">
        <is>
          <t>9EMA</t>
        </is>
      </c>
      <c r="AE129" s="20" t="inlineStr">
        <is>
          <t>持續在上方</t>
        </is>
      </c>
      <c r="AF129" s="20" t="inlineStr"/>
      <c r="AG129" s="20" t="inlineStr"/>
      <c r="AH129" s="20" t="inlineStr">
        <is>
          <t>✓</t>
        </is>
      </c>
      <c r="AI129" s="20" t="inlineStr">
        <is>
          <t>2026-09-14</t>
        </is>
      </c>
      <c r="AJ129" s="20" t="n">
        <v>13</v>
      </c>
      <c r="AK129" s="29" t="n">
        <v>3</v>
      </c>
      <c r="AL129" s="20" t="inlineStr">
        <is>
          <t>2026-09-22</t>
        </is>
      </c>
      <c r="AM129" s="23" t="n">
        <v>170.5</v>
      </c>
      <c r="AN129" s="23" t="n">
        <v>155.78</v>
      </c>
      <c r="AO129" s="24">
        <f>IF(ISNUMBER(AN129),AM129/AN129-1,"")</f>
        <v/>
      </c>
      <c r="AP129" s="29" t="n">
        <v>7</v>
      </c>
      <c r="AQ129" s="24">
        <f>IF(ISNUMBER(AM129),J129/AM129-1,"")</f>
        <v/>
      </c>
      <c r="AR129" s="23" t="n">
        <v>183.1</v>
      </c>
      <c r="AS129" s="24">
        <f>J129/AR129-1</f>
        <v/>
      </c>
      <c r="AT129" s="20" t="inlineStr">
        <is>
          <t>對稱三角</t>
        </is>
      </c>
      <c r="AU129" s="30" t="n">
        <v>-0.1969</v>
      </c>
      <c r="AV129" s="30" t="n">
        <v>0.5638</v>
      </c>
      <c r="AW129" s="30" t="n">
        <v>0.5717</v>
      </c>
      <c r="AX129" s="30" t="n">
        <v>0.5245</v>
      </c>
      <c r="AY129" s="29" t="n">
        <v>6</v>
      </c>
      <c r="AZ129" s="23" t="n">
        <v>183.51</v>
      </c>
      <c r="BA129" s="23" t="n">
        <v>154</v>
      </c>
      <c r="BB129" s="23" t="n">
        <v>170.8706</v>
      </c>
      <c r="BC129" s="30" t="n">
        <v>1.2485</v>
      </c>
      <c r="BD129" s="26">
        <f>IF(M129=N129,0.5,(J129-N129)/(M129-N129))</f>
        <v/>
      </c>
      <c r="BE129" s="31" t="n">
        <v>11.043</v>
      </c>
      <c r="BF129" s="31" t="n">
        <v>6.289</v>
      </c>
      <c r="BG129" s="32">
        <f>100*(0.4*MIN(1,MAX(0,((U129*100)-(0.0))/((2.5)-(0.0))))+0.3*MIN(1,MAX(0,((V129)-(0.6))/((1.0)-(0.6))))+0.3*MIN(1,MAX(0,((BE129)-(0.0))/((15.0)-(0.0)))))</f>
        <v/>
      </c>
      <c r="BH129" s="32">
        <f>100*(0.4*MIN(1,MAX(0,((MIN(ABS(AA129),ABS(AB129)))-(0.75))/((0.0)-(0.75))))+0.3*MIN(1,MAX(0,((BC129)-(1.2))/((0.6)-(1.2))))+0.3*BD129)</f>
        <v/>
      </c>
      <c r="BI129" s="32">
        <f>100*(0.5*MIN(1,MAX(0,((AK129)-(1.0))/((4.0)-(1.0))))+0.3*MIN(1,MAX(0,((IF(ISNUMBER(AO129),AO129,0)*100)-(0.0))/((8.0)-(0.0))))+0.2*MIN(1,MAX(0,((IF(ISNUMBER(AP129),AP129,0))-(25.0))/((5.0)-(25.0)))))</f>
        <v/>
      </c>
      <c r="BJ129" s="32">
        <f>100*(0.35*MIN(1,MAX(0,((ABS(AU129))-(0.3))/((0.05)-(0.3))))+0.3*MIN(1,MAX(0,((AV129)-(0.0))/((0.3)-(0.0))))+0.25*MIN(1,MAX(0,((AW129)-(0.4))/((0.7)-(0.4))))+0.1*IF(AY129&gt;=2,1,0.5))</f>
        <v/>
      </c>
      <c r="BK129" s="33">
        <f>0.25*BG129+0.25*BH129+0.2*BI129+0.3*BJ129</f>
        <v/>
      </c>
      <c r="BL129" s="20" t="inlineStr">
        <is>
          <t>C4 上升三角／重心偏上</t>
        </is>
      </c>
      <c r="BM129" s="20" t="inlineStr"/>
    </row>
    <row r="130">
      <c r="A130" s="20" t="n">
        <v>2</v>
      </c>
      <c r="B130" s="20" t="n">
        <v>29</v>
      </c>
      <c r="C130" s="21" t="inlineStr">
        <is>
          <t>TBCH</t>
        </is>
      </c>
      <c r="D130" s="20" t="inlineStr">
        <is>
          <t>Turtle Beach Corporation</t>
        </is>
      </c>
      <c r="E130" s="20" t="inlineStr">
        <is>
          <t>NASDAQ</t>
        </is>
      </c>
      <c r="F130" s="20" t="inlineStr">
        <is>
          <t>電訊</t>
        </is>
      </c>
      <c r="G130" s="20" t="inlineStr">
        <is>
          <t>Telecommunications Equipment</t>
        </is>
      </c>
      <c r="H130" s="22" t="n">
        <v>0.229</v>
      </c>
      <c r="I130" s="20" t="inlineStr">
        <is>
          <t>小型</t>
        </is>
      </c>
      <c r="J130" s="23" t="n">
        <v>12.79</v>
      </c>
      <c r="K130" s="23" t="n">
        <v>12.77</v>
      </c>
      <c r="L130" s="24">
        <f>J130/K130-1</f>
        <v/>
      </c>
      <c r="M130" s="23" t="n">
        <v>12.915</v>
      </c>
      <c r="N130" s="23" t="n">
        <v>12.69</v>
      </c>
      <c r="O130" s="25" t="n">
        <v>267100</v>
      </c>
      <c r="P130" s="25" t="n">
        <v>293145</v>
      </c>
      <c r="Q130" s="26">
        <f>O130/P130</f>
        <v/>
      </c>
      <c r="R130" s="23" t="n">
        <v>12.7307</v>
      </c>
      <c r="S130" s="23" t="n">
        <v>12.6587</v>
      </c>
      <c r="T130" s="23" t="n">
        <v>12.5972</v>
      </c>
      <c r="U130" s="24">
        <f>S130/T130-1</f>
        <v/>
      </c>
      <c r="V130" s="27" t="n">
        <v>1</v>
      </c>
      <c r="W130" s="24">
        <f>J130/R130-1</f>
        <v/>
      </c>
      <c r="X130" s="24">
        <f>J130/S130-1</f>
        <v/>
      </c>
      <c r="Y130" s="23" t="n">
        <v>0.3887</v>
      </c>
      <c r="Z130" s="28">
        <f>Y130/J130</f>
        <v/>
      </c>
      <c r="AA130" s="26">
        <f>(J130-R130)/Y130</f>
        <v/>
      </c>
      <c r="AB130" s="26">
        <f>(J130-S130)/Y130</f>
        <v/>
      </c>
      <c r="AC130" s="20">
        <f>IF(ABS(AA130)&lt;=ABS(AB130),"9EMA","21EMA")</f>
        <v/>
      </c>
      <c r="AD130" s="20" t="inlineStr">
        <is>
          <t>9+21EMA</t>
        </is>
      </c>
      <c r="AE130" s="20" t="inlineStr">
        <is>
          <t>持續在上方</t>
        </is>
      </c>
      <c r="AF130" s="20" t="inlineStr"/>
      <c r="AG130" s="20" t="inlineStr"/>
      <c r="AH130" s="20" t="inlineStr">
        <is>
          <t>✓</t>
        </is>
      </c>
      <c r="AI130" s="20" t="inlineStr">
        <is>
          <t>2026-09-21</t>
        </is>
      </c>
      <c r="AJ130" s="20" t="n">
        <v>8</v>
      </c>
      <c r="AK130" s="29" t="n">
        <v>2</v>
      </c>
      <c r="AL130" s="20" t="inlineStr">
        <is>
          <t>2026-09-28</t>
        </is>
      </c>
      <c r="AM130" s="23" t="n">
        <v>12.59</v>
      </c>
      <c r="AN130" s="23" t="n">
        <v>11.77</v>
      </c>
      <c r="AO130" s="24">
        <f>IF(ISNUMBER(AN130),AM130/AN130-1,"")</f>
        <v/>
      </c>
      <c r="AP130" s="29" t="n">
        <v>3</v>
      </c>
      <c r="AQ130" s="24">
        <f>IF(ISNUMBER(AM130),J130/AM130-1,"")</f>
        <v/>
      </c>
      <c r="AR130" s="23" t="n">
        <v>12.81</v>
      </c>
      <c r="AS130" s="24">
        <f>J130/AR130-1</f>
        <v/>
      </c>
      <c r="AT130" s="20" t="inlineStr">
        <is>
          <t>對稱三角</t>
        </is>
      </c>
      <c r="AU130" s="30" t="n">
        <v>-0.159</v>
      </c>
      <c r="AV130" s="30" t="n">
        <v>0.3271</v>
      </c>
      <c r="AW130" s="30" t="n">
        <v>0.5715</v>
      </c>
      <c r="AX130" s="30" t="n">
        <v>0.7156</v>
      </c>
      <c r="AY130" s="29" t="n">
        <v>1</v>
      </c>
      <c r="AZ130" s="23" t="n">
        <v>13.32</v>
      </c>
      <c r="BA130" s="23" t="n">
        <v>11.77</v>
      </c>
      <c r="BB130" s="23" t="n">
        <v>12.6558</v>
      </c>
      <c r="BC130" s="30" t="n">
        <v>0.8166</v>
      </c>
      <c r="BD130" s="26">
        <f>IF(M130=N130,0.5,(J130-N130)/(M130-N130))</f>
        <v/>
      </c>
      <c r="BE130" s="31" t="n">
        <v>10.895</v>
      </c>
      <c r="BF130" s="31" t="n">
        <v>6.141</v>
      </c>
      <c r="BG130" s="32">
        <f>100*(0.4*MIN(1,MAX(0,((U130*100)-(0.0))/((2.5)-(0.0))))+0.3*MIN(1,MAX(0,((V130)-(0.6))/((1.0)-(0.6))))+0.3*MIN(1,MAX(0,((BE130)-(0.0))/((15.0)-(0.0)))))</f>
        <v/>
      </c>
      <c r="BH130" s="32">
        <f>100*(0.4*MIN(1,MAX(0,((MIN(ABS(AA130),ABS(AB130)))-(0.75))/((0.0)-(0.75))))+0.3*MIN(1,MAX(0,((BC130)-(1.2))/((0.6)-(1.2))))+0.3*BD130)</f>
        <v/>
      </c>
      <c r="BI130" s="32">
        <f>100*(0.5*MIN(1,MAX(0,((AK130)-(1.0))/((4.0)-(1.0))))+0.3*MIN(1,MAX(0,((IF(ISNUMBER(AO130),AO130,0)*100)-(0.0))/((8.0)-(0.0))))+0.2*MIN(1,MAX(0,((IF(ISNUMBER(AP130),AP130,0))-(25.0))/((5.0)-(25.0)))))</f>
        <v/>
      </c>
      <c r="BJ130" s="32">
        <f>100*(0.35*MIN(1,MAX(0,((ABS(AU130))-(0.3))/((0.05)-(0.3))))+0.3*MIN(1,MAX(0,((AV130)-(0.0))/((0.3)-(0.0))))+0.25*MIN(1,MAX(0,((AW130)-(0.4))/((0.7)-(0.4))))+0.1*IF(AY130&gt;=2,1,0.5))</f>
        <v/>
      </c>
      <c r="BK130" s="33">
        <f>0.25*BG130+0.25*BH130+0.2*BI130+0.3*BJ130</f>
        <v/>
      </c>
      <c r="BL130" s="20" t="inlineStr">
        <is>
          <t>C4 上升三角／重心偏上</t>
        </is>
      </c>
      <c r="BM130" s="20" t="inlineStr"/>
    </row>
    <row r="131">
      <c r="A131" s="20" t="n">
        <v>2</v>
      </c>
      <c r="B131" s="20" t="n">
        <v>30</v>
      </c>
      <c r="C131" s="21" t="inlineStr">
        <is>
          <t>ALMR</t>
        </is>
      </c>
      <c r="D131" s="20" t="inlineStr">
        <is>
          <t>Alamar Biosciences Inc.</t>
        </is>
      </c>
      <c r="E131" s="20" t="inlineStr">
        <is>
          <t>NASDAQ</t>
        </is>
      </c>
      <c r="F131" s="20" t="inlineStr">
        <is>
          <t>工業</t>
        </is>
      </c>
      <c r="G131" s="20" t="inlineStr">
        <is>
          <t>Biotechnology: Laboratory Analytical Instruments</t>
        </is>
      </c>
      <c r="H131" s="22" t="n">
        <v>2.364</v>
      </c>
      <c r="I131" s="20" t="inlineStr">
        <is>
          <t>中型</t>
        </is>
      </c>
      <c r="J131" s="23" t="n">
        <v>32.46</v>
      </c>
      <c r="K131" s="23" t="n">
        <v>34.07</v>
      </c>
      <c r="L131" s="24">
        <f>J131/K131-1</f>
        <v/>
      </c>
      <c r="M131" s="23" t="n">
        <v>34.67</v>
      </c>
      <c r="N131" s="23" t="n">
        <v>32.37</v>
      </c>
      <c r="O131" s="25" t="n">
        <v>379000</v>
      </c>
      <c r="P131" s="25" t="n">
        <v>500755</v>
      </c>
      <c r="Q131" s="26">
        <f>O131/P131</f>
        <v/>
      </c>
      <c r="R131" s="23" t="n">
        <v>32.7097</v>
      </c>
      <c r="S131" s="23" t="n">
        <v>31.9811</v>
      </c>
      <c r="T131" s="23" t="n">
        <v>31.401</v>
      </c>
      <c r="U131" s="24">
        <f>S131/T131-1</f>
        <v/>
      </c>
      <c r="V131" s="27" t="n">
        <v>1</v>
      </c>
      <c r="W131" s="24">
        <f>J131/R131-1</f>
        <v/>
      </c>
      <c r="X131" s="24">
        <f>J131/S131-1</f>
        <v/>
      </c>
      <c r="Y131" s="23" t="n">
        <v>2.1968</v>
      </c>
      <c r="Z131" s="28">
        <f>Y131/J131</f>
        <v/>
      </c>
      <c r="AA131" s="26">
        <f>(J131-R131)/Y131</f>
        <v/>
      </c>
      <c r="AB131" s="26">
        <f>(J131-S131)/Y131</f>
        <v/>
      </c>
      <c r="AC131" s="20">
        <f>IF(ABS(AA131)&lt;=ABS(AB131),"9EMA","21EMA")</f>
        <v/>
      </c>
      <c r="AD131" s="20" t="inlineStr">
        <is>
          <t>9EMA</t>
        </is>
      </c>
      <c r="AE131" s="20" t="inlineStr">
        <is>
          <t>持續在上方</t>
        </is>
      </c>
      <c r="AF131" s="20" t="inlineStr"/>
      <c r="AG131" s="20" t="inlineStr"/>
      <c r="AH131" s="20" t="inlineStr">
        <is>
          <t>✓</t>
        </is>
      </c>
      <c r="AI131" s="20" t="inlineStr">
        <is>
          <t>2026-09-18</t>
        </is>
      </c>
      <c r="AJ131" s="20" t="n">
        <v>9</v>
      </c>
      <c r="AK131" s="29" t="n">
        <v>2</v>
      </c>
      <c r="AL131" s="20" t="inlineStr">
        <is>
          <t>2026-09-24</t>
        </is>
      </c>
      <c r="AM131" s="23" t="n">
        <v>31.68</v>
      </c>
      <c r="AN131" s="23" t="n">
        <v>27.25</v>
      </c>
      <c r="AO131" s="24">
        <f>IF(ISNUMBER(AN131),AM131/AN131-1,"")</f>
        <v/>
      </c>
      <c r="AP131" s="29" t="n">
        <v>5</v>
      </c>
      <c r="AQ131" s="24">
        <f>IF(ISNUMBER(AM131),J131/AM131-1,"")</f>
        <v/>
      </c>
      <c r="AR131" s="23" t="n">
        <v>35.05</v>
      </c>
      <c r="AS131" s="24">
        <f>J131/AR131-1</f>
        <v/>
      </c>
      <c r="AT131" s="20" t="inlineStr">
        <is>
          <t>上升通道</t>
        </is>
      </c>
      <c r="AU131" s="30" t="n">
        <v>0.571</v>
      </c>
      <c r="AV131" s="30" t="n">
        <v>0.4871</v>
      </c>
      <c r="AW131" s="30" t="n">
        <v>0.4664</v>
      </c>
      <c r="AX131" s="30" t="n">
        <v>0.6018</v>
      </c>
      <c r="AY131" s="29" t="n">
        <v>1</v>
      </c>
      <c r="AZ131" s="23" t="n">
        <v>37.76</v>
      </c>
      <c r="BA131" s="23" t="n">
        <v>27.25</v>
      </c>
      <c r="BB131" s="23" t="n">
        <v>32.1514</v>
      </c>
      <c r="BC131" s="30" t="n">
        <v>0.3417</v>
      </c>
      <c r="BD131" s="26">
        <f>IF(M131=N131,0.5,(J131-N131)/(M131-N131))</f>
        <v/>
      </c>
      <c r="BE131" s="31" t="n">
        <v>15.313</v>
      </c>
      <c r="BF131" s="31" t="n">
        <v>10.559</v>
      </c>
      <c r="BG131" s="32">
        <f>100*(0.4*MIN(1,MAX(0,((U131*100)-(0.0))/((2.5)-(0.0))))+0.3*MIN(1,MAX(0,((V131)-(0.6))/((1.0)-(0.6))))+0.3*MIN(1,MAX(0,((BE131)-(0.0))/((15.0)-(0.0)))))</f>
        <v/>
      </c>
      <c r="BH131" s="32">
        <f>100*(0.4*MIN(1,MAX(0,((MIN(ABS(AA131),ABS(AB131)))-(0.75))/((0.0)-(0.75))))+0.3*MIN(1,MAX(0,((BC131)-(1.2))/((0.6)-(1.2))))+0.3*BD131)</f>
        <v/>
      </c>
      <c r="BI131" s="32">
        <f>100*(0.5*MIN(1,MAX(0,((AK131)-(1.0))/((4.0)-(1.0))))+0.3*MIN(1,MAX(0,((IF(ISNUMBER(AO131),AO131,0)*100)-(0.0))/((8.0)-(0.0))))+0.2*MIN(1,MAX(0,((IF(ISNUMBER(AP131),AP131,0))-(25.0))/((5.0)-(25.0)))))</f>
        <v/>
      </c>
      <c r="BJ131" s="32">
        <f>100*(0.35*MIN(1,MAX(0,((ABS(AU131))-(0.3))/((0.05)-(0.3))))+0.3*MIN(1,MAX(0,((AV131)-(0.0))/((0.3)-(0.0))))+0.25*MIN(1,MAX(0,((AW131)-(0.4))/((0.7)-(0.4))))+0.1*IF(AY131&gt;=2,1,0.5))</f>
        <v/>
      </c>
      <c r="BK131" s="33">
        <f>0.25*BG131+0.25*BH131+0.2*BI131+0.3*BJ131</f>
        <v/>
      </c>
      <c r="BL131" s="20" t="inlineStr">
        <is>
          <t>C4 上升三角／重心偏上</t>
        </is>
      </c>
      <c r="BM131" s="20" t="inlineStr"/>
    </row>
    <row r="132">
      <c r="A132" s="20" t="n">
        <v>2</v>
      </c>
      <c r="B132" s="20" t="n">
        <v>31</v>
      </c>
      <c r="C132" s="21" t="inlineStr">
        <is>
          <t>MSTR</t>
        </is>
      </c>
      <c r="D132" s="20" t="inlineStr">
        <is>
          <t>Strategy Inc</t>
        </is>
      </c>
      <c r="E132" s="20" t="inlineStr">
        <is>
          <t>NASDAQ</t>
        </is>
      </c>
      <c r="F132" s="20" t="inlineStr">
        <is>
          <t>科技</t>
        </is>
      </c>
      <c r="G132" s="20" t="inlineStr">
        <is>
          <t>Computer Software: Prepackaged Software</t>
        </is>
      </c>
      <c r="H132" s="22" t="n">
        <v>64.374</v>
      </c>
      <c r="I132" s="20" t="inlineStr">
        <is>
          <t>大型</t>
        </is>
      </c>
      <c r="J132" s="23" t="n">
        <v>160.5</v>
      </c>
      <c r="K132" s="23" t="n">
        <v>153.09</v>
      </c>
      <c r="L132" s="24">
        <f>J132/K132-1</f>
        <v/>
      </c>
      <c r="M132" s="23" t="n">
        <v>161.58</v>
      </c>
      <c r="N132" s="23" t="n">
        <v>152.63</v>
      </c>
      <c r="O132" s="25" t="n">
        <v>19232500</v>
      </c>
      <c r="P132" s="25" t="n">
        <v>23650625</v>
      </c>
      <c r="Q132" s="26">
        <f>O132/P132</f>
        <v/>
      </c>
      <c r="R132" s="23" t="n">
        <v>155.4421</v>
      </c>
      <c r="S132" s="23" t="n">
        <v>146.3658</v>
      </c>
      <c r="T132" s="23" t="n">
        <v>139.9871</v>
      </c>
      <c r="U132" s="24">
        <f>S132/T132-1</f>
        <v/>
      </c>
      <c r="V132" s="27" t="n">
        <v>1</v>
      </c>
      <c r="W132" s="24">
        <f>J132/R132-1</f>
        <v/>
      </c>
      <c r="X132" s="24">
        <f>J132/S132-1</f>
        <v/>
      </c>
      <c r="Y132" s="23" t="n">
        <v>8.9506</v>
      </c>
      <c r="Z132" s="28">
        <f>Y132/J132</f>
        <v/>
      </c>
      <c r="AA132" s="26">
        <f>(J132-R132)/Y132</f>
        <v/>
      </c>
      <c r="AB132" s="26">
        <f>(J132-S132)/Y132</f>
        <v/>
      </c>
      <c r="AC132" s="20">
        <f>IF(ABS(AA132)&lt;=ABS(AB132),"9EMA","21EMA")</f>
        <v/>
      </c>
      <c r="AD132" s="20" t="inlineStr">
        <is>
          <t>9EMA</t>
        </is>
      </c>
      <c r="AE132" s="20" t="inlineStr">
        <is>
          <t>持續在上方</t>
        </is>
      </c>
      <c r="AF132" s="20" t="inlineStr"/>
      <c r="AG132" s="20" t="inlineStr"/>
      <c r="AH132" s="20" t="inlineStr"/>
      <c r="AI132" s="20" t="inlineStr">
        <is>
          <t>2026-08-20</t>
        </is>
      </c>
      <c r="AJ132" s="20" t="n">
        <v>29</v>
      </c>
      <c r="AK132" s="29" t="n">
        <v>4</v>
      </c>
      <c r="AL132" s="20" t="inlineStr">
        <is>
          <t>2026-09-16</t>
        </is>
      </c>
      <c r="AM132" s="23" t="n">
        <v>123.33</v>
      </c>
      <c r="AN132" s="23" t="n">
        <v>121.38</v>
      </c>
      <c r="AO132" s="24">
        <f>IF(ISNUMBER(AN132),AM132/AN132-1,"")</f>
        <v/>
      </c>
      <c r="AP132" s="29" t="n">
        <v>11</v>
      </c>
      <c r="AQ132" s="24">
        <f>IF(ISNUMBER(AM132),J132/AM132-1,"")</f>
        <v/>
      </c>
      <c r="AR132" s="23" t="n">
        <v>168.5</v>
      </c>
      <c r="AS132" s="24">
        <f>J132/AR132-1</f>
        <v/>
      </c>
      <c r="AT132" s="20" t="inlineStr">
        <is>
          <t>上傾擴張</t>
        </is>
      </c>
      <c r="AU132" s="30" t="n">
        <v>1.1902</v>
      </c>
      <c r="AV132" s="30" t="n">
        <v>0.135</v>
      </c>
      <c r="AW132" s="30" t="n">
        <v>0.4617</v>
      </c>
      <c r="AX132" s="30" t="n">
        <v>0.4676</v>
      </c>
      <c r="AY132" s="29" t="n">
        <v>3</v>
      </c>
      <c r="AZ132" s="23" t="n">
        <v>171.19</v>
      </c>
      <c r="BA132" s="23" t="n">
        <v>121.38</v>
      </c>
      <c r="BB132" s="23" t="n">
        <v>144.3789</v>
      </c>
      <c r="BC132" s="30" t="n">
        <v>0.4843</v>
      </c>
      <c r="BD132" s="26">
        <f>IF(M132=N132,0.5,(J132-N132)/(M132-N132))</f>
        <v/>
      </c>
      <c r="BE132" s="31" t="n">
        <v>33.278</v>
      </c>
      <c r="BF132" s="31" t="n">
        <v>28.523</v>
      </c>
      <c r="BG132" s="32">
        <f>100*(0.4*MIN(1,MAX(0,((U132*100)-(0.0))/((2.5)-(0.0))))+0.3*MIN(1,MAX(0,((V132)-(0.6))/((1.0)-(0.6))))+0.3*MIN(1,MAX(0,((BE132)-(0.0))/((15.0)-(0.0)))))</f>
        <v/>
      </c>
      <c r="BH132" s="32">
        <f>100*(0.4*MIN(1,MAX(0,((MIN(ABS(AA132),ABS(AB132)))-(0.75))/((0.0)-(0.75))))+0.3*MIN(1,MAX(0,((BC132)-(1.2))/((0.6)-(1.2))))+0.3*BD132)</f>
        <v/>
      </c>
      <c r="BI132" s="32">
        <f>100*(0.5*MIN(1,MAX(0,((AK132)-(1.0))/((4.0)-(1.0))))+0.3*MIN(1,MAX(0,((IF(ISNUMBER(AO132),AO132,0)*100)-(0.0))/((8.0)-(0.0))))+0.2*MIN(1,MAX(0,((IF(ISNUMBER(AP132),AP132,0))-(25.0))/((5.0)-(25.0)))))</f>
        <v/>
      </c>
      <c r="BJ132" s="32">
        <f>100*(0.35*MIN(1,MAX(0,((ABS(AU132))-(0.3))/((0.05)-(0.3))))+0.3*MIN(1,MAX(0,((AV132)-(0.0))/((0.3)-(0.0))))+0.25*MIN(1,MAX(0,((AW132)-(0.4))/((0.7)-(0.4))))+0.1*IF(AY132&gt;=2,1,0.5))</f>
        <v/>
      </c>
      <c r="BK132" s="33">
        <f>0.25*BG132+0.25*BH132+0.2*BI132+0.3*BJ132</f>
        <v/>
      </c>
      <c r="BL132" s="20" t="inlineStr">
        <is>
          <t>C4 上升三角／重心偏上</t>
        </is>
      </c>
      <c r="BM132" s="20" t="inlineStr"/>
    </row>
    <row r="133">
      <c r="A133" s="20" t="n">
        <v>2</v>
      </c>
      <c r="B133" s="20" t="n">
        <v>32</v>
      </c>
      <c r="C133" s="21" t="inlineStr">
        <is>
          <t>TWST</t>
        </is>
      </c>
      <c r="D133" s="20" t="inlineStr">
        <is>
          <t>Twist Bioscience Corporation</t>
        </is>
      </c>
      <c r="E133" s="20" t="inlineStr">
        <is>
          <t>NASDAQ</t>
        </is>
      </c>
      <c r="F133" s="20" t="inlineStr">
        <is>
          <t>醫療保健</t>
        </is>
      </c>
      <c r="G133" s="20" t="inlineStr">
        <is>
          <t>Biotechnology: Biological Products (No Diagnostic Substances)</t>
        </is>
      </c>
      <c r="H133" s="22" t="n">
        <v>12.812</v>
      </c>
      <c r="I133" s="20" t="inlineStr">
        <is>
          <t>大型</t>
        </is>
      </c>
      <c r="J133" s="23" t="n">
        <v>188.05</v>
      </c>
      <c r="K133" s="23" t="n">
        <v>193.24</v>
      </c>
      <c r="L133" s="24">
        <f>J133/K133-1</f>
        <v/>
      </c>
      <c r="M133" s="23" t="n">
        <v>200.31</v>
      </c>
      <c r="N133" s="23" t="n">
        <v>187.6</v>
      </c>
      <c r="O133" s="25" t="n">
        <v>3115500</v>
      </c>
      <c r="P133" s="25" t="n">
        <v>2255390</v>
      </c>
      <c r="Q133" s="26">
        <f>O133/P133</f>
        <v/>
      </c>
      <c r="R133" s="23" t="n">
        <v>177.922</v>
      </c>
      <c r="S133" s="23" t="n">
        <v>161.7649</v>
      </c>
      <c r="T133" s="23" t="n">
        <v>146.7107</v>
      </c>
      <c r="U133" s="24">
        <f>S133/T133-1</f>
        <v/>
      </c>
      <c r="V133" s="27" t="n">
        <v>1</v>
      </c>
      <c r="W133" s="24">
        <f>J133/R133-1</f>
        <v/>
      </c>
      <c r="X133" s="24">
        <f>J133/S133-1</f>
        <v/>
      </c>
      <c r="Y133" s="23" t="n">
        <v>11.2515</v>
      </c>
      <c r="Z133" s="28">
        <f>Y133/J133</f>
        <v/>
      </c>
      <c r="AA133" s="26">
        <f>(J133-R133)/Y133</f>
        <v/>
      </c>
      <c r="AB133" s="26">
        <f>(J133-S133)/Y133</f>
        <v/>
      </c>
      <c r="AC133" s="20">
        <f>IF(ABS(AA133)&lt;=ABS(AB133),"9EMA","21EMA")</f>
        <v/>
      </c>
      <c r="AD133" s="20" t="inlineStr">
        <is>
          <t>—</t>
        </is>
      </c>
      <c r="AE133" s="20" t="inlineStr">
        <is>
          <t>持續在上方</t>
        </is>
      </c>
      <c r="AF133" s="20" t="inlineStr"/>
      <c r="AG133" s="20" t="inlineStr"/>
      <c r="AH133" s="20" t="inlineStr"/>
      <c r="AI133" s="20" t="inlineStr">
        <is>
          <t>2026-07-31</t>
        </is>
      </c>
      <c r="AJ133" s="20" t="n">
        <v>43</v>
      </c>
      <c r="AK133" s="29" t="n">
        <v>4</v>
      </c>
      <c r="AL133" s="20" t="inlineStr">
        <is>
          <t>2026-09-24</t>
        </is>
      </c>
      <c r="AM133" s="23" t="n">
        <v>156.83</v>
      </c>
      <c r="AN133" s="23" t="n">
        <v>120.19</v>
      </c>
      <c r="AO133" s="24">
        <f>IF(ISNUMBER(AN133),AM133/AN133-1,"")</f>
        <v/>
      </c>
      <c r="AP133" s="29" t="n">
        <v>5</v>
      </c>
      <c r="AQ133" s="24">
        <f>IF(ISNUMBER(AM133),J133/AM133-1,"")</f>
        <v/>
      </c>
      <c r="AR133" s="23" t="n">
        <v>193.24</v>
      </c>
      <c r="AS133" s="24">
        <f>J133/AR133-1</f>
        <v/>
      </c>
      <c r="AT133" s="20" t="inlineStr">
        <is>
          <t>上傾收窄（楔形）</t>
        </is>
      </c>
      <c r="AU133" s="30" t="n">
        <v>1.4188</v>
      </c>
      <c r="AV133" s="30" t="n">
        <v>1.9484</v>
      </c>
      <c r="AW133" s="30" t="n">
        <v>0.4884</v>
      </c>
      <c r="AX133" s="30" t="n">
        <v>0.5049</v>
      </c>
      <c r="AY133" s="29" t="n">
        <v>1</v>
      </c>
      <c r="AZ133" s="23" t="n">
        <v>200.31</v>
      </c>
      <c r="BA133" s="23" t="n">
        <v>120.19</v>
      </c>
      <c r="BB133" s="23" t="n">
        <v>159.3175</v>
      </c>
      <c r="BC133" s="30" t="n">
        <v>0.7245</v>
      </c>
      <c r="BD133" s="26">
        <f>IF(M133=N133,0.5,(J133-N133)/(M133-N133))</f>
        <v/>
      </c>
      <c r="BE133" s="31" t="n">
        <v>47.152</v>
      </c>
      <c r="BF133" s="31" t="n">
        <v>42.397</v>
      </c>
      <c r="BG133" s="32">
        <f>100*(0.4*MIN(1,MAX(0,((U133*100)-(0.0))/((2.5)-(0.0))))+0.3*MIN(1,MAX(0,((V133)-(0.6))/((1.0)-(0.6))))+0.3*MIN(1,MAX(0,((BE133)-(0.0))/((15.0)-(0.0)))))</f>
        <v/>
      </c>
      <c r="BH133" s="32">
        <f>100*(0.4*MIN(1,MAX(0,((MIN(ABS(AA133),ABS(AB133)))-(0.75))/((0.0)-(0.75))))+0.3*MIN(1,MAX(0,((BC133)-(1.2))/((0.6)-(1.2))))+0.3*BD133)</f>
        <v/>
      </c>
      <c r="BI133" s="32">
        <f>100*(0.5*MIN(1,MAX(0,((AK133)-(1.0))/((4.0)-(1.0))))+0.3*MIN(1,MAX(0,((IF(ISNUMBER(AO133),AO133,0)*100)-(0.0))/((8.0)-(0.0))))+0.2*MIN(1,MAX(0,((IF(ISNUMBER(AP133),AP133,0))-(25.0))/((5.0)-(25.0)))))</f>
        <v/>
      </c>
      <c r="BJ133" s="32">
        <f>100*(0.35*MIN(1,MAX(0,((ABS(AU133))-(0.3))/((0.05)-(0.3))))+0.3*MIN(1,MAX(0,((AV133)-(0.0))/((0.3)-(0.0))))+0.25*MIN(1,MAX(0,((AW133)-(0.4))/((0.7)-(0.4))))+0.1*IF(AY133&gt;=2,1,0.5))</f>
        <v/>
      </c>
      <c r="BK133" s="33">
        <f>0.25*BG133+0.25*BH133+0.2*BI133+0.3*BJ133</f>
        <v/>
      </c>
      <c r="BL133" s="20" t="inlineStr">
        <is>
          <t>C4 上升三角／重心偏上</t>
        </is>
      </c>
      <c r="BM133" s="20" t="inlineStr"/>
    </row>
    <row r="134">
      <c r="A134" s="20" t="n">
        <v>2</v>
      </c>
      <c r="B134" s="20" t="n">
        <v>33</v>
      </c>
      <c r="C134" s="21" t="inlineStr">
        <is>
          <t>GEV</t>
        </is>
      </c>
      <c r="D134" s="20" t="inlineStr">
        <is>
          <t>GE Vernova Inc.</t>
        </is>
      </c>
      <c r="E134" s="20" t="inlineStr">
        <is>
          <t>NYSE</t>
        </is>
      </c>
      <c r="F134" s="20" t="inlineStr">
        <is>
          <t>科技</t>
        </is>
      </c>
      <c r="G134" s="20" t="inlineStr">
        <is>
          <t>Consumer Electronics/Appliances</t>
        </is>
      </c>
      <c r="H134" s="22" t="n">
        <v>253.147</v>
      </c>
      <c r="I134" s="20" t="inlineStr">
        <is>
          <t>大型</t>
        </is>
      </c>
      <c r="J134" s="23" t="n">
        <v>987.45</v>
      </c>
      <c r="K134" s="23" t="n">
        <v>950.49</v>
      </c>
      <c r="L134" s="24">
        <f>J134/K134-1</f>
        <v/>
      </c>
      <c r="M134" s="23" t="n">
        <v>1003.78</v>
      </c>
      <c r="N134" s="23" t="n">
        <v>942</v>
      </c>
      <c r="O134" s="25" t="n">
        <v>2945000</v>
      </c>
      <c r="P134" s="25" t="n">
        <v>2119200</v>
      </c>
      <c r="Q134" s="26">
        <f>O134/P134</f>
        <v/>
      </c>
      <c r="R134" s="23" t="n">
        <v>956.8361</v>
      </c>
      <c r="S134" s="23" t="n">
        <v>950.9327</v>
      </c>
      <c r="T134" s="23" t="n">
        <v>943.7049</v>
      </c>
      <c r="U134" s="24">
        <f>S134/T134-1</f>
        <v/>
      </c>
      <c r="V134" s="27" t="n">
        <v>1</v>
      </c>
      <c r="W134" s="24">
        <f>J134/R134-1</f>
        <v/>
      </c>
      <c r="X134" s="24">
        <f>J134/S134-1</f>
        <v/>
      </c>
      <c r="Y134" s="23" t="n">
        <v>36.2817</v>
      </c>
      <c r="Z134" s="28">
        <f>Y134/J134</f>
        <v/>
      </c>
      <c r="AA134" s="26">
        <f>(J134-R134)/Y134</f>
        <v/>
      </c>
      <c r="AB134" s="26">
        <f>(J134-S134)/Y134</f>
        <v/>
      </c>
      <c r="AC134" s="20">
        <f>IF(ABS(AA134)&lt;=ABS(AB134),"9EMA","21EMA")</f>
        <v/>
      </c>
      <c r="AD134" s="20" t="inlineStr">
        <is>
          <t>9+21EMA</t>
        </is>
      </c>
      <c r="AE134" s="19" t="inlineStr">
        <is>
          <t>剛黃金交叉</t>
        </is>
      </c>
      <c r="AF134" s="20" t="inlineStr">
        <is>
          <t>✓</t>
        </is>
      </c>
      <c r="AG134" s="20" t="inlineStr"/>
      <c r="AH134" s="20" t="inlineStr"/>
      <c r="AI134" s="20" t="inlineStr">
        <is>
          <t>2026-09-28</t>
        </is>
      </c>
      <c r="AJ134" s="20" t="n">
        <v>3</v>
      </c>
      <c r="AK134" s="29" t="n">
        <v>2</v>
      </c>
      <c r="AL134" s="20" t="inlineStr">
        <is>
          <t>2026-09-24</t>
        </is>
      </c>
      <c r="AM134" s="23" t="n">
        <v>921.53</v>
      </c>
      <c r="AN134" s="23" t="n">
        <v>868.25</v>
      </c>
      <c r="AO134" s="24">
        <f>IF(ISNUMBER(AN134),AM134/AN134-1,"")</f>
        <v/>
      </c>
      <c r="AP134" s="29" t="n">
        <v>5</v>
      </c>
      <c r="AQ134" s="24">
        <f>IF(ISNUMBER(AM134),J134/AM134-1,"")</f>
        <v/>
      </c>
      <c r="AR134" s="23" t="n">
        <v>987.45</v>
      </c>
      <c r="AS134" s="24">
        <f>J134/AR134-1</f>
        <v/>
      </c>
      <c r="AT134" s="20" t="inlineStr">
        <is>
          <t>上升三角（平頂）</t>
        </is>
      </c>
      <c r="AU134" s="30" t="n">
        <v>-0.0494</v>
      </c>
      <c r="AV134" s="30" t="n">
        <v>0.3008</v>
      </c>
      <c r="AW134" s="30" t="n">
        <v>0.4793</v>
      </c>
      <c r="AX134" s="30" t="n">
        <v>0.5187</v>
      </c>
      <c r="AY134" s="29" t="n">
        <v>1</v>
      </c>
      <c r="AZ134" s="23" t="n">
        <v>1003.78</v>
      </c>
      <c r="BA134" s="23" t="n">
        <v>868.25</v>
      </c>
      <c r="BB134" s="23" t="n">
        <v>933.2089</v>
      </c>
      <c r="BC134" s="30" t="n">
        <v>0.7635</v>
      </c>
      <c r="BD134" s="26">
        <f>IF(M134=N134,0.5,(J134-N134)/(M134-N134))</f>
        <v/>
      </c>
      <c r="BE134" s="31" t="n">
        <v>14.65</v>
      </c>
      <c r="BF134" s="31" t="n">
        <v>9.896000000000001</v>
      </c>
      <c r="BG134" s="32">
        <f>100*(0.4*MIN(1,MAX(0,((U134*100)-(0.0))/((2.5)-(0.0))))+0.3*MIN(1,MAX(0,((V134)-(0.6))/((1.0)-(0.6))))+0.3*MIN(1,MAX(0,((BE134)-(0.0))/((15.0)-(0.0)))))</f>
        <v/>
      </c>
      <c r="BH134" s="32">
        <f>100*(0.4*MIN(1,MAX(0,((MIN(ABS(AA134),ABS(AB134)))-(0.75))/((0.0)-(0.75))))+0.3*MIN(1,MAX(0,((BC134)-(1.2))/((0.6)-(1.2))))+0.3*BD134)</f>
        <v/>
      </c>
      <c r="BI134" s="32">
        <f>100*(0.5*MIN(1,MAX(0,((AK134)-(1.0))/((4.0)-(1.0))))+0.3*MIN(1,MAX(0,((IF(ISNUMBER(AO134),AO134,0)*100)-(0.0))/((8.0)-(0.0))))+0.2*MIN(1,MAX(0,((IF(ISNUMBER(AP134),AP134,0))-(25.0))/((5.0)-(25.0)))))</f>
        <v/>
      </c>
      <c r="BJ134" s="32">
        <f>100*(0.35*MIN(1,MAX(0,((ABS(AU134))-(0.3))/((0.05)-(0.3))))+0.3*MIN(1,MAX(0,((AV134)-(0.0))/((0.3)-(0.0))))+0.25*MIN(1,MAX(0,((AW134)-(0.4))/((0.7)-(0.4))))+0.1*IF(AY134&gt;=2,1,0.5))</f>
        <v/>
      </c>
      <c r="BK134" s="33">
        <f>0.25*BG134+0.25*BH134+0.2*BI134+0.3*BJ134</f>
        <v/>
      </c>
      <c r="BL134" s="20" t="inlineStr">
        <is>
          <t>C4 上升三角／重心偏上</t>
        </is>
      </c>
      <c r="BM134" s="20" t="inlineStr"/>
    </row>
    <row r="135">
      <c r="A135" s="20" t="n">
        <v>2</v>
      </c>
      <c r="B135" s="20" t="n">
        <v>34</v>
      </c>
      <c r="C135" s="21" t="inlineStr">
        <is>
          <t>OKTA</t>
        </is>
      </c>
      <c r="D135" s="20" t="inlineStr">
        <is>
          <t>Okta Inc.</t>
        </is>
      </c>
      <c r="E135" s="20" t="inlineStr">
        <is>
          <t>NASDAQ</t>
        </is>
      </c>
      <c r="F135" s="20" t="inlineStr">
        <is>
          <t>科技</t>
        </is>
      </c>
      <c r="G135" s="20" t="inlineStr">
        <is>
          <t>Computer Software: Prepackaged Software</t>
        </is>
      </c>
      <c r="H135" s="22" t="n">
        <v>36.557</v>
      </c>
      <c r="I135" s="20" t="inlineStr">
        <is>
          <t>大型</t>
        </is>
      </c>
      <c r="J135" s="23" t="n">
        <v>212.63</v>
      </c>
      <c r="K135" s="23" t="n">
        <v>209.11</v>
      </c>
      <c r="L135" s="24">
        <f>J135/K135-1</f>
        <v/>
      </c>
      <c r="M135" s="23" t="n">
        <v>213.86</v>
      </c>
      <c r="N135" s="23" t="n">
        <v>205.25</v>
      </c>
      <c r="O135" s="25" t="n">
        <v>3180700</v>
      </c>
      <c r="P135" s="25" t="n">
        <v>3964935</v>
      </c>
      <c r="Q135" s="26">
        <f>O135/P135</f>
        <v/>
      </c>
      <c r="R135" s="23" t="n">
        <v>202.0704</v>
      </c>
      <c r="S135" s="23" t="n">
        <v>189.38</v>
      </c>
      <c r="T135" s="23" t="n">
        <v>179.4853</v>
      </c>
      <c r="U135" s="24">
        <f>S135/T135-1</f>
        <v/>
      </c>
      <c r="V135" s="27" t="n">
        <v>1</v>
      </c>
      <c r="W135" s="24">
        <f>J135/R135-1</f>
        <v/>
      </c>
      <c r="X135" s="24">
        <f>J135/S135-1</f>
        <v/>
      </c>
      <c r="Y135" s="23" t="n">
        <v>9.7233</v>
      </c>
      <c r="Z135" s="28">
        <f>Y135/J135</f>
        <v/>
      </c>
      <c r="AA135" s="26">
        <f>(J135-R135)/Y135</f>
        <v/>
      </c>
      <c r="AB135" s="26">
        <f>(J135-S135)/Y135</f>
        <v/>
      </c>
      <c r="AC135" s="20">
        <f>IF(ABS(AA135)&lt;=ABS(AB135),"9EMA","21EMA")</f>
        <v/>
      </c>
      <c r="AD135" s="20" t="inlineStr">
        <is>
          <t>—</t>
        </is>
      </c>
      <c r="AE135" s="20" t="inlineStr">
        <is>
          <t>持續在上方</t>
        </is>
      </c>
      <c r="AF135" s="20" t="inlineStr"/>
      <c r="AG135" s="20" t="inlineStr"/>
      <c r="AH135" s="20" t="inlineStr"/>
      <c r="AI135" s="20" t="inlineStr">
        <is>
          <t>2026-08-27</t>
        </is>
      </c>
      <c r="AJ135" s="20" t="n">
        <v>24</v>
      </c>
      <c r="AK135" s="29" t="n">
        <v>4</v>
      </c>
      <c r="AL135" s="20" t="inlineStr">
        <is>
          <t>2026-09-28</t>
        </is>
      </c>
      <c r="AM135" s="23" t="n">
        <v>190.5</v>
      </c>
      <c r="AN135" s="23" t="n">
        <v>180.55</v>
      </c>
      <c r="AO135" s="24">
        <f>IF(ISNUMBER(AN135),AM135/AN135-1,"")</f>
        <v/>
      </c>
      <c r="AP135" s="29" t="n">
        <v>3</v>
      </c>
      <c r="AQ135" s="24">
        <f>IF(ISNUMBER(AM135),J135/AM135-1,"")</f>
        <v/>
      </c>
      <c r="AR135" s="23" t="n">
        <v>212.63</v>
      </c>
      <c r="AS135" s="24">
        <f>J135/AR135-1</f>
        <v/>
      </c>
      <c r="AT135" s="20" t="inlineStr">
        <is>
          <t>上升通道</t>
        </is>
      </c>
      <c r="AU135" s="30" t="n">
        <v>0.9319</v>
      </c>
      <c r="AV135" s="30" t="n">
        <v>0.9043</v>
      </c>
      <c r="AW135" s="30" t="n">
        <v>0.4817</v>
      </c>
      <c r="AX135" s="30" t="n">
        <v>0.4241</v>
      </c>
      <c r="AY135" s="29" t="n">
        <v>3</v>
      </c>
      <c r="AZ135" s="23" t="n">
        <v>213.86</v>
      </c>
      <c r="BA135" s="23" t="n">
        <v>156.5</v>
      </c>
      <c r="BB135" s="23" t="n">
        <v>184.133</v>
      </c>
      <c r="BC135" s="30" t="n">
        <v>1.1909</v>
      </c>
      <c r="BD135" s="26">
        <f>IF(M135=N135,0.5,(J135-N135)/(M135-N135))</f>
        <v/>
      </c>
      <c r="BE135" s="31" t="n">
        <v>32.514</v>
      </c>
      <c r="BF135" s="31" t="n">
        <v>27.759</v>
      </c>
      <c r="BG135" s="32">
        <f>100*(0.4*MIN(1,MAX(0,((U135*100)-(0.0))/((2.5)-(0.0))))+0.3*MIN(1,MAX(0,((V135)-(0.6))/((1.0)-(0.6))))+0.3*MIN(1,MAX(0,((BE135)-(0.0))/((15.0)-(0.0)))))</f>
        <v/>
      </c>
      <c r="BH135" s="32">
        <f>100*(0.4*MIN(1,MAX(0,((MIN(ABS(AA135),ABS(AB135)))-(0.75))/((0.0)-(0.75))))+0.3*MIN(1,MAX(0,((BC135)-(1.2))/((0.6)-(1.2))))+0.3*BD135)</f>
        <v/>
      </c>
      <c r="BI135" s="32">
        <f>100*(0.5*MIN(1,MAX(0,((AK135)-(1.0))/((4.0)-(1.0))))+0.3*MIN(1,MAX(0,((IF(ISNUMBER(AO135),AO135,0)*100)-(0.0))/((8.0)-(0.0))))+0.2*MIN(1,MAX(0,((IF(ISNUMBER(AP135),AP135,0))-(25.0))/((5.0)-(25.0)))))</f>
        <v/>
      </c>
      <c r="BJ135" s="32">
        <f>100*(0.35*MIN(1,MAX(0,((ABS(AU135))-(0.3))/((0.05)-(0.3))))+0.3*MIN(1,MAX(0,((AV135)-(0.0))/((0.3)-(0.0))))+0.25*MIN(1,MAX(0,((AW135)-(0.4))/((0.7)-(0.4))))+0.1*IF(AY135&gt;=2,1,0.5))</f>
        <v/>
      </c>
      <c r="BK135" s="33">
        <f>0.25*BG135+0.25*BH135+0.2*BI135+0.3*BJ135</f>
        <v/>
      </c>
      <c r="BL135" s="20" t="inlineStr">
        <is>
          <t>C4 上升三角／重心偏上</t>
        </is>
      </c>
      <c r="BM135" s="20" t="inlineStr"/>
    </row>
    <row r="136">
      <c r="A136" s="20" t="n">
        <v>2</v>
      </c>
      <c r="B136" s="20" t="n">
        <v>35</v>
      </c>
      <c r="C136" s="21" t="inlineStr">
        <is>
          <t>CVI</t>
        </is>
      </c>
      <c r="D136" s="20" t="inlineStr">
        <is>
          <t>CVR Energy Inc.</t>
        </is>
      </c>
      <c r="E136" s="20" t="inlineStr">
        <is>
          <t>NYSE</t>
        </is>
      </c>
      <c r="F136" s="20" t="inlineStr">
        <is>
          <t>能源</t>
        </is>
      </c>
      <c r="G136" s="20" t="inlineStr">
        <is>
          <t>Integrated oil Companies</t>
        </is>
      </c>
      <c r="H136" s="22" t="n">
        <v>5.126</v>
      </c>
      <c r="I136" s="20" t="inlineStr">
        <is>
          <t>中型</t>
        </is>
      </c>
      <c r="J136" s="23" t="n">
        <v>54.36</v>
      </c>
      <c r="K136" s="23" t="n">
        <v>50.99</v>
      </c>
      <c r="L136" s="24">
        <f>J136/K136-1</f>
        <v/>
      </c>
      <c r="M136" s="23" t="n">
        <v>54.4</v>
      </c>
      <c r="N136" s="23" t="n">
        <v>50.6</v>
      </c>
      <c r="O136" s="25" t="n">
        <v>965400</v>
      </c>
      <c r="P136" s="25" t="n">
        <v>1206155</v>
      </c>
      <c r="Q136" s="26">
        <f>O136/P136</f>
        <v/>
      </c>
      <c r="R136" s="23" t="n">
        <v>51.7449</v>
      </c>
      <c r="S136" s="23" t="n">
        <v>49.3799</v>
      </c>
      <c r="T136" s="23" t="n">
        <v>47.9277</v>
      </c>
      <c r="U136" s="24">
        <f>S136/T136-1</f>
        <v/>
      </c>
      <c r="V136" s="27" t="n">
        <v>1</v>
      </c>
      <c r="W136" s="24">
        <f>J136/R136-1</f>
        <v/>
      </c>
      <c r="X136" s="24">
        <f>J136/S136-1</f>
        <v/>
      </c>
      <c r="Y136" s="23" t="n">
        <v>2.619</v>
      </c>
      <c r="Z136" s="28">
        <f>Y136/J136</f>
        <v/>
      </c>
      <c r="AA136" s="26">
        <f>(J136-R136)/Y136</f>
        <v/>
      </c>
      <c r="AB136" s="26">
        <f>(J136-S136)/Y136</f>
        <v/>
      </c>
      <c r="AC136" s="20">
        <f>IF(ABS(AA136)&lt;=ABS(AB136),"9EMA","21EMA")</f>
        <v/>
      </c>
      <c r="AD136" s="20" t="inlineStr">
        <is>
          <t>9EMA</t>
        </is>
      </c>
      <c r="AE136" s="20" t="inlineStr">
        <is>
          <t>持續在上方</t>
        </is>
      </c>
      <c r="AF136" s="20" t="inlineStr"/>
      <c r="AG136" s="20" t="inlineStr"/>
      <c r="AH136" s="20" t="inlineStr"/>
      <c r="AI136" s="20" t="inlineStr">
        <is>
          <t>2026-08-11</t>
        </is>
      </c>
      <c r="AJ136" s="20" t="n">
        <v>36</v>
      </c>
      <c r="AK136" s="29" t="n">
        <v>2</v>
      </c>
      <c r="AL136" s="20" t="inlineStr">
        <is>
          <t>2026-09-25</t>
        </is>
      </c>
      <c r="AM136" s="23" t="n">
        <v>49.76</v>
      </c>
      <c r="AN136" s="23" t="n">
        <v>29.8</v>
      </c>
      <c r="AO136" s="24">
        <f>IF(ISNUMBER(AN136),AM136/AN136-1,"")</f>
        <v/>
      </c>
      <c r="AP136" s="29" t="n">
        <v>4</v>
      </c>
      <c r="AQ136" s="24">
        <f>IF(ISNUMBER(AM136),J136/AM136-1,"")</f>
        <v/>
      </c>
      <c r="AR136" s="23" t="n">
        <v>54.36</v>
      </c>
      <c r="AS136" s="24">
        <f>J136/AR136-1</f>
        <v/>
      </c>
      <c r="AT136" s="20" t="inlineStr">
        <is>
          <t>上升通道</t>
        </is>
      </c>
      <c r="AU136" s="30" t="n">
        <v>1.0391</v>
      </c>
      <c r="AV136" s="30" t="n">
        <v>0.9782999999999999</v>
      </c>
      <c r="AW136" s="30" t="n">
        <v>0.6054</v>
      </c>
      <c r="AX136" s="30" t="n">
        <v>0.6176</v>
      </c>
      <c r="AY136" s="29" t="n">
        <v>4</v>
      </c>
      <c r="AZ136" s="23" t="n">
        <v>55.19</v>
      </c>
      <c r="BA136" s="23" t="n">
        <v>38.94</v>
      </c>
      <c r="BB136" s="23" t="n">
        <v>48.7771</v>
      </c>
      <c r="BC136" s="30" t="n">
        <v>1.1484</v>
      </c>
      <c r="BD136" s="26">
        <f>IF(M136=N136,0.5,(J136-N136)/(M136-N136))</f>
        <v/>
      </c>
      <c r="BE136" s="31" t="n">
        <v>31.556</v>
      </c>
      <c r="BF136" s="31" t="n">
        <v>26.802</v>
      </c>
      <c r="BG136" s="32">
        <f>100*(0.4*MIN(1,MAX(0,((U136*100)-(0.0))/((2.5)-(0.0))))+0.3*MIN(1,MAX(0,((V136)-(0.6))/((1.0)-(0.6))))+0.3*MIN(1,MAX(0,((BE136)-(0.0))/((15.0)-(0.0)))))</f>
        <v/>
      </c>
      <c r="BH136" s="32">
        <f>100*(0.4*MIN(1,MAX(0,((MIN(ABS(AA136),ABS(AB136)))-(0.75))/((0.0)-(0.75))))+0.3*MIN(1,MAX(0,((BC136)-(1.2))/((0.6)-(1.2))))+0.3*BD136)</f>
        <v/>
      </c>
      <c r="BI136" s="32">
        <f>100*(0.5*MIN(1,MAX(0,((AK136)-(1.0))/((4.0)-(1.0))))+0.3*MIN(1,MAX(0,((IF(ISNUMBER(AO136),AO136,0)*100)-(0.0))/((8.0)-(0.0))))+0.2*MIN(1,MAX(0,((IF(ISNUMBER(AP136),AP136,0))-(25.0))/((5.0)-(25.0)))))</f>
        <v/>
      </c>
      <c r="BJ136" s="32">
        <f>100*(0.35*MIN(1,MAX(0,((ABS(AU136))-(0.3))/((0.05)-(0.3))))+0.3*MIN(1,MAX(0,((AV136)-(0.0))/((0.3)-(0.0))))+0.25*MIN(1,MAX(0,((AW136)-(0.4))/((0.7)-(0.4))))+0.1*IF(AY136&gt;=2,1,0.5))</f>
        <v/>
      </c>
      <c r="BK136" s="33">
        <f>0.25*BG136+0.25*BH136+0.2*BI136+0.3*BJ136</f>
        <v/>
      </c>
      <c r="BL136" s="20" t="inlineStr">
        <is>
          <t>C4 上升三角／重心偏上</t>
        </is>
      </c>
      <c r="BM136" s="20" t="inlineStr"/>
    </row>
    <row r="137">
      <c r="A137" s="20" t="n">
        <v>2</v>
      </c>
      <c r="B137" s="20" t="n">
        <v>36</v>
      </c>
      <c r="C137" s="21" t="inlineStr">
        <is>
          <t>AMBQ</t>
        </is>
      </c>
      <c r="D137" s="20" t="inlineStr">
        <is>
          <t>Ambiq Micro Inc.</t>
        </is>
      </c>
      <c r="E137" s="20" t="inlineStr">
        <is>
          <t>NYSE</t>
        </is>
      </c>
      <c r="F137" s="20" t="inlineStr">
        <is>
          <t>科技</t>
        </is>
      </c>
      <c r="G137" s="20" t="inlineStr">
        <is>
          <t>Semiconductors</t>
        </is>
      </c>
      <c r="H137" s="22" t="n">
        <v>1.649</v>
      </c>
      <c r="I137" s="20" t="inlineStr">
        <is>
          <t>小型</t>
        </is>
      </c>
      <c r="J137" s="23" t="n">
        <v>69.15000000000001</v>
      </c>
      <c r="K137" s="23" t="n">
        <v>68.17</v>
      </c>
      <c r="L137" s="24">
        <f>J137/K137-1</f>
        <v/>
      </c>
      <c r="M137" s="23" t="n">
        <v>70.16500000000001</v>
      </c>
      <c r="N137" s="23" t="n">
        <v>67.47</v>
      </c>
      <c r="O137" s="25" t="n">
        <v>584500</v>
      </c>
      <c r="P137" s="25" t="n">
        <v>581830</v>
      </c>
      <c r="Q137" s="26">
        <f>O137/P137</f>
        <v/>
      </c>
      <c r="R137" s="23" t="n">
        <v>67.5243</v>
      </c>
      <c r="S137" s="23" t="n">
        <v>65.5802</v>
      </c>
      <c r="T137" s="23" t="n">
        <v>64.08580000000001</v>
      </c>
      <c r="U137" s="24">
        <f>S137/T137-1</f>
        <v/>
      </c>
      <c r="V137" s="27" t="n">
        <v>0.9</v>
      </c>
      <c r="W137" s="24">
        <f>J137/R137-1</f>
        <v/>
      </c>
      <c r="X137" s="24">
        <f>J137/S137-1</f>
        <v/>
      </c>
      <c r="Y137" s="23" t="n">
        <v>3.9219</v>
      </c>
      <c r="Z137" s="28">
        <f>Y137/J137</f>
        <v/>
      </c>
      <c r="AA137" s="26">
        <f>(J137-R137)/Y137</f>
        <v/>
      </c>
      <c r="AB137" s="26">
        <f>(J137-S137)/Y137</f>
        <v/>
      </c>
      <c r="AC137" s="20">
        <f>IF(ABS(AA137)&lt;=ABS(AB137),"9EMA","21EMA")</f>
        <v/>
      </c>
      <c r="AD137" s="20" t="inlineStr">
        <is>
          <t>9+21EMA</t>
        </is>
      </c>
      <c r="AE137" s="20" t="inlineStr">
        <is>
          <t>持續在上方</t>
        </is>
      </c>
      <c r="AF137" s="20" t="inlineStr"/>
      <c r="AG137" s="20" t="inlineStr"/>
      <c r="AH137" s="20" t="inlineStr">
        <is>
          <t>✓</t>
        </is>
      </c>
      <c r="AI137" s="20" t="inlineStr">
        <is>
          <t>2026-09-18</t>
        </is>
      </c>
      <c r="AJ137" s="20" t="n">
        <v>9</v>
      </c>
      <c r="AK137" s="29" t="n">
        <v>2</v>
      </c>
      <c r="AL137" s="20" t="inlineStr">
        <is>
          <t>2026-09-16</t>
        </is>
      </c>
      <c r="AM137" s="23" t="n">
        <v>58.47</v>
      </c>
      <c r="AN137" s="23" t="n">
        <v>54.865</v>
      </c>
      <c r="AO137" s="24">
        <f>IF(ISNUMBER(AN137),AM137/AN137-1,"")</f>
        <v/>
      </c>
      <c r="AP137" s="29" t="n">
        <v>11</v>
      </c>
      <c r="AQ137" s="24">
        <f>IF(ISNUMBER(AM137),J137/AM137-1,"")</f>
        <v/>
      </c>
      <c r="AR137" s="23" t="n">
        <v>71.09</v>
      </c>
      <c r="AS137" s="24">
        <f>J137/AR137-1</f>
        <v/>
      </c>
      <c r="AT137" s="20" t="inlineStr">
        <is>
          <t>上傾擴張</t>
        </is>
      </c>
      <c r="AU137" s="30" t="n">
        <v>1.1248</v>
      </c>
      <c r="AV137" s="30" t="n">
        <v>0.6516999999999999</v>
      </c>
      <c r="AW137" s="30" t="n">
        <v>0.497</v>
      </c>
      <c r="AX137" s="30" t="n">
        <v>0.5266</v>
      </c>
      <c r="AY137" s="29" t="n">
        <v>1</v>
      </c>
      <c r="AZ137" s="23" t="n">
        <v>73.08</v>
      </c>
      <c r="BA137" s="23" t="n">
        <v>54.865</v>
      </c>
      <c r="BB137" s="23" t="n">
        <v>63.9179</v>
      </c>
      <c r="BC137" s="30" t="n">
        <v>0.4488</v>
      </c>
      <c r="BD137" s="26">
        <f>IF(M137=N137,0.5,(J137-N137)/(M137-N137))</f>
        <v/>
      </c>
      <c r="BE137" s="31" t="n">
        <v>28.369</v>
      </c>
      <c r="BF137" s="31" t="n">
        <v>23.615</v>
      </c>
      <c r="BG137" s="32">
        <f>100*(0.4*MIN(1,MAX(0,((U137*100)-(0.0))/((2.5)-(0.0))))+0.3*MIN(1,MAX(0,((V137)-(0.6))/((1.0)-(0.6))))+0.3*MIN(1,MAX(0,((BE137)-(0.0))/((15.0)-(0.0)))))</f>
        <v/>
      </c>
      <c r="BH137" s="32">
        <f>100*(0.4*MIN(1,MAX(0,((MIN(ABS(AA137),ABS(AB137)))-(0.75))/((0.0)-(0.75))))+0.3*MIN(1,MAX(0,((BC137)-(1.2))/((0.6)-(1.2))))+0.3*BD137)</f>
        <v/>
      </c>
      <c r="BI137" s="32">
        <f>100*(0.5*MIN(1,MAX(0,((AK137)-(1.0))/((4.0)-(1.0))))+0.3*MIN(1,MAX(0,((IF(ISNUMBER(AO137),AO137,0)*100)-(0.0))/((8.0)-(0.0))))+0.2*MIN(1,MAX(0,((IF(ISNUMBER(AP137),AP137,0))-(25.0))/((5.0)-(25.0)))))</f>
        <v/>
      </c>
      <c r="BJ137" s="32">
        <f>100*(0.35*MIN(1,MAX(0,((ABS(AU137))-(0.3))/((0.05)-(0.3))))+0.3*MIN(1,MAX(0,((AV137)-(0.0))/((0.3)-(0.0))))+0.25*MIN(1,MAX(0,((AW137)-(0.4))/((0.7)-(0.4))))+0.1*IF(AY137&gt;=2,1,0.5))</f>
        <v/>
      </c>
      <c r="BK137" s="33">
        <f>0.25*BG137+0.25*BH137+0.2*BI137+0.3*BJ137</f>
        <v/>
      </c>
      <c r="BL137" s="20" t="inlineStr">
        <is>
          <t>C4 上升三角／重心偏上</t>
        </is>
      </c>
      <c r="BM137" s="20" t="inlineStr"/>
    </row>
    <row r="138">
      <c r="A138" s="20" t="n">
        <v>2</v>
      </c>
      <c r="B138" s="20" t="n">
        <v>37</v>
      </c>
      <c r="C138" s="21" t="inlineStr">
        <is>
          <t>ALAB</t>
        </is>
      </c>
      <c r="D138" s="20" t="inlineStr">
        <is>
          <t>Astera Labs Inc.</t>
        </is>
      </c>
      <c r="E138" s="20" t="inlineStr">
        <is>
          <t>NASDAQ</t>
        </is>
      </c>
      <c r="F138" s="20" t="inlineStr">
        <is>
          <t>科技</t>
        </is>
      </c>
      <c r="G138" s="20" t="inlineStr">
        <is>
          <t>Semiconductors</t>
        </is>
      </c>
      <c r="H138" s="22" t="n">
        <v>61.755</v>
      </c>
      <c r="I138" s="20" t="inlineStr">
        <is>
          <t>大型</t>
        </is>
      </c>
      <c r="J138" s="23" t="n">
        <v>356.42</v>
      </c>
      <c r="K138" s="23" t="n">
        <v>355.97</v>
      </c>
      <c r="L138" s="24">
        <f>J138/K138-1</f>
        <v/>
      </c>
      <c r="M138" s="23" t="n">
        <v>364.85</v>
      </c>
      <c r="N138" s="23" t="n">
        <v>352</v>
      </c>
      <c r="O138" s="25" t="n">
        <v>4032200</v>
      </c>
      <c r="P138" s="25" t="n">
        <v>4174855</v>
      </c>
      <c r="Q138" s="26">
        <f>O138/P138</f>
        <v/>
      </c>
      <c r="R138" s="23" t="n">
        <v>347.271</v>
      </c>
      <c r="S138" s="23" t="n">
        <v>328.3032</v>
      </c>
      <c r="T138" s="23" t="n">
        <v>310.7678</v>
      </c>
      <c r="U138" s="24">
        <f>S138/T138-1</f>
        <v/>
      </c>
      <c r="V138" s="27" t="n">
        <v>1</v>
      </c>
      <c r="W138" s="24">
        <f>J138/R138-1</f>
        <v/>
      </c>
      <c r="X138" s="24">
        <f>J138/S138-1</f>
        <v/>
      </c>
      <c r="Y138" s="23" t="n">
        <v>21.9508</v>
      </c>
      <c r="Z138" s="28">
        <f>Y138/J138</f>
        <v/>
      </c>
      <c r="AA138" s="26">
        <f>(J138-R138)/Y138</f>
        <v/>
      </c>
      <c r="AB138" s="26">
        <f>(J138-S138)/Y138</f>
        <v/>
      </c>
      <c r="AC138" s="20">
        <f>IF(ABS(AA138)&lt;=ABS(AB138),"9EMA","21EMA")</f>
        <v/>
      </c>
      <c r="AD138" s="20" t="inlineStr">
        <is>
          <t>9EMA</t>
        </is>
      </c>
      <c r="AE138" s="20" t="inlineStr">
        <is>
          <t>持續在上方</t>
        </is>
      </c>
      <c r="AF138" s="20" t="inlineStr"/>
      <c r="AG138" s="20" t="inlineStr"/>
      <c r="AH138" s="20" t="inlineStr">
        <is>
          <t>✓</t>
        </is>
      </c>
      <c r="AI138" s="20" t="inlineStr">
        <is>
          <t>2026-09-21</t>
        </is>
      </c>
      <c r="AJ138" s="20" t="n">
        <v>8</v>
      </c>
      <c r="AK138" s="29" t="n">
        <v>2</v>
      </c>
      <c r="AL138" s="20" t="inlineStr">
        <is>
          <t>2026-09-28</t>
        </is>
      </c>
      <c r="AM138" s="23" t="n">
        <v>342</v>
      </c>
      <c r="AN138" s="23" t="n">
        <v>251.625</v>
      </c>
      <c r="AO138" s="24">
        <f>IF(ISNUMBER(AN138),AM138/AN138-1,"")</f>
        <v/>
      </c>
      <c r="AP138" s="29" t="n">
        <v>3</v>
      </c>
      <c r="AQ138" s="24">
        <f>IF(ISNUMBER(AM138),J138/AM138-1,"")</f>
        <v/>
      </c>
      <c r="AR138" s="23" t="n">
        <v>364.62</v>
      </c>
      <c r="AS138" s="24">
        <f>J138/AR138-1</f>
        <v/>
      </c>
      <c r="AT138" s="20" t="inlineStr">
        <is>
          <t>上傾收窄（楔形）</t>
        </is>
      </c>
      <c r="AU138" s="30" t="n">
        <v>0.9814000000000001</v>
      </c>
      <c r="AV138" s="30" t="n">
        <v>1.4613</v>
      </c>
      <c r="AW138" s="30" t="n">
        <v>0.4775</v>
      </c>
      <c r="AX138" s="30" t="n">
        <v>0.5296999999999999</v>
      </c>
      <c r="AY138" s="29" t="n">
        <v>1</v>
      </c>
      <c r="AZ138" s="23" t="n">
        <v>377.87</v>
      </c>
      <c r="BA138" s="23" t="n">
        <v>251.625</v>
      </c>
      <c r="BB138" s="23" t="n">
        <v>311.9051</v>
      </c>
      <c r="BC138" s="30" t="n">
        <v>0.7793</v>
      </c>
      <c r="BD138" s="26">
        <f>IF(M138=N138,0.5,(J138-N138)/(M138-N138))</f>
        <v/>
      </c>
      <c r="BE138" s="31" t="n">
        <v>32.088</v>
      </c>
      <c r="BF138" s="31" t="n">
        <v>27.334</v>
      </c>
      <c r="BG138" s="32">
        <f>100*(0.4*MIN(1,MAX(0,((U138*100)-(0.0))/((2.5)-(0.0))))+0.3*MIN(1,MAX(0,((V138)-(0.6))/((1.0)-(0.6))))+0.3*MIN(1,MAX(0,((BE138)-(0.0))/((15.0)-(0.0)))))</f>
        <v/>
      </c>
      <c r="BH138" s="32">
        <f>100*(0.4*MIN(1,MAX(0,((MIN(ABS(AA138),ABS(AB138)))-(0.75))/((0.0)-(0.75))))+0.3*MIN(1,MAX(0,((BC138)-(1.2))/((0.6)-(1.2))))+0.3*BD138)</f>
        <v/>
      </c>
      <c r="BI138" s="32">
        <f>100*(0.5*MIN(1,MAX(0,((AK138)-(1.0))/((4.0)-(1.0))))+0.3*MIN(1,MAX(0,((IF(ISNUMBER(AO138),AO138,0)*100)-(0.0))/((8.0)-(0.0))))+0.2*MIN(1,MAX(0,((IF(ISNUMBER(AP138),AP138,0))-(25.0))/((5.0)-(25.0)))))</f>
        <v/>
      </c>
      <c r="BJ138" s="32">
        <f>100*(0.35*MIN(1,MAX(0,((ABS(AU138))-(0.3))/((0.05)-(0.3))))+0.3*MIN(1,MAX(0,((AV138)-(0.0))/((0.3)-(0.0))))+0.25*MIN(1,MAX(0,((AW138)-(0.4))/((0.7)-(0.4))))+0.1*IF(AY138&gt;=2,1,0.5))</f>
        <v/>
      </c>
      <c r="BK138" s="33">
        <f>0.25*BG138+0.25*BH138+0.2*BI138+0.3*BJ138</f>
        <v/>
      </c>
      <c r="BL138" s="20" t="inlineStr">
        <is>
          <t>C4 上升三角／重心偏上</t>
        </is>
      </c>
      <c r="BM138" s="20" t="inlineStr"/>
    </row>
    <row r="139">
      <c r="A139" s="20" t="n">
        <v>2</v>
      </c>
      <c r="B139" s="20" t="n">
        <v>38</v>
      </c>
      <c r="C139" s="21" t="inlineStr">
        <is>
          <t>EVCM</t>
        </is>
      </c>
      <c r="D139" s="20" t="inlineStr">
        <is>
          <t>EverCommerce Inc.</t>
        </is>
      </c>
      <c r="E139" s="20" t="inlineStr">
        <is>
          <t>NASDAQ</t>
        </is>
      </c>
      <c r="F139" s="20" t="inlineStr">
        <is>
          <t>科技</t>
        </is>
      </c>
      <c r="G139" s="20" t="inlineStr">
        <is>
          <t>Computer Software: Prepackaged Software</t>
        </is>
      </c>
      <c r="H139" s="22" t="n">
        <v>1.53</v>
      </c>
      <c r="I139" s="20" t="inlineStr">
        <is>
          <t>小型</t>
        </is>
      </c>
      <c r="J139" s="23" t="n">
        <v>9.890000000000001</v>
      </c>
      <c r="K139" s="23" t="n">
        <v>8.66</v>
      </c>
      <c r="L139" s="24">
        <f>J139/K139-1</f>
        <v/>
      </c>
      <c r="M139" s="23" t="n">
        <v>10.07</v>
      </c>
      <c r="N139" s="23" t="n">
        <v>8.75</v>
      </c>
      <c r="O139" s="25" t="n">
        <v>277500</v>
      </c>
      <c r="P139" s="25" t="n">
        <v>186655</v>
      </c>
      <c r="Q139" s="26">
        <f>O139/P139</f>
        <v/>
      </c>
      <c r="R139" s="23" t="n">
        <v>8.4903</v>
      </c>
      <c r="S139" s="23" t="n">
        <v>8.360900000000001</v>
      </c>
      <c r="T139" s="23" t="n">
        <v>8.210800000000001</v>
      </c>
      <c r="U139" s="24">
        <f>S139/T139-1</f>
        <v/>
      </c>
      <c r="V139" s="27" t="n">
        <v>0.5</v>
      </c>
      <c r="W139" s="24">
        <f>J139/R139-1</f>
        <v/>
      </c>
      <c r="X139" s="24">
        <f>J139/S139-1</f>
        <v/>
      </c>
      <c r="Y139" s="23" t="n">
        <v>0.622</v>
      </c>
      <c r="Z139" s="28">
        <f>Y139/J139</f>
        <v/>
      </c>
      <c r="AA139" s="26">
        <f>(J139-R139)/Y139</f>
        <v/>
      </c>
      <c r="AB139" s="26">
        <f>(J139-S139)/Y139</f>
        <v/>
      </c>
      <c r="AC139" s="20">
        <f>IF(ABS(AA139)&lt;=ABS(AB139),"9EMA","21EMA")</f>
        <v/>
      </c>
      <c r="AD139" s="20" t="inlineStr">
        <is>
          <t>9+21EMA</t>
        </is>
      </c>
      <c r="AE139" s="19" t="inlineStr">
        <is>
          <t>剛黃金交叉</t>
        </is>
      </c>
      <c r="AF139" s="20" t="inlineStr">
        <is>
          <t>✓</t>
        </is>
      </c>
      <c r="AG139" s="20" t="inlineStr"/>
      <c r="AH139" s="20" t="inlineStr"/>
      <c r="AI139" s="20" t="inlineStr">
        <is>
          <t>2026-10-01</t>
        </is>
      </c>
      <c r="AJ139" s="20" t="n">
        <v>0</v>
      </c>
      <c r="AK139" s="29" t="n">
        <v>2</v>
      </c>
      <c r="AL139" s="20" t="inlineStr">
        <is>
          <t>2026-09-28</t>
        </is>
      </c>
      <c r="AM139" s="23" t="n">
        <v>7.46</v>
      </c>
      <c r="AN139" s="23" t="n">
        <v>6.21</v>
      </c>
      <c r="AO139" s="24">
        <f>IF(ISNUMBER(AN139),AM139/AN139-1,"")</f>
        <v/>
      </c>
      <c r="AP139" s="29" t="n">
        <v>3</v>
      </c>
      <c r="AQ139" s="24">
        <f>IF(ISNUMBER(AM139),J139/AM139-1,"")</f>
        <v/>
      </c>
      <c r="AR139" s="23" t="n">
        <v>9.890000000000001</v>
      </c>
      <c r="AS139" s="24">
        <f>J139/AR139-1</f>
        <v/>
      </c>
      <c r="AT139" s="20" t="inlineStr">
        <is>
          <t>上升三角（平頂）</t>
        </is>
      </c>
      <c r="AU139" s="30" t="n">
        <v>0.0529</v>
      </c>
      <c r="AV139" s="30" t="n">
        <v>1.149</v>
      </c>
      <c r="AW139" s="30" t="n">
        <v>0.456</v>
      </c>
      <c r="AX139" s="30" t="n">
        <v>0.4638</v>
      </c>
      <c r="AY139" s="29" t="n">
        <v>1</v>
      </c>
      <c r="AZ139" s="23" t="n">
        <v>10.07</v>
      </c>
      <c r="BA139" s="23" t="n">
        <v>6.21</v>
      </c>
      <c r="BB139" s="23" t="n">
        <v>7.9703</v>
      </c>
      <c r="BC139" s="30" t="n">
        <v>0.7104</v>
      </c>
      <c r="BD139" s="26">
        <f>IF(M139=N139,0.5,(J139-N139)/(M139-N139))</f>
        <v/>
      </c>
      <c r="BE139" s="31" t="n">
        <v>27.307</v>
      </c>
      <c r="BF139" s="31" t="n">
        <v>22.553</v>
      </c>
      <c r="BG139" s="32">
        <f>100*(0.4*MIN(1,MAX(0,((U139*100)-(0.0))/((2.5)-(0.0))))+0.3*MIN(1,MAX(0,((V139)-(0.6))/((1.0)-(0.6))))+0.3*MIN(1,MAX(0,((BE139)-(0.0))/((15.0)-(0.0)))))</f>
        <v/>
      </c>
      <c r="BH139" s="32">
        <f>100*(0.4*MIN(1,MAX(0,((MIN(ABS(AA139),ABS(AB139)))-(0.75))/((0.0)-(0.75))))+0.3*MIN(1,MAX(0,((BC139)-(1.2))/((0.6)-(1.2))))+0.3*BD139)</f>
        <v/>
      </c>
      <c r="BI139" s="32">
        <f>100*(0.5*MIN(1,MAX(0,((AK139)-(1.0))/((4.0)-(1.0))))+0.3*MIN(1,MAX(0,((IF(ISNUMBER(AO139),AO139,0)*100)-(0.0))/((8.0)-(0.0))))+0.2*MIN(1,MAX(0,((IF(ISNUMBER(AP139),AP139,0))-(25.0))/((5.0)-(25.0)))))</f>
        <v/>
      </c>
      <c r="BJ139" s="32">
        <f>100*(0.35*MIN(1,MAX(0,((ABS(AU139))-(0.3))/((0.05)-(0.3))))+0.3*MIN(1,MAX(0,((AV139)-(0.0))/((0.3)-(0.0))))+0.25*MIN(1,MAX(0,((AW139)-(0.4))/((0.7)-(0.4))))+0.1*IF(AY139&gt;=2,1,0.5))</f>
        <v/>
      </c>
      <c r="BK139" s="33">
        <f>0.25*BG139+0.25*BH139+0.2*BI139+0.3*BJ139</f>
        <v/>
      </c>
      <c r="BL139" s="20" t="inlineStr">
        <is>
          <t>C4 上升三角／重心偏上</t>
        </is>
      </c>
      <c r="BM139" s="20" t="inlineStr"/>
    </row>
    <row r="140">
      <c r="A140" s="20" t="n">
        <v>2</v>
      </c>
      <c r="B140" s="20" t="n">
        <v>39</v>
      </c>
      <c r="C140" s="21" t="inlineStr">
        <is>
          <t>FBLA</t>
        </is>
      </c>
      <c r="D140" s="20" t="inlineStr">
        <is>
          <t>FB Bancorp Inc.</t>
        </is>
      </c>
      <c r="E140" s="20" t="inlineStr">
        <is>
          <t>NASDAQ</t>
        </is>
      </c>
      <c r="F140" s="20" t="inlineStr">
        <is>
          <t>金融</t>
        </is>
      </c>
      <c r="G140" s="20" t="inlineStr">
        <is>
          <t>Banks</t>
        </is>
      </c>
      <c r="H140" s="22" t="n">
        <v>0.263</v>
      </c>
      <c r="I140" s="20" t="inlineStr">
        <is>
          <t>小型</t>
        </is>
      </c>
      <c r="J140" s="23" t="n">
        <v>16.78</v>
      </c>
      <c r="K140" s="23" t="n">
        <v>16.48</v>
      </c>
      <c r="L140" s="24">
        <f>J140/K140-1</f>
        <v/>
      </c>
      <c r="M140" s="23" t="n">
        <v>16.83</v>
      </c>
      <c r="N140" s="23" t="n">
        <v>16.41</v>
      </c>
      <c r="O140" s="25" t="n">
        <v>119900</v>
      </c>
      <c r="P140" s="25" t="n">
        <v>111690</v>
      </c>
      <c r="Q140" s="26">
        <f>O140/P140</f>
        <v/>
      </c>
      <c r="R140" s="23" t="n">
        <v>16.456</v>
      </c>
      <c r="S140" s="23" t="n">
        <v>16.2253</v>
      </c>
      <c r="T140" s="23" t="n">
        <v>16.0024</v>
      </c>
      <c r="U140" s="24">
        <f>S140/T140-1</f>
        <v/>
      </c>
      <c r="V140" s="27" t="n">
        <v>1</v>
      </c>
      <c r="W140" s="24">
        <f>J140/R140-1</f>
        <v/>
      </c>
      <c r="X140" s="24">
        <f>J140/S140-1</f>
        <v/>
      </c>
      <c r="Y140" s="23" t="n">
        <v>0.2751</v>
      </c>
      <c r="Z140" s="28">
        <f>Y140/J140</f>
        <v/>
      </c>
      <c r="AA140" s="26">
        <f>(J140-R140)/Y140</f>
        <v/>
      </c>
      <c r="AB140" s="26">
        <f>(J140-S140)/Y140</f>
        <v/>
      </c>
      <c r="AC140" s="20">
        <f>IF(ABS(AA140)&lt;=ABS(AB140),"9EMA","21EMA")</f>
        <v/>
      </c>
      <c r="AD140" s="20" t="inlineStr">
        <is>
          <t>9EMA</t>
        </is>
      </c>
      <c r="AE140" s="20" t="inlineStr">
        <is>
          <t>持續在上方</t>
        </is>
      </c>
      <c r="AF140" s="20" t="inlineStr"/>
      <c r="AG140" s="20" t="inlineStr"/>
      <c r="AH140" s="20" t="inlineStr">
        <is>
          <t>✓</t>
        </is>
      </c>
      <c r="AI140" s="20" t="inlineStr">
        <is>
          <t>2026-06-08</t>
        </is>
      </c>
      <c r="AJ140" s="20" t="n">
        <v>80</v>
      </c>
      <c r="AK140" s="29" t="n">
        <v>3</v>
      </c>
      <c r="AL140" s="20" t="inlineStr">
        <is>
          <t>2026-09-18</t>
        </is>
      </c>
      <c r="AM140" s="23" t="n">
        <v>15.735</v>
      </c>
      <c r="AN140" s="23" t="n">
        <v>15.72</v>
      </c>
      <c r="AO140" s="24">
        <f>IF(ISNUMBER(AN140),AM140/AN140-1,"")</f>
        <v/>
      </c>
      <c r="AP140" s="29" t="n">
        <v>9</v>
      </c>
      <c r="AQ140" s="24">
        <f>IF(ISNUMBER(AM140),J140/AM140-1,"")</f>
        <v/>
      </c>
      <c r="AR140" s="23" t="n">
        <v>16.78</v>
      </c>
      <c r="AS140" s="24">
        <f>J140/AR140-1</f>
        <v/>
      </c>
      <c r="AT140" s="20" t="inlineStr">
        <is>
          <t>上升三角（平頂）</t>
        </is>
      </c>
      <c r="AU140" s="30" t="n">
        <v>0.0298</v>
      </c>
      <c r="AV140" s="30" t="n">
        <v>0.1662</v>
      </c>
      <c r="AW140" s="30" t="n">
        <v>0.4569</v>
      </c>
      <c r="AX140" s="30" t="n">
        <v>0.4033</v>
      </c>
      <c r="AY140" s="29" t="n">
        <v>3</v>
      </c>
      <c r="AZ140" s="23" t="n">
        <v>16.89</v>
      </c>
      <c r="BA140" s="23" t="n">
        <v>15.38</v>
      </c>
      <c r="BB140" s="23" t="n">
        <v>16.07</v>
      </c>
      <c r="BC140" s="30" t="n">
        <v>0.6317</v>
      </c>
      <c r="BD140" s="26">
        <f>IF(M140=N140,0.5,(J140-N140)/(M140-N140))</f>
        <v/>
      </c>
      <c r="BE140" s="31" t="n">
        <v>12.387</v>
      </c>
      <c r="BF140" s="31" t="n">
        <v>7.633</v>
      </c>
      <c r="BG140" s="32">
        <f>100*(0.4*MIN(1,MAX(0,((U140*100)-(0.0))/((2.5)-(0.0))))+0.3*MIN(1,MAX(0,((V140)-(0.6))/((1.0)-(0.6))))+0.3*MIN(1,MAX(0,((BE140)-(0.0))/((15.0)-(0.0)))))</f>
        <v/>
      </c>
      <c r="BH140" s="32">
        <f>100*(0.4*MIN(1,MAX(0,((MIN(ABS(AA140),ABS(AB140)))-(0.75))/((0.0)-(0.75))))+0.3*MIN(1,MAX(0,((BC140)-(1.2))/((0.6)-(1.2))))+0.3*BD140)</f>
        <v/>
      </c>
      <c r="BI140" s="32">
        <f>100*(0.5*MIN(1,MAX(0,((AK140)-(1.0))/((4.0)-(1.0))))+0.3*MIN(1,MAX(0,((IF(ISNUMBER(AO140),AO140,0)*100)-(0.0))/((8.0)-(0.0))))+0.2*MIN(1,MAX(0,((IF(ISNUMBER(AP140),AP140,0))-(25.0))/((5.0)-(25.0)))))</f>
        <v/>
      </c>
      <c r="BJ140" s="32">
        <f>100*(0.35*MIN(1,MAX(0,((ABS(AU140))-(0.3))/((0.05)-(0.3))))+0.3*MIN(1,MAX(0,((AV140)-(0.0))/((0.3)-(0.0))))+0.25*MIN(1,MAX(0,((AW140)-(0.4))/((0.7)-(0.4))))+0.1*IF(AY140&gt;=2,1,0.5))</f>
        <v/>
      </c>
      <c r="BK140" s="33">
        <f>0.25*BG140+0.25*BH140+0.2*BI140+0.3*BJ140</f>
        <v/>
      </c>
      <c r="BL140" s="20" t="inlineStr">
        <is>
          <t>C4 上升三角／重心偏上</t>
        </is>
      </c>
      <c r="BM140" s="20" t="inlineStr"/>
    </row>
    <row r="141">
      <c r="A141" s="20" t="n">
        <v>2</v>
      </c>
      <c r="B141" s="20" t="n">
        <v>40</v>
      </c>
      <c r="C141" s="21" t="inlineStr">
        <is>
          <t>CURI</t>
        </is>
      </c>
      <c r="D141" s="20" t="inlineStr">
        <is>
          <t>CuriosityStream Inc.</t>
        </is>
      </c>
      <c r="E141" s="20" t="inlineStr">
        <is>
          <t>NASDAQ</t>
        </is>
      </c>
      <c r="F141" s="20" t="inlineStr">
        <is>
          <t>非必需消費</t>
        </is>
      </c>
      <c r="G141" s="20" t="inlineStr">
        <is>
          <t>Movies/Entertainment</t>
        </is>
      </c>
      <c r="H141" s="22" t="n">
        <v>0.173</v>
      </c>
      <c r="I141" s="20" t="inlineStr">
        <is>
          <t>小型</t>
        </is>
      </c>
      <c r="J141" s="23" t="n">
        <v>2.93</v>
      </c>
      <c r="K141" s="23" t="n">
        <v>2.91</v>
      </c>
      <c r="L141" s="24">
        <f>J141/K141-1</f>
        <v/>
      </c>
      <c r="M141" s="23" t="n">
        <v>2.96</v>
      </c>
      <c r="N141" s="23" t="n">
        <v>2.87</v>
      </c>
      <c r="O141" s="25" t="n">
        <v>488300</v>
      </c>
      <c r="P141" s="25" t="n">
        <v>660315</v>
      </c>
      <c r="Q141" s="26">
        <f>O141/P141</f>
        <v/>
      </c>
      <c r="R141" s="23" t="n">
        <v>2.922</v>
      </c>
      <c r="S141" s="23" t="n">
        <v>2.8697</v>
      </c>
      <c r="T141" s="23" t="n">
        <v>2.8195</v>
      </c>
      <c r="U141" s="24">
        <f>S141/T141-1</f>
        <v/>
      </c>
      <c r="V141" s="27" t="n">
        <v>1</v>
      </c>
      <c r="W141" s="24">
        <f>J141/R141-1</f>
        <v/>
      </c>
      <c r="X141" s="24">
        <f>J141/S141-1</f>
        <v/>
      </c>
      <c r="Y141" s="23" t="n">
        <v>0.148</v>
      </c>
      <c r="Z141" s="28">
        <f>Y141/J141</f>
        <v/>
      </c>
      <c r="AA141" s="26">
        <f>(J141-R141)/Y141</f>
        <v/>
      </c>
      <c r="AB141" s="26">
        <f>(J141-S141)/Y141</f>
        <v/>
      </c>
      <c r="AC141" s="20">
        <f>IF(ABS(AA141)&lt;=ABS(AB141),"9EMA","21EMA")</f>
        <v/>
      </c>
      <c r="AD141" s="20" t="inlineStr">
        <is>
          <t>9+21EMA</t>
        </is>
      </c>
      <c r="AE141" s="20" t="inlineStr">
        <is>
          <t>持續在上方</t>
        </is>
      </c>
      <c r="AF141" s="20" t="inlineStr"/>
      <c r="AG141" s="20" t="inlineStr"/>
      <c r="AH141" s="20" t="inlineStr">
        <is>
          <t>✓</t>
        </is>
      </c>
      <c r="AI141" s="20" t="inlineStr">
        <is>
          <t>2026-09-21</t>
        </is>
      </c>
      <c r="AJ141" s="20" t="n">
        <v>8</v>
      </c>
      <c r="AK141" s="29" t="n">
        <v>3</v>
      </c>
      <c r="AL141" s="20" t="inlineStr">
        <is>
          <t>2026-09-18</t>
        </is>
      </c>
      <c r="AM141" s="23" t="n">
        <v>2.745</v>
      </c>
      <c r="AN141" s="23" t="n">
        <v>2.59</v>
      </c>
      <c r="AO141" s="24">
        <f>IF(ISNUMBER(AN141),AM141/AN141-1,"")</f>
        <v/>
      </c>
      <c r="AP141" s="29" t="n">
        <v>9</v>
      </c>
      <c r="AQ141" s="24">
        <f>IF(ISNUMBER(AM141),J141/AM141-1,"")</f>
        <v/>
      </c>
      <c r="AR141" s="23" t="n">
        <v>3.12</v>
      </c>
      <c r="AS141" s="24">
        <f>J141/AR141-1</f>
        <v/>
      </c>
      <c r="AT141" s="20" t="inlineStr">
        <is>
          <t>上傾收窄（楔形）</t>
        </is>
      </c>
      <c r="AU141" s="30" t="n">
        <v>0.3045</v>
      </c>
      <c r="AV141" s="30" t="n">
        <v>0.5301</v>
      </c>
      <c r="AW141" s="30" t="n">
        <v>0.4539</v>
      </c>
      <c r="AX141" s="30" t="n">
        <v>0.4214</v>
      </c>
      <c r="AY141" s="29" t="n">
        <v>2</v>
      </c>
      <c r="AZ141" s="23" t="n">
        <v>3.14</v>
      </c>
      <c r="BA141" s="23" t="n">
        <v>2.51</v>
      </c>
      <c r="BB141" s="23" t="n">
        <v>2.796</v>
      </c>
      <c r="BC141" s="30" t="n">
        <v>1.1044</v>
      </c>
      <c r="BD141" s="26">
        <f>IF(M141=N141,0.5,(J141-N141)/(M141-N141))</f>
        <v/>
      </c>
      <c r="BE141" s="31" t="n">
        <v>9.772</v>
      </c>
      <c r="BF141" s="31" t="n">
        <v>5.018</v>
      </c>
      <c r="BG141" s="32">
        <f>100*(0.4*MIN(1,MAX(0,((U141*100)-(0.0))/((2.5)-(0.0))))+0.3*MIN(1,MAX(0,((V141)-(0.6))/((1.0)-(0.6))))+0.3*MIN(1,MAX(0,((BE141)-(0.0))/((15.0)-(0.0)))))</f>
        <v/>
      </c>
      <c r="BH141" s="32">
        <f>100*(0.4*MIN(1,MAX(0,((MIN(ABS(AA141),ABS(AB141)))-(0.75))/((0.0)-(0.75))))+0.3*MIN(1,MAX(0,((BC141)-(1.2))/((0.6)-(1.2))))+0.3*BD141)</f>
        <v/>
      </c>
      <c r="BI141" s="32">
        <f>100*(0.5*MIN(1,MAX(0,((AK141)-(1.0))/((4.0)-(1.0))))+0.3*MIN(1,MAX(0,((IF(ISNUMBER(AO141),AO141,0)*100)-(0.0))/((8.0)-(0.0))))+0.2*MIN(1,MAX(0,((IF(ISNUMBER(AP141),AP141,0))-(25.0))/((5.0)-(25.0)))))</f>
        <v/>
      </c>
      <c r="BJ141" s="32">
        <f>100*(0.35*MIN(1,MAX(0,((ABS(AU141))-(0.3))/((0.05)-(0.3))))+0.3*MIN(1,MAX(0,((AV141)-(0.0))/((0.3)-(0.0))))+0.25*MIN(1,MAX(0,((AW141)-(0.4))/((0.7)-(0.4))))+0.1*IF(AY141&gt;=2,1,0.5))</f>
        <v/>
      </c>
      <c r="BK141" s="33">
        <f>0.25*BG141+0.25*BH141+0.2*BI141+0.3*BJ141</f>
        <v/>
      </c>
      <c r="BL141" s="20" t="inlineStr">
        <is>
          <t>C4 上升三角／重心偏上</t>
        </is>
      </c>
      <c r="BM141" s="20" t="inlineStr"/>
    </row>
    <row r="142">
      <c r="A142" s="20" t="n">
        <v>2</v>
      </c>
      <c r="B142" s="20" t="n">
        <v>41</v>
      </c>
      <c r="C142" s="21" t="inlineStr">
        <is>
          <t>RXRX</t>
        </is>
      </c>
      <c r="D142" s="20" t="inlineStr">
        <is>
          <t>Recursion Pharmaceuticals Inc.</t>
        </is>
      </c>
      <c r="E142" s="20" t="inlineStr">
        <is>
          <t>NASDAQ</t>
        </is>
      </c>
      <c r="F142" s="20" t="inlineStr">
        <is>
          <t>醫療保健</t>
        </is>
      </c>
      <c r="G142" s="20" t="inlineStr">
        <is>
          <t>Biotechnology: Biological Products (No Diagnostic Substances)</t>
        </is>
      </c>
      <c r="H142" s="22" t="n">
        <v>2.211</v>
      </c>
      <c r="I142" s="20" t="inlineStr">
        <is>
          <t>中型</t>
        </is>
      </c>
      <c r="J142" s="23" t="n">
        <v>4.07</v>
      </c>
      <c r="K142" s="23" t="n">
        <v>4.13</v>
      </c>
      <c r="L142" s="24">
        <f>J142/K142-1</f>
        <v/>
      </c>
      <c r="M142" s="23" t="n">
        <v>4.17</v>
      </c>
      <c r="N142" s="23" t="n">
        <v>3.96</v>
      </c>
      <c r="O142" s="25" t="n">
        <v>17455700</v>
      </c>
      <c r="P142" s="25" t="n">
        <v>21177180</v>
      </c>
      <c r="Q142" s="26">
        <f>O142/P142</f>
        <v/>
      </c>
      <c r="R142" s="23" t="n">
        <v>3.8894</v>
      </c>
      <c r="S142" s="23" t="n">
        <v>3.6992</v>
      </c>
      <c r="T142" s="23" t="n">
        <v>3.5433</v>
      </c>
      <c r="U142" s="24">
        <f>S142/T142-1</f>
        <v/>
      </c>
      <c r="V142" s="27" t="n">
        <v>1</v>
      </c>
      <c r="W142" s="24">
        <f>J142/R142-1</f>
        <v/>
      </c>
      <c r="X142" s="24">
        <f>J142/S142-1</f>
        <v/>
      </c>
      <c r="Y142" s="23" t="n">
        <v>0.2396</v>
      </c>
      <c r="Z142" s="28">
        <f>Y142/J142</f>
        <v/>
      </c>
      <c r="AA142" s="26">
        <f>(J142-R142)/Y142</f>
        <v/>
      </c>
      <c r="AB142" s="26">
        <f>(J142-S142)/Y142</f>
        <v/>
      </c>
      <c r="AC142" s="20">
        <f>IF(ABS(AA142)&lt;=ABS(AB142),"9EMA","21EMA")</f>
        <v/>
      </c>
      <c r="AD142" s="20" t="inlineStr">
        <is>
          <t>9EMA</t>
        </is>
      </c>
      <c r="AE142" s="20" t="inlineStr">
        <is>
          <t>持續在上方</t>
        </is>
      </c>
      <c r="AF142" s="20" t="inlineStr"/>
      <c r="AG142" s="20" t="inlineStr"/>
      <c r="AH142" s="20" t="inlineStr"/>
      <c r="AI142" s="20" t="inlineStr">
        <is>
          <t>2026-09-17</t>
        </is>
      </c>
      <c r="AJ142" s="20" t="n">
        <v>10</v>
      </c>
      <c r="AK142" s="29" t="n">
        <v>2</v>
      </c>
      <c r="AL142" s="20" t="inlineStr">
        <is>
          <t>2026-09-24</t>
        </is>
      </c>
      <c r="AM142" s="23" t="n">
        <v>3.61</v>
      </c>
      <c r="AN142" s="23" t="n">
        <v>3.1</v>
      </c>
      <c r="AO142" s="24">
        <f>IF(ISNUMBER(AN142),AM142/AN142-1,"")</f>
        <v/>
      </c>
      <c r="AP142" s="29" t="n">
        <v>5</v>
      </c>
      <c r="AQ142" s="24">
        <f>IF(ISNUMBER(AM142),J142/AM142-1,"")</f>
        <v/>
      </c>
      <c r="AR142" s="23" t="n">
        <v>4.13</v>
      </c>
      <c r="AS142" s="24">
        <f>J142/AR142-1</f>
        <v/>
      </c>
      <c r="AT142" s="20" t="inlineStr">
        <is>
          <t>上傾擴張</t>
        </is>
      </c>
      <c r="AU142" s="30" t="n">
        <v>1.0275</v>
      </c>
      <c r="AV142" s="30" t="n">
        <v>0.5705</v>
      </c>
      <c r="AW142" s="30" t="n">
        <v>0.4941</v>
      </c>
      <c r="AX142" s="30" t="n">
        <v>0.5443</v>
      </c>
      <c r="AY142" s="29" t="n">
        <v>1</v>
      </c>
      <c r="AZ142" s="23" t="n">
        <v>4.29</v>
      </c>
      <c r="BA142" s="23" t="n">
        <v>3.1</v>
      </c>
      <c r="BB142" s="23" t="n">
        <v>3.688</v>
      </c>
      <c r="BC142" s="30" t="n">
        <v>0.4944</v>
      </c>
      <c r="BD142" s="26">
        <f>IF(M142=N142,0.5,(J142-N142)/(M142-N142))</f>
        <v/>
      </c>
      <c r="BE142" s="31" t="n">
        <v>26.976</v>
      </c>
      <c r="BF142" s="31" t="n">
        <v>22.222</v>
      </c>
      <c r="BG142" s="32">
        <f>100*(0.4*MIN(1,MAX(0,((U142*100)-(0.0))/((2.5)-(0.0))))+0.3*MIN(1,MAX(0,((V142)-(0.6))/((1.0)-(0.6))))+0.3*MIN(1,MAX(0,((BE142)-(0.0))/((15.0)-(0.0)))))</f>
        <v/>
      </c>
      <c r="BH142" s="32">
        <f>100*(0.4*MIN(1,MAX(0,((MIN(ABS(AA142),ABS(AB142)))-(0.75))/((0.0)-(0.75))))+0.3*MIN(1,MAX(0,((BC142)-(1.2))/((0.6)-(1.2))))+0.3*BD142)</f>
        <v/>
      </c>
      <c r="BI142" s="32">
        <f>100*(0.5*MIN(1,MAX(0,((AK142)-(1.0))/((4.0)-(1.0))))+0.3*MIN(1,MAX(0,((IF(ISNUMBER(AO142),AO142,0)*100)-(0.0))/((8.0)-(0.0))))+0.2*MIN(1,MAX(0,((IF(ISNUMBER(AP142),AP142,0))-(25.0))/((5.0)-(25.0)))))</f>
        <v/>
      </c>
      <c r="BJ142" s="32">
        <f>100*(0.35*MIN(1,MAX(0,((ABS(AU142))-(0.3))/((0.05)-(0.3))))+0.3*MIN(1,MAX(0,((AV142)-(0.0))/((0.3)-(0.0))))+0.25*MIN(1,MAX(0,((AW142)-(0.4))/((0.7)-(0.4))))+0.1*IF(AY142&gt;=2,1,0.5))</f>
        <v/>
      </c>
      <c r="BK142" s="33">
        <f>0.25*BG142+0.25*BH142+0.2*BI142+0.3*BJ142</f>
        <v/>
      </c>
      <c r="BL142" s="20" t="inlineStr">
        <is>
          <t>C4 上升三角／重心偏上</t>
        </is>
      </c>
      <c r="BM142" s="20" t="inlineStr"/>
    </row>
    <row r="143">
      <c r="A143" s="20" t="n">
        <v>2</v>
      </c>
      <c r="B143" s="20" t="n">
        <v>42</v>
      </c>
      <c r="C143" s="21" t="inlineStr">
        <is>
          <t>A</t>
        </is>
      </c>
      <c r="D143" s="20" t="inlineStr">
        <is>
          <t>Agilent Technologies Inc.</t>
        </is>
      </c>
      <c r="E143" s="20" t="inlineStr">
        <is>
          <t>NYSE</t>
        </is>
      </c>
      <c r="F143" s="20" t="inlineStr">
        <is>
          <t>工業</t>
        </is>
      </c>
      <c r="G143" s="20" t="inlineStr">
        <is>
          <t>Biotechnology: Laboratory Analytical Instruments</t>
        </is>
      </c>
      <c r="H143" s="22" t="n">
        <v>48.579</v>
      </c>
      <c r="I143" s="20" t="inlineStr">
        <is>
          <t>大型</t>
        </is>
      </c>
      <c r="J143" s="23" t="n">
        <v>166.68</v>
      </c>
      <c r="K143" s="23" t="n">
        <v>172.31</v>
      </c>
      <c r="L143" s="24">
        <f>J143/K143-1</f>
        <v/>
      </c>
      <c r="M143" s="23" t="n">
        <v>172.57</v>
      </c>
      <c r="N143" s="23" t="n">
        <v>166.07</v>
      </c>
      <c r="O143" s="25" t="n">
        <v>2787200</v>
      </c>
      <c r="P143" s="25" t="n">
        <v>2470290</v>
      </c>
      <c r="Q143" s="26">
        <f>O143/P143</f>
        <v/>
      </c>
      <c r="R143" s="23" t="n">
        <v>168.2405</v>
      </c>
      <c r="S143" s="23" t="n">
        <v>161.9427</v>
      </c>
      <c r="T143" s="23" t="n">
        <v>155.7416</v>
      </c>
      <c r="U143" s="24">
        <f>S143/T143-1</f>
        <v/>
      </c>
      <c r="V143" s="27" t="n">
        <v>1</v>
      </c>
      <c r="W143" s="24">
        <f>J143/R143-1</f>
        <v/>
      </c>
      <c r="X143" s="24">
        <f>J143/S143-1</f>
        <v/>
      </c>
      <c r="Y143" s="23" t="n">
        <v>4.9648</v>
      </c>
      <c r="Z143" s="28">
        <f>Y143/J143</f>
        <v/>
      </c>
      <c r="AA143" s="26">
        <f>(J143-R143)/Y143</f>
        <v/>
      </c>
      <c r="AB143" s="26">
        <f>(J143-S143)/Y143</f>
        <v/>
      </c>
      <c r="AC143" s="20">
        <f>IF(ABS(AA143)&lt;=ABS(AB143),"9EMA","21EMA")</f>
        <v/>
      </c>
      <c r="AD143" s="20" t="inlineStr">
        <is>
          <t>9EMA</t>
        </is>
      </c>
      <c r="AE143" s="20" t="inlineStr">
        <is>
          <t>持續在上方</t>
        </is>
      </c>
      <c r="AF143" s="20" t="inlineStr"/>
      <c r="AG143" s="20" t="inlineStr"/>
      <c r="AH143" s="20" t="inlineStr">
        <is>
          <t>✓</t>
        </is>
      </c>
      <c r="AI143" s="20" t="inlineStr">
        <is>
          <t>2026-09-16</t>
        </is>
      </c>
      <c r="AJ143" s="20" t="n">
        <v>11</v>
      </c>
      <c r="AK143" s="29" t="n">
        <v>3</v>
      </c>
      <c r="AL143" s="20" t="inlineStr">
        <is>
          <t>2026-09-10</t>
        </is>
      </c>
      <c r="AM143" s="23" t="n">
        <v>141.25</v>
      </c>
      <c r="AN143" s="23" t="n">
        <v>135.78</v>
      </c>
      <c r="AO143" s="24">
        <f>IF(ISNUMBER(AN143),AM143/AN143-1,"")</f>
        <v/>
      </c>
      <c r="AP143" s="29" t="n">
        <v>15</v>
      </c>
      <c r="AQ143" s="24">
        <f>IF(ISNUMBER(AM143),J143/AM143-1,"")</f>
        <v/>
      </c>
      <c r="AR143" s="23" t="n">
        <v>175.21</v>
      </c>
      <c r="AS143" s="24">
        <f>J143/AR143-1</f>
        <v/>
      </c>
      <c r="AT143" s="20" t="inlineStr">
        <is>
          <t>上升通道</t>
        </is>
      </c>
      <c r="AU143" s="30" t="n">
        <v>0.6367</v>
      </c>
      <c r="AV143" s="30" t="n">
        <v>0.6068</v>
      </c>
      <c r="AW143" s="30" t="n">
        <v>0.4889</v>
      </c>
      <c r="AX143" s="30" t="n">
        <v>0.4872</v>
      </c>
      <c r="AY143" s="29" t="n">
        <v>4</v>
      </c>
      <c r="AZ143" s="23" t="n">
        <v>177.05</v>
      </c>
      <c r="BA143" s="23" t="n">
        <v>141.25</v>
      </c>
      <c r="BB143" s="23" t="n">
        <v>158.7534</v>
      </c>
      <c r="BC143" s="30" t="n">
        <v>0.7988</v>
      </c>
      <c r="BD143" s="26">
        <f>IF(M143=N143,0.5,(J143-N143)/(M143-N143))</f>
        <v/>
      </c>
      <c r="BE143" s="31" t="n">
        <v>15.926</v>
      </c>
      <c r="BF143" s="31" t="n">
        <v>11.172</v>
      </c>
      <c r="BG143" s="32">
        <f>100*(0.4*MIN(1,MAX(0,((U143*100)-(0.0))/((2.5)-(0.0))))+0.3*MIN(1,MAX(0,((V143)-(0.6))/((1.0)-(0.6))))+0.3*MIN(1,MAX(0,((BE143)-(0.0))/((15.0)-(0.0)))))</f>
        <v/>
      </c>
      <c r="BH143" s="32">
        <f>100*(0.4*MIN(1,MAX(0,((MIN(ABS(AA143),ABS(AB143)))-(0.75))/((0.0)-(0.75))))+0.3*MIN(1,MAX(0,((BC143)-(1.2))/((0.6)-(1.2))))+0.3*BD143)</f>
        <v/>
      </c>
      <c r="BI143" s="32">
        <f>100*(0.5*MIN(1,MAX(0,((AK143)-(1.0))/((4.0)-(1.0))))+0.3*MIN(1,MAX(0,((IF(ISNUMBER(AO143),AO143,0)*100)-(0.0))/((8.0)-(0.0))))+0.2*MIN(1,MAX(0,((IF(ISNUMBER(AP143),AP143,0))-(25.0))/((5.0)-(25.0)))))</f>
        <v/>
      </c>
      <c r="BJ143" s="32">
        <f>100*(0.35*MIN(1,MAX(0,((ABS(AU143))-(0.3))/((0.05)-(0.3))))+0.3*MIN(1,MAX(0,((AV143)-(0.0))/((0.3)-(0.0))))+0.25*MIN(1,MAX(0,((AW143)-(0.4))/((0.7)-(0.4))))+0.1*IF(AY143&gt;=2,1,0.5))</f>
        <v/>
      </c>
      <c r="BK143" s="33">
        <f>0.25*BG143+0.25*BH143+0.2*BI143+0.3*BJ143</f>
        <v/>
      </c>
      <c r="BL143" s="20" t="inlineStr">
        <is>
          <t>C4 上升三角／重心偏上</t>
        </is>
      </c>
      <c r="BM143" s="20" t="inlineStr"/>
    </row>
    <row r="144">
      <c r="A144" s="20" t="n">
        <v>2</v>
      </c>
      <c r="B144" s="20" t="n">
        <v>43</v>
      </c>
      <c r="C144" s="21" t="inlineStr">
        <is>
          <t>RNG</t>
        </is>
      </c>
      <c r="D144" s="20" t="inlineStr">
        <is>
          <t>RingCentral Inc.</t>
        </is>
      </c>
      <c r="E144" s="20" t="inlineStr">
        <is>
          <t>NYSE</t>
        </is>
      </c>
      <c r="F144" s="20" t="inlineStr">
        <is>
          <t>科技</t>
        </is>
      </c>
      <c r="G144" s="20" t="inlineStr">
        <is>
          <t>EDP Services</t>
        </is>
      </c>
      <c r="H144" s="22" t="n">
        <v>6.238</v>
      </c>
      <c r="I144" s="20" t="inlineStr">
        <is>
          <t>中型</t>
        </is>
      </c>
      <c r="J144" s="23" t="n">
        <v>78.31</v>
      </c>
      <c r="K144" s="23" t="n">
        <v>74.7</v>
      </c>
      <c r="L144" s="24">
        <f>J144/K144-1</f>
        <v/>
      </c>
      <c r="M144" s="23" t="n">
        <v>78.89</v>
      </c>
      <c r="N144" s="23" t="n">
        <v>75.52</v>
      </c>
      <c r="O144" s="25" t="n">
        <v>1318200</v>
      </c>
      <c r="P144" s="25" t="n">
        <v>1573135</v>
      </c>
      <c r="Q144" s="26">
        <f>O144/P144</f>
        <v/>
      </c>
      <c r="R144" s="23" t="n">
        <v>76.16679999999999</v>
      </c>
      <c r="S144" s="23" t="n">
        <v>73.8999</v>
      </c>
      <c r="T144" s="23" t="n">
        <v>72.6122</v>
      </c>
      <c r="U144" s="24">
        <f>S144/T144-1</f>
        <v/>
      </c>
      <c r="V144" s="27" t="n">
        <v>1</v>
      </c>
      <c r="W144" s="24">
        <f>J144/R144-1</f>
        <v/>
      </c>
      <c r="X144" s="24">
        <f>J144/S144-1</f>
        <v/>
      </c>
      <c r="Y144" s="23" t="n">
        <v>3.3516</v>
      </c>
      <c r="Z144" s="28">
        <f>Y144/J144</f>
        <v/>
      </c>
      <c r="AA144" s="26">
        <f>(J144-R144)/Y144</f>
        <v/>
      </c>
      <c r="AB144" s="26">
        <f>(J144-S144)/Y144</f>
        <v/>
      </c>
      <c r="AC144" s="20">
        <f>IF(ABS(AA144)&lt;=ABS(AB144),"9EMA","21EMA")</f>
        <v/>
      </c>
      <c r="AD144" s="20" t="inlineStr">
        <is>
          <t>9+21EMA</t>
        </is>
      </c>
      <c r="AE144" s="20" t="inlineStr">
        <is>
          <t>持續在上方</t>
        </is>
      </c>
      <c r="AF144" s="20" t="inlineStr"/>
      <c r="AG144" s="20" t="inlineStr"/>
      <c r="AH144" s="20" t="inlineStr">
        <is>
          <t>✓</t>
        </is>
      </c>
      <c r="AI144" s="20" t="inlineStr">
        <is>
          <t>2026-07-24</t>
        </is>
      </c>
      <c r="AJ144" s="20" t="n">
        <v>48</v>
      </c>
      <c r="AK144" s="29" t="n">
        <v>5</v>
      </c>
      <c r="AL144" s="20" t="inlineStr">
        <is>
          <t>2026-09-11</t>
        </is>
      </c>
      <c r="AM144" s="23" t="n">
        <v>67.97</v>
      </c>
      <c r="AN144" s="23" t="n">
        <v>63</v>
      </c>
      <c r="AO144" s="24">
        <f>IF(ISNUMBER(AN144),AM144/AN144-1,"")</f>
        <v/>
      </c>
      <c r="AP144" s="29" t="n">
        <v>14</v>
      </c>
      <c r="AQ144" s="24">
        <f>IF(ISNUMBER(AM144),J144/AM144-1,"")</f>
        <v/>
      </c>
      <c r="AR144" s="23" t="n">
        <v>79.81999999999999</v>
      </c>
      <c r="AS144" s="24">
        <f>J144/AR144-1</f>
        <v/>
      </c>
      <c r="AT144" s="20" t="inlineStr">
        <is>
          <t>上升通道</t>
        </is>
      </c>
      <c r="AU144" s="30" t="n">
        <v>0.388</v>
      </c>
      <c r="AV144" s="30" t="n">
        <v>0.4334</v>
      </c>
      <c r="AW144" s="30" t="n">
        <v>0.4665</v>
      </c>
      <c r="AX144" s="30" t="n">
        <v>0.4736</v>
      </c>
      <c r="AY144" s="29" t="n">
        <v>2</v>
      </c>
      <c r="AZ144" s="23" t="n">
        <v>81.90000000000001</v>
      </c>
      <c r="BA144" s="23" t="n">
        <v>66.86</v>
      </c>
      <c r="BB144" s="23" t="n">
        <v>73.8768</v>
      </c>
      <c r="BC144" s="30" t="n">
        <v>1.1422</v>
      </c>
      <c r="BD144" s="26">
        <f>IF(M144=N144,0.5,(J144-N144)/(M144-N144))</f>
        <v/>
      </c>
      <c r="BE144" s="31" t="n">
        <v>15.408</v>
      </c>
      <c r="BF144" s="31" t="n">
        <v>10.654</v>
      </c>
      <c r="BG144" s="32">
        <f>100*(0.4*MIN(1,MAX(0,((U144*100)-(0.0))/((2.5)-(0.0))))+0.3*MIN(1,MAX(0,((V144)-(0.6))/((1.0)-(0.6))))+0.3*MIN(1,MAX(0,((BE144)-(0.0))/((15.0)-(0.0)))))</f>
        <v/>
      </c>
      <c r="BH144" s="32">
        <f>100*(0.4*MIN(1,MAX(0,((MIN(ABS(AA144),ABS(AB144)))-(0.75))/((0.0)-(0.75))))+0.3*MIN(1,MAX(0,((BC144)-(1.2))/((0.6)-(1.2))))+0.3*BD144)</f>
        <v/>
      </c>
      <c r="BI144" s="32">
        <f>100*(0.5*MIN(1,MAX(0,((AK144)-(1.0))/((4.0)-(1.0))))+0.3*MIN(1,MAX(0,((IF(ISNUMBER(AO144),AO144,0)*100)-(0.0))/((8.0)-(0.0))))+0.2*MIN(1,MAX(0,((IF(ISNUMBER(AP144),AP144,0))-(25.0))/((5.0)-(25.0)))))</f>
        <v/>
      </c>
      <c r="BJ144" s="32">
        <f>100*(0.35*MIN(1,MAX(0,((ABS(AU144))-(0.3))/((0.05)-(0.3))))+0.3*MIN(1,MAX(0,((AV144)-(0.0))/((0.3)-(0.0))))+0.25*MIN(1,MAX(0,((AW144)-(0.4))/((0.7)-(0.4))))+0.1*IF(AY144&gt;=2,1,0.5))</f>
        <v/>
      </c>
      <c r="BK144" s="33">
        <f>0.25*BG144+0.25*BH144+0.2*BI144+0.3*BJ144</f>
        <v/>
      </c>
      <c r="BL144" s="20" t="inlineStr">
        <is>
          <t>C4 上升三角／重心偏上</t>
        </is>
      </c>
      <c r="BM144" s="20" t="inlineStr"/>
    </row>
    <row r="145">
      <c r="A145" s="20" t="n">
        <v>2</v>
      </c>
      <c r="B145" s="20" t="n">
        <v>44</v>
      </c>
      <c r="C145" s="21" t="inlineStr">
        <is>
          <t>DOCS</t>
        </is>
      </c>
      <c r="D145" s="20" t="inlineStr">
        <is>
          <t>Doximity Inc.</t>
        </is>
      </c>
      <c r="E145" s="20" t="inlineStr">
        <is>
          <t>NYSE</t>
        </is>
      </c>
      <c r="F145" s="20" t="inlineStr">
        <is>
          <t>科技</t>
        </is>
      </c>
      <c r="G145" s="20" t="inlineStr">
        <is>
          <t>EDP Services</t>
        </is>
      </c>
      <c r="H145" s="22" t="n">
        <v>5.051</v>
      </c>
      <c r="I145" s="20" t="inlineStr">
        <is>
          <t>中型</t>
        </is>
      </c>
      <c r="J145" s="23" t="n">
        <v>28.5</v>
      </c>
      <c r="K145" s="23" t="n">
        <v>28.34</v>
      </c>
      <c r="L145" s="24">
        <f>J145/K145-1</f>
        <v/>
      </c>
      <c r="M145" s="23" t="n">
        <v>28.95</v>
      </c>
      <c r="N145" s="23" t="n">
        <v>28.065</v>
      </c>
      <c r="O145" s="25" t="n">
        <v>3340600</v>
      </c>
      <c r="P145" s="25" t="n">
        <v>2970420</v>
      </c>
      <c r="Q145" s="26">
        <f>O145/P145</f>
        <v/>
      </c>
      <c r="R145" s="23" t="n">
        <v>27.0615</v>
      </c>
      <c r="S145" s="23" t="n">
        <v>26.3938</v>
      </c>
      <c r="T145" s="23" t="n">
        <v>25.8368</v>
      </c>
      <c r="U145" s="24">
        <f>S145/T145-1</f>
        <v/>
      </c>
      <c r="V145" s="27" t="n">
        <v>1</v>
      </c>
      <c r="W145" s="24">
        <f>J145/R145-1</f>
        <v/>
      </c>
      <c r="X145" s="24">
        <f>J145/S145-1</f>
        <v/>
      </c>
      <c r="Y145" s="23" t="n">
        <v>1.1865</v>
      </c>
      <c r="Z145" s="28">
        <f>Y145/J145</f>
        <v/>
      </c>
      <c r="AA145" s="26">
        <f>(J145-R145)/Y145</f>
        <v/>
      </c>
      <c r="AB145" s="26">
        <f>(J145-S145)/Y145</f>
        <v/>
      </c>
      <c r="AC145" s="20">
        <f>IF(ABS(AA145)&lt;=ABS(AB145),"9EMA","21EMA")</f>
        <v/>
      </c>
      <c r="AD145" s="20" t="inlineStr">
        <is>
          <t>9+21EMA</t>
        </is>
      </c>
      <c r="AE145" s="20" t="inlineStr">
        <is>
          <t>持續在上方</t>
        </is>
      </c>
      <c r="AF145" s="20" t="inlineStr"/>
      <c r="AG145" s="20" t="inlineStr"/>
      <c r="AH145" s="20" t="inlineStr"/>
      <c r="AI145" s="20" t="inlineStr">
        <is>
          <t>2026-08-07</t>
        </is>
      </c>
      <c r="AJ145" s="20" t="n">
        <v>38</v>
      </c>
      <c r="AK145" s="29" t="n">
        <v>2</v>
      </c>
      <c r="AL145" s="20" t="inlineStr">
        <is>
          <t>2026-09-28</t>
        </is>
      </c>
      <c r="AM145" s="23" t="n">
        <v>25.33</v>
      </c>
      <c r="AN145" s="23" t="n">
        <v>23.955</v>
      </c>
      <c r="AO145" s="24">
        <f>IF(ISNUMBER(AN145),AM145/AN145-1,"")</f>
        <v/>
      </c>
      <c r="AP145" s="29" t="n">
        <v>3</v>
      </c>
      <c r="AQ145" s="24">
        <f>IF(ISNUMBER(AM145),J145/AM145-1,"")</f>
        <v/>
      </c>
      <c r="AR145" s="23" t="n">
        <v>28.5</v>
      </c>
      <c r="AS145" s="24">
        <f>J145/AR145-1</f>
        <v/>
      </c>
      <c r="AT145" s="20" t="inlineStr">
        <is>
          <t>上升三角（平頂）</t>
        </is>
      </c>
      <c r="AU145" s="30" t="n">
        <v>0.0468</v>
      </c>
      <c r="AV145" s="30" t="n">
        <v>0.3711</v>
      </c>
      <c r="AW145" s="30" t="n">
        <v>0.474</v>
      </c>
      <c r="AX145" s="30" t="n">
        <v>0.4948</v>
      </c>
      <c r="AY145" s="29" t="n">
        <v>2</v>
      </c>
      <c r="AZ145" s="23" t="n">
        <v>28.95</v>
      </c>
      <c r="BA145" s="23" t="n">
        <v>23.955</v>
      </c>
      <c r="BB145" s="23" t="n">
        <v>26.3225</v>
      </c>
      <c r="BC145" s="30" t="n">
        <v>1.2149</v>
      </c>
      <c r="BD145" s="26">
        <f>IF(M145=N145,0.5,(J145-N145)/(M145-N145))</f>
        <v/>
      </c>
      <c r="BE145" s="31" t="n">
        <v>12.914</v>
      </c>
      <c r="BF145" s="31" t="n">
        <v>8.159000000000001</v>
      </c>
      <c r="BG145" s="32">
        <f>100*(0.4*MIN(1,MAX(0,((U145*100)-(0.0))/((2.5)-(0.0))))+0.3*MIN(1,MAX(0,((V145)-(0.6))/((1.0)-(0.6))))+0.3*MIN(1,MAX(0,((BE145)-(0.0))/((15.0)-(0.0)))))</f>
        <v/>
      </c>
      <c r="BH145" s="32">
        <f>100*(0.4*MIN(1,MAX(0,((MIN(ABS(AA145),ABS(AB145)))-(0.75))/((0.0)-(0.75))))+0.3*MIN(1,MAX(0,((BC145)-(1.2))/((0.6)-(1.2))))+0.3*BD145)</f>
        <v/>
      </c>
      <c r="BI145" s="32">
        <f>100*(0.5*MIN(1,MAX(0,((AK145)-(1.0))/((4.0)-(1.0))))+0.3*MIN(1,MAX(0,((IF(ISNUMBER(AO145),AO145,0)*100)-(0.0))/((8.0)-(0.0))))+0.2*MIN(1,MAX(0,((IF(ISNUMBER(AP145),AP145,0))-(25.0))/((5.0)-(25.0)))))</f>
        <v/>
      </c>
      <c r="BJ145" s="32">
        <f>100*(0.35*MIN(1,MAX(0,((ABS(AU145))-(0.3))/((0.05)-(0.3))))+0.3*MIN(1,MAX(0,((AV145)-(0.0))/((0.3)-(0.0))))+0.25*MIN(1,MAX(0,((AW145)-(0.4))/((0.7)-(0.4))))+0.1*IF(AY145&gt;=2,1,0.5))</f>
        <v/>
      </c>
      <c r="BK145" s="33">
        <f>0.25*BG145+0.25*BH145+0.2*BI145+0.3*BJ145</f>
        <v/>
      </c>
      <c r="BL145" s="20" t="inlineStr">
        <is>
          <t>C4 上升三角／重心偏上</t>
        </is>
      </c>
      <c r="BM145" s="20" t="inlineStr"/>
    </row>
    <row r="146">
      <c r="A146" s="20" t="n">
        <v>2</v>
      </c>
      <c r="B146" s="20" t="n">
        <v>45</v>
      </c>
      <c r="C146" s="21" t="inlineStr">
        <is>
          <t>MAR</t>
        </is>
      </c>
      <c r="D146" s="20" t="inlineStr">
        <is>
          <t>Marriott International</t>
        </is>
      </c>
      <c r="E146" s="20" t="inlineStr">
        <is>
          <t>NASDAQ</t>
        </is>
      </c>
      <c r="F146" s="20" t="inlineStr">
        <is>
          <t>非必需消費</t>
        </is>
      </c>
      <c r="G146" s="20" t="inlineStr">
        <is>
          <t>Hotels/Resorts</t>
        </is>
      </c>
      <c r="H146" s="22" t="n">
        <v>92.747</v>
      </c>
      <c r="I146" s="20" t="inlineStr">
        <is>
          <t>大型</t>
        </is>
      </c>
      <c r="J146" s="23" t="n">
        <v>354.79</v>
      </c>
      <c r="K146" s="23" t="n">
        <v>355.67</v>
      </c>
      <c r="L146" s="24">
        <f>J146/K146-1</f>
        <v/>
      </c>
      <c r="M146" s="23" t="n">
        <v>357.79</v>
      </c>
      <c r="N146" s="23" t="n">
        <v>352.29</v>
      </c>
      <c r="O146" s="25" t="n">
        <v>1117800</v>
      </c>
      <c r="P146" s="25" t="n">
        <v>1611430</v>
      </c>
      <c r="Q146" s="26">
        <f>O146/P146</f>
        <v/>
      </c>
      <c r="R146" s="23" t="n">
        <v>352.4597</v>
      </c>
      <c r="S146" s="23" t="n">
        <v>348.5978</v>
      </c>
      <c r="T146" s="23" t="n">
        <v>343.734</v>
      </c>
      <c r="U146" s="24">
        <f>S146/T146-1</f>
        <v/>
      </c>
      <c r="V146" s="27" t="n">
        <v>0.9</v>
      </c>
      <c r="W146" s="24">
        <f>J146/R146-1</f>
        <v/>
      </c>
      <c r="X146" s="24">
        <f>J146/S146-1</f>
        <v/>
      </c>
      <c r="Y146" s="23" t="n">
        <v>7.376</v>
      </c>
      <c r="Z146" s="28">
        <f>Y146/J146</f>
        <v/>
      </c>
      <c r="AA146" s="26">
        <f>(J146-R146)/Y146</f>
        <v/>
      </c>
      <c r="AB146" s="26">
        <f>(J146-S146)/Y146</f>
        <v/>
      </c>
      <c r="AC146" s="20">
        <f>IF(ABS(AA146)&lt;=ABS(AB146),"9EMA","21EMA")</f>
        <v/>
      </c>
      <c r="AD146" s="20" t="inlineStr">
        <is>
          <t>9EMA</t>
        </is>
      </c>
      <c r="AE146" s="19" t="inlineStr">
        <is>
          <t>剛黃金交叉</t>
        </is>
      </c>
      <c r="AF146" s="20" t="inlineStr">
        <is>
          <t>✓</t>
        </is>
      </c>
      <c r="AG146" s="20" t="inlineStr"/>
      <c r="AH146" s="20" t="inlineStr">
        <is>
          <t>✓</t>
        </is>
      </c>
      <c r="AI146" s="20" t="inlineStr">
        <is>
          <t>2026-09-24</t>
        </is>
      </c>
      <c r="AJ146" s="20" t="n">
        <v>5</v>
      </c>
      <c r="AK146" s="29" t="n">
        <v>2</v>
      </c>
      <c r="AL146" s="20" t="inlineStr">
        <is>
          <t>2026-09-18</t>
        </is>
      </c>
      <c r="AM146" s="23" t="n">
        <v>332.35</v>
      </c>
      <c r="AN146" s="23" t="n">
        <v>320.91</v>
      </c>
      <c r="AO146" s="24">
        <f>IF(ISNUMBER(AN146),AM146/AN146-1,"")</f>
        <v/>
      </c>
      <c r="AP146" s="29" t="n">
        <v>9</v>
      </c>
      <c r="AQ146" s="24">
        <f>IF(ISNUMBER(AM146),J146/AM146-1,"")</f>
        <v/>
      </c>
      <c r="AR146" s="23" t="n">
        <v>361.62</v>
      </c>
      <c r="AS146" s="24">
        <f>J146/AR146-1</f>
        <v/>
      </c>
      <c r="AT146" s="20" t="inlineStr">
        <is>
          <t>上傾收窄（楔形）</t>
        </is>
      </c>
      <c r="AU146" s="30" t="n">
        <v>0.1745</v>
      </c>
      <c r="AV146" s="30" t="n">
        <v>0.4606</v>
      </c>
      <c r="AW146" s="30" t="n">
        <v>0.4908</v>
      </c>
      <c r="AX146" s="30" t="n">
        <v>0.4055</v>
      </c>
      <c r="AY146" s="29" t="n">
        <v>3</v>
      </c>
      <c r="AZ146" s="23" t="n">
        <v>364.09</v>
      </c>
      <c r="BA146" s="23" t="n">
        <v>320.91</v>
      </c>
      <c r="BB146" s="23" t="n">
        <v>342.1038</v>
      </c>
      <c r="BC146" s="30" t="n">
        <v>0.5827</v>
      </c>
      <c r="BD146" s="26">
        <f>IF(M146=N146,0.5,(J146-N146)/(M146-N146))</f>
        <v/>
      </c>
      <c r="BE146" s="31" t="n">
        <v>10.804</v>
      </c>
      <c r="BF146" s="31" t="n">
        <v>6.05</v>
      </c>
      <c r="BG146" s="32">
        <f>100*(0.4*MIN(1,MAX(0,((U146*100)-(0.0))/((2.5)-(0.0))))+0.3*MIN(1,MAX(0,((V146)-(0.6))/((1.0)-(0.6))))+0.3*MIN(1,MAX(0,((BE146)-(0.0))/((15.0)-(0.0)))))</f>
        <v/>
      </c>
      <c r="BH146" s="32">
        <f>100*(0.4*MIN(1,MAX(0,((MIN(ABS(AA146),ABS(AB146)))-(0.75))/((0.0)-(0.75))))+0.3*MIN(1,MAX(0,((BC146)-(1.2))/((0.6)-(1.2))))+0.3*BD146)</f>
        <v/>
      </c>
      <c r="BI146" s="32">
        <f>100*(0.5*MIN(1,MAX(0,((AK146)-(1.0))/((4.0)-(1.0))))+0.3*MIN(1,MAX(0,((IF(ISNUMBER(AO146),AO146,0)*100)-(0.0))/((8.0)-(0.0))))+0.2*MIN(1,MAX(0,((IF(ISNUMBER(AP146),AP146,0))-(25.0))/((5.0)-(25.0)))))</f>
        <v/>
      </c>
      <c r="BJ146" s="32">
        <f>100*(0.35*MIN(1,MAX(0,((ABS(AU146))-(0.3))/((0.05)-(0.3))))+0.3*MIN(1,MAX(0,((AV146)-(0.0))/((0.3)-(0.0))))+0.25*MIN(1,MAX(0,((AW146)-(0.4))/((0.7)-(0.4))))+0.1*IF(AY146&gt;=2,1,0.5))</f>
        <v/>
      </c>
      <c r="BK146" s="33">
        <f>0.25*BG146+0.25*BH146+0.2*BI146+0.3*BJ146</f>
        <v/>
      </c>
      <c r="BL146" s="20" t="inlineStr">
        <is>
          <t>C4 上升三角／重心偏上</t>
        </is>
      </c>
      <c r="BM146" s="20" t="inlineStr"/>
    </row>
    <row r="147">
      <c r="A147" s="20" t="n">
        <v>2</v>
      </c>
      <c r="B147" s="20" t="n">
        <v>46</v>
      </c>
      <c r="C147" s="21" t="inlineStr">
        <is>
          <t>DIOD</t>
        </is>
      </c>
      <c r="D147" s="20" t="inlineStr">
        <is>
          <t>Diodes Incorporated</t>
        </is>
      </c>
      <c r="E147" s="20" t="inlineStr">
        <is>
          <t>NASDAQ</t>
        </is>
      </c>
      <c r="F147" s="20" t="inlineStr">
        <is>
          <t>科技</t>
        </is>
      </c>
      <c r="G147" s="20" t="inlineStr">
        <is>
          <t>Semiconductors</t>
        </is>
      </c>
      <c r="H147" s="22" t="n">
        <v>4.457</v>
      </c>
      <c r="I147" s="20" t="inlineStr">
        <is>
          <t>中型</t>
        </is>
      </c>
      <c r="J147" s="23" t="n">
        <v>97.48999999999999</v>
      </c>
      <c r="K147" s="23" t="n">
        <v>96.79000000000001</v>
      </c>
      <c r="L147" s="24">
        <f>J147/K147-1</f>
        <v/>
      </c>
      <c r="M147" s="23" t="n">
        <v>97.62</v>
      </c>
      <c r="N147" s="23" t="n">
        <v>95</v>
      </c>
      <c r="O147" s="25" t="n">
        <v>338300</v>
      </c>
      <c r="P147" s="25" t="n">
        <v>481585</v>
      </c>
      <c r="Q147" s="26">
        <f>O147/P147</f>
        <v/>
      </c>
      <c r="R147" s="23" t="n">
        <v>95.66119999999999</v>
      </c>
      <c r="S147" s="23" t="n">
        <v>94.15130000000001</v>
      </c>
      <c r="T147" s="23" t="n">
        <v>92.53189999999999</v>
      </c>
      <c r="U147" s="24">
        <f>S147/T147-1</f>
        <v/>
      </c>
      <c r="V147" s="27" t="n">
        <v>0.9</v>
      </c>
      <c r="W147" s="24">
        <f>J147/R147-1</f>
        <v/>
      </c>
      <c r="X147" s="24">
        <f>J147/S147-1</f>
        <v/>
      </c>
      <c r="Y147" s="23" t="n">
        <v>4.1646</v>
      </c>
      <c r="Z147" s="28">
        <f>Y147/J147</f>
        <v/>
      </c>
      <c r="AA147" s="26">
        <f>(J147-R147)/Y147</f>
        <v/>
      </c>
      <c r="AB147" s="26">
        <f>(J147-S147)/Y147</f>
        <v/>
      </c>
      <c r="AC147" s="20">
        <f>IF(ABS(AA147)&lt;=ABS(AB147),"9EMA","21EMA")</f>
        <v/>
      </c>
      <c r="AD147" s="20" t="inlineStr">
        <is>
          <t>9EMA</t>
        </is>
      </c>
      <c r="AE147" s="20" t="inlineStr">
        <is>
          <t>持續在上方</t>
        </is>
      </c>
      <c r="AF147" s="20" t="inlineStr"/>
      <c r="AG147" s="20" t="inlineStr"/>
      <c r="AH147" s="20" t="inlineStr">
        <is>
          <t>✓</t>
        </is>
      </c>
      <c r="AI147" s="20" t="inlineStr">
        <is>
          <t>2026-09-22</t>
        </is>
      </c>
      <c r="AJ147" s="20" t="n">
        <v>7</v>
      </c>
      <c r="AK147" s="29" t="n">
        <v>3</v>
      </c>
      <c r="AL147" s="20" t="inlineStr">
        <is>
          <t>2026-09-22</t>
        </is>
      </c>
      <c r="AM147" s="23" t="n">
        <v>89.56</v>
      </c>
      <c r="AN147" s="23" t="n">
        <v>86.84999999999999</v>
      </c>
      <c r="AO147" s="24">
        <f>IF(ISNUMBER(AN147),AM147/AN147-1,"")</f>
        <v/>
      </c>
      <c r="AP147" s="29" t="n">
        <v>7</v>
      </c>
      <c r="AQ147" s="24">
        <f>IF(ISNUMBER(AM147),J147/AM147-1,"")</f>
        <v/>
      </c>
      <c r="AR147" s="23" t="n">
        <v>97.48999999999999</v>
      </c>
      <c r="AS147" s="24">
        <f>J147/AR147-1</f>
        <v/>
      </c>
      <c r="AT147" s="20" t="inlineStr">
        <is>
          <t>上升通道</t>
        </is>
      </c>
      <c r="AU147" s="30" t="n">
        <v>0.329</v>
      </c>
      <c r="AV147" s="30" t="n">
        <v>0.2841</v>
      </c>
      <c r="AW147" s="30" t="n">
        <v>0.4934</v>
      </c>
      <c r="AX147" s="30" t="n">
        <v>0.4865</v>
      </c>
      <c r="AY147" s="29" t="n">
        <v>4</v>
      </c>
      <c r="AZ147" s="23" t="n">
        <v>98.73999999999999</v>
      </c>
      <c r="BA147" s="23" t="n">
        <v>85.77</v>
      </c>
      <c r="BB147" s="23" t="n">
        <v>92.1696</v>
      </c>
      <c r="BC147" s="30" t="n">
        <v>0.8937</v>
      </c>
      <c r="BD147" s="26">
        <f>IF(M147=N147,0.5,(J147-N147)/(M147-N147))</f>
        <v/>
      </c>
      <c r="BE147" s="31" t="n">
        <v>16.644</v>
      </c>
      <c r="BF147" s="31" t="n">
        <v>11.89</v>
      </c>
      <c r="BG147" s="32">
        <f>100*(0.4*MIN(1,MAX(0,((U147*100)-(0.0))/((2.5)-(0.0))))+0.3*MIN(1,MAX(0,((V147)-(0.6))/((1.0)-(0.6))))+0.3*MIN(1,MAX(0,((BE147)-(0.0))/((15.0)-(0.0)))))</f>
        <v/>
      </c>
      <c r="BH147" s="32">
        <f>100*(0.4*MIN(1,MAX(0,((MIN(ABS(AA147),ABS(AB147)))-(0.75))/((0.0)-(0.75))))+0.3*MIN(1,MAX(0,((BC147)-(1.2))/((0.6)-(1.2))))+0.3*BD147)</f>
        <v/>
      </c>
      <c r="BI147" s="32">
        <f>100*(0.5*MIN(1,MAX(0,((AK147)-(1.0))/((4.0)-(1.0))))+0.3*MIN(1,MAX(0,((IF(ISNUMBER(AO147),AO147,0)*100)-(0.0))/((8.0)-(0.0))))+0.2*MIN(1,MAX(0,((IF(ISNUMBER(AP147),AP147,0))-(25.0))/((5.0)-(25.0)))))</f>
        <v/>
      </c>
      <c r="BJ147" s="32">
        <f>100*(0.35*MIN(1,MAX(0,((ABS(AU147))-(0.3))/((0.05)-(0.3))))+0.3*MIN(1,MAX(0,((AV147)-(0.0))/((0.3)-(0.0))))+0.25*MIN(1,MAX(0,((AW147)-(0.4))/((0.7)-(0.4))))+0.1*IF(AY147&gt;=2,1,0.5))</f>
        <v/>
      </c>
      <c r="BK147" s="33">
        <f>0.25*BG147+0.25*BH147+0.2*BI147+0.3*BJ147</f>
        <v/>
      </c>
      <c r="BL147" s="20" t="inlineStr">
        <is>
          <t>C4 上升三角／重心偏上</t>
        </is>
      </c>
      <c r="BM147" s="20" t="inlineStr"/>
    </row>
    <row r="148">
      <c r="A148" s="20" t="n">
        <v>2</v>
      </c>
      <c r="B148" s="20" t="n">
        <v>47</v>
      </c>
      <c r="C148" s="21" t="inlineStr">
        <is>
          <t>FIX</t>
        </is>
      </c>
      <c r="D148" s="20" t="inlineStr">
        <is>
          <t>Comfort Systems USA Inc.</t>
        </is>
      </c>
      <c r="E148" s="20" t="inlineStr">
        <is>
          <t>NYSE</t>
        </is>
      </c>
      <c r="F148" s="20" t="inlineStr">
        <is>
          <t>工業</t>
        </is>
      </c>
      <c r="G148" s="20" t="inlineStr">
        <is>
          <t>Engineering &amp; Construction</t>
        </is>
      </c>
      <c r="H148" s="22" t="n">
        <v>58.215</v>
      </c>
      <c r="I148" s="20" t="inlineStr">
        <is>
          <t>大型</t>
        </is>
      </c>
      <c r="J148" s="23" t="n">
        <v>1685.29</v>
      </c>
      <c r="K148" s="23" t="n">
        <v>1654.09</v>
      </c>
      <c r="L148" s="24">
        <f>J148/K148-1</f>
        <v/>
      </c>
      <c r="M148" s="23" t="n">
        <v>1688.55</v>
      </c>
      <c r="N148" s="23" t="n">
        <v>1624.77</v>
      </c>
      <c r="O148" s="25" t="n">
        <v>303000</v>
      </c>
      <c r="P148" s="25" t="n">
        <v>312230</v>
      </c>
      <c r="Q148" s="26">
        <f>O148/P148</f>
        <v/>
      </c>
      <c r="R148" s="23" t="n">
        <v>1652.1716</v>
      </c>
      <c r="S148" s="23" t="n">
        <v>1639.9824</v>
      </c>
      <c r="T148" s="23" t="n">
        <v>1624.5303</v>
      </c>
      <c r="U148" s="24">
        <f>S148/T148-1</f>
        <v/>
      </c>
      <c r="V148" s="27" t="n">
        <v>1</v>
      </c>
      <c r="W148" s="24">
        <f>J148/R148-1</f>
        <v/>
      </c>
      <c r="X148" s="24">
        <f>J148/S148-1</f>
        <v/>
      </c>
      <c r="Y148" s="23" t="n">
        <v>68.9426</v>
      </c>
      <c r="Z148" s="28">
        <f>Y148/J148</f>
        <v/>
      </c>
      <c r="AA148" s="26">
        <f>(J148-R148)/Y148</f>
        <v/>
      </c>
      <c r="AB148" s="26">
        <f>(J148-S148)/Y148</f>
        <v/>
      </c>
      <c r="AC148" s="20">
        <f>IF(ABS(AA148)&lt;=ABS(AB148),"9EMA","21EMA")</f>
        <v/>
      </c>
      <c r="AD148" s="20" t="inlineStr">
        <is>
          <t>9+21EMA</t>
        </is>
      </c>
      <c r="AE148" s="19" t="inlineStr">
        <is>
          <t>剛黃金交叉</t>
        </is>
      </c>
      <c r="AF148" s="20" t="inlineStr">
        <is>
          <t>✓</t>
        </is>
      </c>
      <c r="AG148" s="20" t="inlineStr"/>
      <c r="AH148" s="20" t="inlineStr">
        <is>
          <t>✓</t>
        </is>
      </c>
      <c r="AI148" s="20" t="inlineStr">
        <is>
          <t>2026-09-25</t>
        </is>
      </c>
      <c r="AJ148" s="20" t="n">
        <v>4</v>
      </c>
      <c r="AK148" s="29" t="n">
        <v>3</v>
      </c>
      <c r="AL148" s="20" t="inlineStr">
        <is>
          <t>2026-09-24</t>
        </is>
      </c>
      <c r="AM148" s="23" t="n">
        <v>1570</v>
      </c>
      <c r="AN148" s="23" t="n">
        <v>1545.21</v>
      </c>
      <c r="AO148" s="24">
        <f>IF(ISNUMBER(AN148),AM148/AN148-1,"")</f>
        <v/>
      </c>
      <c r="AP148" s="29" t="n">
        <v>5</v>
      </c>
      <c r="AQ148" s="24">
        <f>IF(ISNUMBER(AM148),J148/AM148-1,"")</f>
        <v/>
      </c>
      <c r="AR148" s="23" t="n">
        <v>1690.8199</v>
      </c>
      <c r="AS148" s="24">
        <f>J148/AR148-1</f>
        <v/>
      </c>
      <c r="AT148" s="20" t="inlineStr">
        <is>
          <t>對稱三角</t>
        </is>
      </c>
      <c r="AU148" s="30" t="n">
        <v>-0.1869</v>
      </c>
      <c r="AV148" s="30" t="n">
        <v>0.2251</v>
      </c>
      <c r="AW148" s="30" t="n">
        <v>0.5216</v>
      </c>
      <c r="AX148" s="30" t="n">
        <v>0.5515</v>
      </c>
      <c r="AY148" s="29" t="n">
        <v>4</v>
      </c>
      <c r="AZ148" s="23" t="n">
        <v>1712.6</v>
      </c>
      <c r="BA148" s="23" t="n">
        <v>1505.73</v>
      </c>
      <c r="BB148" s="23" t="n">
        <v>1613.6431</v>
      </c>
      <c r="BC148" s="30" t="n">
        <v>0.9078000000000001</v>
      </c>
      <c r="BD148" s="26">
        <f>IF(M148=N148,0.5,(J148-N148)/(M148-N148))</f>
        <v/>
      </c>
      <c r="BE148" s="31" t="n">
        <v>13.177</v>
      </c>
      <c r="BF148" s="31" t="n">
        <v>8.423</v>
      </c>
      <c r="BG148" s="32">
        <f>100*(0.4*MIN(1,MAX(0,((U148*100)-(0.0))/((2.5)-(0.0))))+0.3*MIN(1,MAX(0,((V148)-(0.6))/((1.0)-(0.6))))+0.3*MIN(1,MAX(0,((BE148)-(0.0))/((15.0)-(0.0)))))</f>
        <v/>
      </c>
      <c r="BH148" s="32">
        <f>100*(0.4*MIN(1,MAX(0,((MIN(ABS(AA148),ABS(AB148)))-(0.75))/((0.0)-(0.75))))+0.3*MIN(1,MAX(0,((BC148)-(1.2))/((0.6)-(1.2))))+0.3*BD148)</f>
        <v/>
      </c>
      <c r="BI148" s="32">
        <f>100*(0.5*MIN(1,MAX(0,((AK148)-(1.0))/((4.0)-(1.0))))+0.3*MIN(1,MAX(0,((IF(ISNUMBER(AO148),AO148,0)*100)-(0.0))/((8.0)-(0.0))))+0.2*MIN(1,MAX(0,((IF(ISNUMBER(AP148),AP148,0))-(25.0))/((5.0)-(25.0)))))</f>
        <v/>
      </c>
      <c r="BJ148" s="32">
        <f>100*(0.35*MIN(1,MAX(0,((ABS(AU148))-(0.3))/((0.05)-(0.3))))+0.3*MIN(1,MAX(0,((AV148)-(0.0))/((0.3)-(0.0))))+0.25*MIN(1,MAX(0,((AW148)-(0.4))/((0.7)-(0.4))))+0.1*IF(AY148&gt;=2,1,0.5))</f>
        <v/>
      </c>
      <c r="BK148" s="33">
        <f>0.25*BG148+0.25*BH148+0.2*BI148+0.3*BJ148</f>
        <v/>
      </c>
      <c r="BL148" s="20" t="inlineStr">
        <is>
          <t>C4 上升三角／重心偏上</t>
        </is>
      </c>
      <c r="BM148" s="20" t="inlineStr"/>
    </row>
    <row r="149">
      <c r="A149" s="20" t="n">
        <v>2</v>
      </c>
      <c r="B149" s="20" t="n">
        <v>48</v>
      </c>
      <c r="C149" s="21" t="inlineStr">
        <is>
          <t>DOCN</t>
        </is>
      </c>
      <c r="D149" s="20" t="inlineStr">
        <is>
          <t>DigitalOcean Holdings Inc.</t>
        </is>
      </c>
      <c r="E149" s="20" t="inlineStr">
        <is>
          <t>NYSE</t>
        </is>
      </c>
      <c r="F149" s="20" t="inlineStr">
        <is>
          <t>科技</t>
        </is>
      </c>
      <c r="G149" s="20" t="inlineStr">
        <is>
          <t>Computer Software: Programming Data Processing</t>
        </is>
      </c>
      <c r="H149" s="22" t="n">
        <v>15.684</v>
      </c>
      <c r="I149" s="20" t="inlineStr">
        <is>
          <t>大型</t>
        </is>
      </c>
      <c r="J149" s="23" t="n">
        <v>139.8</v>
      </c>
      <c r="K149" s="23" t="n">
        <v>133.39</v>
      </c>
      <c r="L149" s="24">
        <f>J149/K149-1</f>
        <v/>
      </c>
      <c r="M149" s="23" t="n">
        <v>140.74</v>
      </c>
      <c r="N149" s="23" t="n">
        <v>132</v>
      </c>
      <c r="O149" s="25" t="n">
        <v>1478400</v>
      </c>
      <c r="P149" s="25" t="n">
        <v>2778620</v>
      </c>
      <c r="Q149" s="26">
        <f>O149/P149</f>
        <v/>
      </c>
      <c r="R149" s="23" t="n">
        <v>136.4532</v>
      </c>
      <c r="S149" s="23" t="n">
        <v>131.9819</v>
      </c>
      <c r="T149" s="23" t="n">
        <v>129.0328</v>
      </c>
      <c r="U149" s="24">
        <f>S149/T149-1</f>
        <v/>
      </c>
      <c r="V149" s="27" t="n">
        <v>1</v>
      </c>
      <c r="W149" s="24">
        <f>J149/R149-1</f>
        <v/>
      </c>
      <c r="X149" s="24">
        <f>J149/S149-1</f>
        <v/>
      </c>
      <c r="Y149" s="23" t="n">
        <v>8.9795</v>
      </c>
      <c r="Z149" s="28">
        <f>Y149/J149</f>
        <v/>
      </c>
      <c r="AA149" s="26">
        <f>(J149-R149)/Y149</f>
        <v/>
      </c>
      <c r="AB149" s="26">
        <f>(J149-S149)/Y149</f>
        <v/>
      </c>
      <c r="AC149" s="20">
        <f>IF(ABS(AA149)&lt;=ABS(AB149),"9EMA","21EMA")</f>
        <v/>
      </c>
      <c r="AD149" s="20" t="inlineStr">
        <is>
          <t>9+21EMA</t>
        </is>
      </c>
      <c r="AE149" s="20" t="inlineStr">
        <is>
          <t>持續在上方</t>
        </is>
      </c>
      <c r="AF149" s="20" t="inlineStr"/>
      <c r="AG149" s="20" t="inlineStr"/>
      <c r="AH149" s="20" t="inlineStr">
        <is>
          <t>✓</t>
        </is>
      </c>
      <c r="AI149" s="20" t="inlineStr">
        <is>
          <t>2026-09-10</t>
        </is>
      </c>
      <c r="AJ149" s="20" t="n">
        <v>15</v>
      </c>
      <c r="AK149" s="29" t="n">
        <v>2</v>
      </c>
      <c r="AL149" s="20" t="inlineStr">
        <is>
          <t>2026-09-14</t>
        </is>
      </c>
      <c r="AM149" s="23" t="n">
        <v>114.31</v>
      </c>
      <c r="AN149" s="23" t="n">
        <v>101.73</v>
      </c>
      <c r="AO149" s="24">
        <f>IF(ISNUMBER(AN149),AM149/AN149-1,"")</f>
        <v/>
      </c>
      <c r="AP149" s="29" t="n">
        <v>13</v>
      </c>
      <c r="AQ149" s="24">
        <f>IF(ISNUMBER(AM149),J149/AM149-1,"")</f>
        <v/>
      </c>
      <c r="AR149" s="23" t="n">
        <v>146.16</v>
      </c>
      <c r="AS149" s="24">
        <f>J149/AR149-1</f>
        <v/>
      </c>
      <c r="AT149" s="20" t="inlineStr">
        <is>
          <t>上傾收窄（楔形）</t>
        </is>
      </c>
      <c r="AU149" s="30" t="n">
        <v>1.152</v>
      </c>
      <c r="AV149" s="30" t="n">
        <v>1.4998</v>
      </c>
      <c r="AW149" s="30" t="n">
        <v>0.5348000000000001</v>
      </c>
      <c r="AX149" s="30" t="n">
        <v>0.5729</v>
      </c>
      <c r="AY149" s="29" t="n">
        <v>1</v>
      </c>
      <c r="AZ149" s="23" t="n">
        <v>151.83</v>
      </c>
      <c r="BA149" s="23" t="n">
        <v>101.73</v>
      </c>
      <c r="BB149" s="23" t="n">
        <v>128.5257</v>
      </c>
      <c r="BC149" s="30" t="n">
        <v>1.194</v>
      </c>
      <c r="BD149" s="26">
        <f>IF(M149=N149,0.5,(J149-N149)/(M149-N149))</f>
        <v/>
      </c>
      <c r="BE149" s="31" t="n">
        <v>33.105</v>
      </c>
      <c r="BF149" s="31" t="n">
        <v>28.351</v>
      </c>
      <c r="BG149" s="32">
        <f>100*(0.4*MIN(1,MAX(0,((U149*100)-(0.0))/((2.5)-(0.0))))+0.3*MIN(1,MAX(0,((V149)-(0.6))/((1.0)-(0.6))))+0.3*MIN(1,MAX(0,((BE149)-(0.0))/((15.0)-(0.0)))))</f>
        <v/>
      </c>
      <c r="BH149" s="32">
        <f>100*(0.4*MIN(1,MAX(0,((MIN(ABS(AA149),ABS(AB149)))-(0.75))/((0.0)-(0.75))))+0.3*MIN(1,MAX(0,((BC149)-(1.2))/((0.6)-(1.2))))+0.3*BD149)</f>
        <v/>
      </c>
      <c r="BI149" s="32">
        <f>100*(0.5*MIN(1,MAX(0,((AK149)-(1.0))/((4.0)-(1.0))))+0.3*MIN(1,MAX(0,((IF(ISNUMBER(AO149),AO149,0)*100)-(0.0))/((8.0)-(0.0))))+0.2*MIN(1,MAX(0,((IF(ISNUMBER(AP149),AP149,0))-(25.0))/((5.0)-(25.0)))))</f>
        <v/>
      </c>
      <c r="BJ149" s="32">
        <f>100*(0.35*MIN(1,MAX(0,((ABS(AU149))-(0.3))/((0.05)-(0.3))))+0.3*MIN(1,MAX(0,((AV149)-(0.0))/((0.3)-(0.0))))+0.25*MIN(1,MAX(0,((AW149)-(0.4))/((0.7)-(0.4))))+0.1*IF(AY149&gt;=2,1,0.5))</f>
        <v/>
      </c>
      <c r="BK149" s="33">
        <f>0.25*BG149+0.25*BH149+0.2*BI149+0.3*BJ149</f>
        <v/>
      </c>
      <c r="BL149" s="20" t="inlineStr">
        <is>
          <t>C4 上升三角／重心偏上</t>
        </is>
      </c>
      <c r="BM149" s="20" t="inlineStr"/>
    </row>
    <row r="150">
      <c r="A150" s="20" t="n">
        <v>2</v>
      </c>
      <c r="B150" s="20" t="n">
        <v>49</v>
      </c>
      <c r="C150" s="21" t="inlineStr">
        <is>
          <t>NXDR</t>
        </is>
      </c>
      <c r="D150" s="20" t="inlineStr">
        <is>
          <t>Nextdoor Holdings Inc.</t>
        </is>
      </c>
      <c r="E150" s="20" t="inlineStr">
        <is>
          <t>NYSE</t>
        </is>
      </c>
      <c r="F150" s="20" t="inlineStr">
        <is>
          <t>科技</t>
        </is>
      </c>
      <c r="G150" s="20" t="inlineStr">
        <is>
          <t>Computer Software: Programming Data Processing</t>
        </is>
      </c>
      <c r="H150" s="22" t="n">
        <v>0.9399999999999999</v>
      </c>
      <c r="I150" s="20" t="inlineStr">
        <is>
          <t>小型</t>
        </is>
      </c>
      <c r="J150" s="23" t="n">
        <v>2.48</v>
      </c>
      <c r="K150" s="23" t="n">
        <v>2.43</v>
      </c>
      <c r="L150" s="24">
        <f>J150/K150-1</f>
        <v/>
      </c>
      <c r="M150" s="23" t="n">
        <v>2.49</v>
      </c>
      <c r="N150" s="23" t="n">
        <v>2.34</v>
      </c>
      <c r="O150" s="25" t="n">
        <v>1768400</v>
      </c>
      <c r="P150" s="25" t="n">
        <v>2396655</v>
      </c>
      <c r="Q150" s="26">
        <f>O150/P150</f>
        <v/>
      </c>
      <c r="R150" s="23" t="n">
        <v>2.4502</v>
      </c>
      <c r="S150" s="23" t="n">
        <v>2.4208</v>
      </c>
      <c r="T150" s="23" t="n">
        <v>2.3985</v>
      </c>
      <c r="U150" s="24">
        <f>S150/T150-1</f>
        <v/>
      </c>
      <c r="V150" s="27" t="n">
        <v>0.9</v>
      </c>
      <c r="W150" s="24">
        <f>J150/R150-1</f>
        <v/>
      </c>
      <c r="X150" s="24">
        <f>J150/S150-1</f>
        <v/>
      </c>
      <c r="Y150" s="23" t="n">
        <v>0.11</v>
      </c>
      <c r="Z150" s="28">
        <f>Y150/J150</f>
        <v/>
      </c>
      <c r="AA150" s="26">
        <f>(J150-R150)/Y150</f>
        <v/>
      </c>
      <c r="AB150" s="26">
        <f>(J150-S150)/Y150</f>
        <v/>
      </c>
      <c r="AC150" s="20">
        <f>IF(ABS(AA150)&lt;=ABS(AB150),"9EMA","21EMA")</f>
        <v/>
      </c>
      <c r="AD150" s="20" t="inlineStr">
        <is>
          <t>9+21EMA</t>
        </is>
      </c>
      <c r="AE150" s="20" t="inlineStr">
        <is>
          <t>持續在上方</t>
        </is>
      </c>
      <c r="AF150" s="20" t="inlineStr"/>
      <c r="AG150" s="20" t="inlineStr"/>
      <c r="AH150" s="20" t="inlineStr">
        <is>
          <t>✓</t>
        </is>
      </c>
      <c r="AI150" s="20" t="inlineStr">
        <is>
          <t>2026-09-16</t>
        </is>
      </c>
      <c r="AJ150" s="20" t="n">
        <v>11</v>
      </c>
      <c r="AK150" s="29" t="n">
        <v>2</v>
      </c>
      <c r="AL150" s="20" t="inlineStr">
        <is>
          <t>2026-09-23</t>
        </is>
      </c>
      <c r="AM150" s="23" t="n">
        <v>2.33</v>
      </c>
      <c r="AN150" s="23" t="n">
        <v>2.13</v>
      </c>
      <c r="AO150" s="24">
        <f>IF(ISNUMBER(AN150),AM150/AN150-1,"")</f>
        <v/>
      </c>
      <c r="AP150" s="29" t="n">
        <v>6</v>
      </c>
      <c r="AQ150" s="24">
        <f>IF(ISNUMBER(AM150),J150/AM150-1,"")</f>
        <v/>
      </c>
      <c r="AR150" s="23" t="n">
        <v>2.64</v>
      </c>
      <c r="AS150" s="24">
        <f>J150/AR150-1</f>
        <v/>
      </c>
      <c r="AT150" s="20" t="inlineStr">
        <is>
          <t>上傾擴張</t>
        </is>
      </c>
      <c r="AU150" s="30" t="n">
        <v>1.0585</v>
      </c>
      <c r="AV150" s="30" t="n">
        <v>0.504</v>
      </c>
      <c r="AW150" s="30" t="n">
        <v>0.4846</v>
      </c>
      <c r="AX150" s="30" t="n">
        <v>0.4734</v>
      </c>
      <c r="AY150" s="29" t="n">
        <v>2</v>
      </c>
      <c r="AZ150" s="23" t="n">
        <v>2.65</v>
      </c>
      <c r="BA150" s="23" t="n">
        <v>2.13</v>
      </c>
      <c r="BB150" s="23" t="n">
        <v>2.382</v>
      </c>
      <c r="BC150" s="30" t="n">
        <v>0.8943</v>
      </c>
      <c r="BD150" s="26">
        <f>IF(M150=N150,0.5,(J150-N150)/(M150-N150))</f>
        <v/>
      </c>
      <c r="BE150" s="31" t="n">
        <v>17.481</v>
      </c>
      <c r="BF150" s="31" t="n">
        <v>12.727</v>
      </c>
      <c r="BG150" s="32">
        <f>100*(0.4*MIN(1,MAX(0,((U150*100)-(0.0))/((2.5)-(0.0))))+0.3*MIN(1,MAX(0,((V150)-(0.6))/((1.0)-(0.6))))+0.3*MIN(1,MAX(0,((BE150)-(0.0))/((15.0)-(0.0)))))</f>
        <v/>
      </c>
      <c r="BH150" s="32">
        <f>100*(0.4*MIN(1,MAX(0,((MIN(ABS(AA150),ABS(AB150)))-(0.75))/((0.0)-(0.75))))+0.3*MIN(1,MAX(0,((BC150)-(1.2))/((0.6)-(1.2))))+0.3*BD150)</f>
        <v/>
      </c>
      <c r="BI150" s="32">
        <f>100*(0.5*MIN(1,MAX(0,((AK150)-(1.0))/((4.0)-(1.0))))+0.3*MIN(1,MAX(0,((IF(ISNUMBER(AO150),AO150,0)*100)-(0.0))/((8.0)-(0.0))))+0.2*MIN(1,MAX(0,((IF(ISNUMBER(AP150),AP150,0))-(25.0))/((5.0)-(25.0)))))</f>
        <v/>
      </c>
      <c r="BJ150" s="32">
        <f>100*(0.35*MIN(1,MAX(0,((ABS(AU150))-(0.3))/((0.05)-(0.3))))+0.3*MIN(1,MAX(0,((AV150)-(0.0))/((0.3)-(0.0))))+0.25*MIN(1,MAX(0,((AW150)-(0.4))/((0.7)-(0.4))))+0.1*IF(AY150&gt;=2,1,0.5))</f>
        <v/>
      </c>
      <c r="BK150" s="33">
        <f>0.25*BG150+0.25*BH150+0.2*BI150+0.3*BJ150</f>
        <v/>
      </c>
      <c r="BL150" s="20" t="inlineStr">
        <is>
          <t>C4 上升三角／重心偏上</t>
        </is>
      </c>
      <c r="BM150" s="20" t="inlineStr"/>
    </row>
    <row r="151">
      <c r="A151" s="20" t="n">
        <v>2</v>
      </c>
      <c r="B151" s="20" t="n">
        <v>50</v>
      </c>
      <c r="C151" s="21" t="inlineStr">
        <is>
          <t>BAND</t>
        </is>
      </c>
      <c r="D151" s="20" t="inlineStr">
        <is>
          <t>Bandwidth Inc.</t>
        </is>
      </c>
      <c r="E151" s="20" t="inlineStr">
        <is>
          <t>NASDAQ</t>
        </is>
      </c>
      <c r="F151" s="20" t="inlineStr">
        <is>
          <t>科技</t>
        </is>
      </c>
      <c r="G151" s="20" t="inlineStr">
        <is>
          <t>Computer Software: Prepackaged Software</t>
        </is>
      </c>
      <c r="H151" s="22" t="n">
        <v>1.954</v>
      </c>
      <c r="I151" s="20" t="inlineStr">
        <is>
          <t>小型</t>
        </is>
      </c>
      <c r="J151" s="23" t="n">
        <v>62.44</v>
      </c>
      <c r="K151" s="23" t="n">
        <v>60.71</v>
      </c>
      <c r="L151" s="24">
        <f>J151/K151-1</f>
        <v/>
      </c>
      <c r="M151" s="23" t="n">
        <v>63.74</v>
      </c>
      <c r="N151" s="23" t="n">
        <v>59</v>
      </c>
      <c r="O151" s="25" t="n">
        <v>796300</v>
      </c>
      <c r="P151" s="25" t="n">
        <v>966815</v>
      </c>
      <c r="Q151" s="26">
        <f>O151/P151</f>
        <v/>
      </c>
      <c r="R151" s="23" t="n">
        <v>59.6023</v>
      </c>
      <c r="S151" s="23" t="n">
        <v>56.0517</v>
      </c>
      <c r="T151" s="23" t="n">
        <v>52.6216</v>
      </c>
      <c r="U151" s="24">
        <f>S151/T151-1</f>
        <v/>
      </c>
      <c r="V151" s="27" t="n">
        <v>1</v>
      </c>
      <c r="W151" s="24">
        <f>J151/R151-1</f>
        <v/>
      </c>
      <c r="X151" s="24">
        <f>J151/S151-1</f>
        <v/>
      </c>
      <c r="Y151" s="23" t="n">
        <v>4.3826</v>
      </c>
      <c r="Z151" s="28">
        <f>Y151/J151</f>
        <v/>
      </c>
      <c r="AA151" s="26">
        <f>(J151-R151)/Y151</f>
        <v/>
      </c>
      <c r="AB151" s="26">
        <f>(J151-S151)/Y151</f>
        <v/>
      </c>
      <c r="AC151" s="20">
        <f>IF(ABS(AA151)&lt;=ABS(AB151),"9EMA","21EMA")</f>
        <v/>
      </c>
      <c r="AD151" s="20" t="inlineStr">
        <is>
          <t>9EMA</t>
        </is>
      </c>
      <c r="AE151" s="20" t="inlineStr">
        <is>
          <t>持續在上方</t>
        </is>
      </c>
      <c r="AF151" s="20" t="inlineStr"/>
      <c r="AG151" s="20" t="inlineStr"/>
      <c r="AH151" s="20" t="inlineStr"/>
      <c r="AI151" s="20" t="inlineStr">
        <is>
          <t>2026-09-17</t>
        </is>
      </c>
      <c r="AJ151" s="20" t="n">
        <v>10</v>
      </c>
      <c r="AK151" s="29" t="n">
        <v>2</v>
      </c>
      <c r="AL151" s="20" t="inlineStr">
        <is>
          <t>2026-09-16</t>
        </is>
      </c>
      <c r="AM151" s="23" t="n">
        <v>48.4</v>
      </c>
      <c r="AN151" s="23" t="n">
        <v>41.58</v>
      </c>
      <c r="AO151" s="24">
        <f>IF(ISNUMBER(AN151),AM151/AN151-1,"")</f>
        <v/>
      </c>
      <c r="AP151" s="29" t="n">
        <v>11</v>
      </c>
      <c r="AQ151" s="24">
        <f>IF(ISNUMBER(AM151),J151/AM151-1,"")</f>
        <v/>
      </c>
      <c r="AR151" s="23" t="n">
        <v>62.44</v>
      </c>
      <c r="AS151" s="24">
        <f>J151/AR151-1</f>
        <v/>
      </c>
      <c r="AT151" s="20" t="inlineStr">
        <is>
          <t>上傾收窄（楔形）</t>
        </is>
      </c>
      <c r="AU151" s="30" t="n">
        <v>1.0322</v>
      </c>
      <c r="AV151" s="30" t="n">
        <v>1.8204</v>
      </c>
      <c r="AW151" s="30" t="n">
        <v>0.5131</v>
      </c>
      <c r="AX151" s="30" t="n">
        <v>0.5336</v>
      </c>
      <c r="AY151" s="29" t="n">
        <v>2</v>
      </c>
      <c r="AZ151" s="23" t="n">
        <v>65.13</v>
      </c>
      <c r="BA151" s="23" t="n">
        <v>41.58</v>
      </c>
      <c r="BB151" s="23" t="n">
        <v>53.6631</v>
      </c>
      <c r="BC151" s="30" t="n">
        <v>0.9973</v>
      </c>
      <c r="BD151" s="26">
        <f>IF(M151=N151,0.5,(J151-N151)/(M151-N151))</f>
        <v/>
      </c>
      <c r="BE151" s="31" t="n">
        <v>27.692</v>
      </c>
      <c r="BF151" s="31" t="n">
        <v>22.938</v>
      </c>
      <c r="BG151" s="32">
        <f>100*(0.4*MIN(1,MAX(0,((U151*100)-(0.0))/((2.5)-(0.0))))+0.3*MIN(1,MAX(0,((V151)-(0.6))/((1.0)-(0.6))))+0.3*MIN(1,MAX(0,((BE151)-(0.0))/((15.0)-(0.0)))))</f>
        <v/>
      </c>
      <c r="BH151" s="32">
        <f>100*(0.4*MIN(1,MAX(0,((MIN(ABS(AA151),ABS(AB151)))-(0.75))/((0.0)-(0.75))))+0.3*MIN(1,MAX(0,((BC151)-(1.2))/((0.6)-(1.2))))+0.3*BD151)</f>
        <v/>
      </c>
      <c r="BI151" s="32">
        <f>100*(0.5*MIN(1,MAX(0,((AK151)-(1.0))/((4.0)-(1.0))))+0.3*MIN(1,MAX(0,((IF(ISNUMBER(AO151),AO151,0)*100)-(0.0))/((8.0)-(0.0))))+0.2*MIN(1,MAX(0,((IF(ISNUMBER(AP151),AP151,0))-(25.0))/((5.0)-(25.0)))))</f>
        <v/>
      </c>
      <c r="BJ151" s="32">
        <f>100*(0.35*MIN(1,MAX(0,((ABS(AU151))-(0.3))/((0.05)-(0.3))))+0.3*MIN(1,MAX(0,((AV151)-(0.0))/((0.3)-(0.0))))+0.25*MIN(1,MAX(0,((AW151)-(0.4))/((0.7)-(0.4))))+0.1*IF(AY151&gt;=2,1,0.5))</f>
        <v/>
      </c>
      <c r="BK151" s="33">
        <f>0.25*BG151+0.25*BH151+0.2*BI151+0.3*BJ151</f>
        <v/>
      </c>
      <c r="BL151" s="20" t="inlineStr">
        <is>
          <t>C4 上升三角／重心偏上</t>
        </is>
      </c>
      <c r="BM151" s="20" t="inlineStr"/>
    </row>
    <row r="152">
      <c r="A152" s="20" t="n">
        <v>2</v>
      </c>
      <c r="B152" s="20" t="n">
        <v>51</v>
      </c>
      <c r="C152" s="21" t="inlineStr">
        <is>
          <t>PRLB</t>
        </is>
      </c>
      <c r="D152" s="20" t="inlineStr">
        <is>
          <t>Proto Labs Inc. Common stock</t>
        </is>
      </c>
      <c r="E152" s="20" t="inlineStr">
        <is>
          <t>NYSE</t>
        </is>
      </c>
      <c r="F152" s="20" t="inlineStr">
        <is>
          <t>工業</t>
        </is>
      </c>
      <c r="G152" s="20" t="inlineStr">
        <is>
          <t>Metal Fabrications</t>
        </is>
      </c>
      <c r="H152" s="22" t="n">
        <v>2.269</v>
      </c>
      <c r="I152" s="20" t="inlineStr">
        <is>
          <t>中型</t>
        </is>
      </c>
      <c r="J152" s="23" t="n">
        <v>94.37</v>
      </c>
      <c r="K152" s="23" t="n">
        <v>94.84999999999999</v>
      </c>
      <c r="L152" s="24">
        <f>J152/K152-1</f>
        <v/>
      </c>
      <c r="M152" s="23" t="n">
        <v>96.14</v>
      </c>
      <c r="N152" s="23" t="n">
        <v>93.61</v>
      </c>
      <c r="O152" s="25" t="n">
        <v>251300</v>
      </c>
      <c r="P152" s="25" t="n">
        <v>239975</v>
      </c>
      <c r="Q152" s="26">
        <f>O152/P152</f>
        <v/>
      </c>
      <c r="R152" s="23" t="n">
        <v>92.6707</v>
      </c>
      <c r="S152" s="23" t="n">
        <v>88.65649999999999</v>
      </c>
      <c r="T152" s="23" t="n">
        <v>84.5063</v>
      </c>
      <c r="U152" s="24">
        <f>S152/T152-1</f>
        <v/>
      </c>
      <c r="V152" s="27" t="n">
        <v>1</v>
      </c>
      <c r="W152" s="24">
        <f>J152/R152-1</f>
        <v/>
      </c>
      <c r="X152" s="24">
        <f>J152/S152-1</f>
        <v/>
      </c>
      <c r="Y152" s="23" t="n">
        <v>3.1831</v>
      </c>
      <c r="Z152" s="28">
        <f>Y152/J152</f>
        <v/>
      </c>
      <c r="AA152" s="26">
        <f>(J152-R152)/Y152</f>
        <v/>
      </c>
      <c r="AB152" s="26">
        <f>(J152-S152)/Y152</f>
        <v/>
      </c>
      <c r="AC152" s="20">
        <f>IF(ABS(AA152)&lt;=ABS(AB152),"9EMA","21EMA")</f>
        <v/>
      </c>
      <c r="AD152" s="20" t="inlineStr">
        <is>
          <t>—</t>
        </is>
      </c>
      <c r="AE152" s="20" t="inlineStr">
        <is>
          <t>持續在上方</t>
        </is>
      </c>
      <c r="AF152" s="20" t="inlineStr"/>
      <c r="AG152" s="20" t="inlineStr"/>
      <c r="AH152" s="20" t="inlineStr">
        <is>
          <t>✓</t>
        </is>
      </c>
      <c r="AI152" s="20" t="inlineStr">
        <is>
          <t>2026-09-17</t>
        </is>
      </c>
      <c r="AJ152" s="20" t="n">
        <v>10</v>
      </c>
      <c r="AK152" s="29" t="n">
        <v>4</v>
      </c>
      <c r="AL152" s="20" t="inlineStr">
        <is>
          <t>2026-09-15</t>
        </is>
      </c>
      <c r="AM152" s="23" t="n">
        <v>77.88</v>
      </c>
      <c r="AN152" s="23" t="n">
        <v>77.05</v>
      </c>
      <c r="AO152" s="24">
        <f>IF(ISNUMBER(AN152),AM152/AN152-1,"")</f>
        <v/>
      </c>
      <c r="AP152" s="29" t="n">
        <v>12</v>
      </c>
      <c r="AQ152" s="24">
        <f>IF(ISNUMBER(AM152),J152/AM152-1,"")</f>
        <v/>
      </c>
      <c r="AR152" s="23" t="n">
        <v>96.90000000000001</v>
      </c>
      <c r="AS152" s="24">
        <f>J152/AR152-1</f>
        <v/>
      </c>
      <c r="AT152" s="20" t="inlineStr">
        <is>
          <t>上傾擴張</t>
        </is>
      </c>
      <c r="AU152" s="30" t="n">
        <v>0.2225</v>
      </c>
      <c r="AV152" s="30" t="n">
        <v>0.1256</v>
      </c>
      <c r="AW152" s="30" t="n">
        <v>0.4538</v>
      </c>
      <c r="AX152" s="30" t="n">
        <v>0.4585</v>
      </c>
      <c r="AY152" s="29" t="n">
        <v>3</v>
      </c>
      <c r="AZ152" s="23" t="n">
        <v>98.5</v>
      </c>
      <c r="BA152" s="23" t="n">
        <v>77.05</v>
      </c>
      <c r="BB152" s="23" t="n">
        <v>86.7843</v>
      </c>
      <c r="BC152" s="30" t="n">
        <v>0.7099</v>
      </c>
      <c r="BD152" s="26">
        <f>IF(M152=N152,0.5,(J152-N152)/(M152-N152))</f>
        <v/>
      </c>
      <c r="BE152" s="31" t="n">
        <v>24.986</v>
      </c>
      <c r="BF152" s="31" t="n">
        <v>20.232</v>
      </c>
      <c r="BG152" s="32">
        <f>100*(0.4*MIN(1,MAX(0,((U152*100)-(0.0))/((2.5)-(0.0))))+0.3*MIN(1,MAX(0,((V152)-(0.6))/((1.0)-(0.6))))+0.3*MIN(1,MAX(0,((BE152)-(0.0))/((15.0)-(0.0)))))</f>
        <v/>
      </c>
      <c r="BH152" s="32">
        <f>100*(0.4*MIN(1,MAX(0,((MIN(ABS(AA152),ABS(AB152)))-(0.75))/((0.0)-(0.75))))+0.3*MIN(1,MAX(0,((BC152)-(1.2))/((0.6)-(1.2))))+0.3*BD152)</f>
        <v/>
      </c>
      <c r="BI152" s="32">
        <f>100*(0.5*MIN(1,MAX(0,((AK152)-(1.0))/((4.0)-(1.0))))+0.3*MIN(1,MAX(0,((IF(ISNUMBER(AO152),AO152,0)*100)-(0.0))/((8.0)-(0.0))))+0.2*MIN(1,MAX(0,((IF(ISNUMBER(AP152),AP152,0))-(25.0))/((5.0)-(25.0)))))</f>
        <v/>
      </c>
      <c r="BJ152" s="32">
        <f>100*(0.35*MIN(1,MAX(0,((ABS(AU152))-(0.3))/((0.05)-(0.3))))+0.3*MIN(1,MAX(0,((AV152)-(0.0))/((0.3)-(0.0))))+0.25*MIN(1,MAX(0,((AW152)-(0.4))/((0.7)-(0.4))))+0.1*IF(AY152&gt;=2,1,0.5))</f>
        <v/>
      </c>
      <c r="BK152" s="33">
        <f>0.25*BG152+0.25*BH152+0.2*BI152+0.3*BJ152</f>
        <v/>
      </c>
      <c r="BL152" s="20" t="inlineStr">
        <is>
          <t>C4 上升三角／重心偏上</t>
        </is>
      </c>
      <c r="BM152" s="20" t="inlineStr"/>
    </row>
    <row r="153">
      <c r="A153" s="20" t="n">
        <v>2</v>
      </c>
      <c r="B153" s="20" t="n">
        <v>52</v>
      </c>
      <c r="C153" s="21" t="inlineStr">
        <is>
          <t>ABSI</t>
        </is>
      </c>
      <c r="D153" s="20" t="inlineStr">
        <is>
          <t>Absci Corporation</t>
        </is>
      </c>
      <c r="E153" s="20" t="inlineStr">
        <is>
          <t>NASDAQ</t>
        </is>
      </c>
      <c r="F153" s="20" t="inlineStr">
        <is>
          <t>醫療保健</t>
        </is>
      </c>
      <c r="G153" s="20" t="inlineStr">
        <is>
          <t>Biotechnology: Commercial Physical &amp; Biological Resarch</t>
        </is>
      </c>
      <c r="H153" s="22" t="n">
        <v>1.848</v>
      </c>
      <c r="I153" s="20" t="inlineStr">
        <is>
          <t>小型</t>
        </is>
      </c>
      <c r="J153" s="23" t="n">
        <v>10.75</v>
      </c>
      <c r="K153" s="23" t="n">
        <v>10.77</v>
      </c>
      <c r="L153" s="24">
        <f>J153/K153-1</f>
        <v/>
      </c>
      <c r="M153" s="23" t="n">
        <v>11.27</v>
      </c>
      <c r="N153" s="23" t="n">
        <v>10.552</v>
      </c>
      <c r="O153" s="25" t="n">
        <v>4605100</v>
      </c>
      <c r="P153" s="25" t="n">
        <v>3988015</v>
      </c>
      <c r="Q153" s="26">
        <f>O153/P153</f>
        <v/>
      </c>
      <c r="R153" s="23" t="n">
        <v>10.083</v>
      </c>
      <c r="S153" s="23" t="n">
        <v>9.6006</v>
      </c>
      <c r="T153" s="23" t="n">
        <v>9.2096</v>
      </c>
      <c r="U153" s="24">
        <f>S153/T153-1</f>
        <v/>
      </c>
      <c r="V153" s="27" t="n">
        <v>1</v>
      </c>
      <c r="W153" s="24">
        <f>J153/R153-1</f>
        <v/>
      </c>
      <c r="X153" s="24">
        <f>J153/S153-1</f>
        <v/>
      </c>
      <c r="Y153" s="23" t="n">
        <v>0.7575</v>
      </c>
      <c r="Z153" s="28">
        <f>Y153/J153</f>
        <v/>
      </c>
      <c r="AA153" s="26">
        <f>(J153-R153)/Y153</f>
        <v/>
      </c>
      <c r="AB153" s="26">
        <f>(J153-S153)/Y153</f>
        <v/>
      </c>
      <c r="AC153" s="20">
        <f>IF(ABS(AA153)&lt;=ABS(AB153),"9EMA","21EMA")</f>
        <v/>
      </c>
      <c r="AD153" s="20" t="inlineStr">
        <is>
          <t>9EMA</t>
        </is>
      </c>
      <c r="AE153" s="20" t="inlineStr">
        <is>
          <t>持續在上方</t>
        </is>
      </c>
      <c r="AF153" s="20" t="inlineStr"/>
      <c r="AG153" s="20" t="inlineStr"/>
      <c r="AH153" s="20" t="inlineStr"/>
      <c r="AI153" s="20" t="inlineStr">
        <is>
          <t>2026-09-21</t>
        </is>
      </c>
      <c r="AJ153" s="20" t="n">
        <v>8</v>
      </c>
      <c r="AK153" s="29" t="n">
        <v>2</v>
      </c>
      <c r="AL153" s="20" t="inlineStr">
        <is>
          <t>2026-09-28</t>
        </is>
      </c>
      <c r="AM153" s="23" t="n">
        <v>9.25</v>
      </c>
      <c r="AN153" s="23" t="n">
        <v>7.79</v>
      </c>
      <c r="AO153" s="24">
        <f>IF(ISNUMBER(AN153),AM153/AN153-1,"")</f>
        <v/>
      </c>
      <c r="AP153" s="29" t="n">
        <v>3</v>
      </c>
      <c r="AQ153" s="24">
        <f>IF(ISNUMBER(AM153),J153/AM153-1,"")</f>
        <v/>
      </c>
      <c r="AR153" s="23" t="n">
        <v>10.77</v>
      </c>
      <c r="AS153" s="24">
        <f>J153/AR153-1</f>
        <v/>
      </c>
      <c r="AT153" s="20" t="inlineStr">
        <is>
          <t>上傾擴張</t>
        </is>
      </c>
      <c r="AU153" s="30" t="n">
        <v>0.7489</v>
      </c>
      <c r="AV153" s="30" t="n">
        <v>0.5082</v>
      </c>
      <c r="AW153" s="30" t="n">
        <v>0.4818</v>
      </c>
      <c r="AX153" s="30" t="n">
        <v>0.5395</v>
      </c>
      <c r="AY153" s="29" t="n">
        <v>2</v>
      </c>
      <c r="AZ153" s="23" t="n">
        <v>11.27</v>
      </c>
      <c r="BA153" s="23" t="n">
        <v>7.79</v>
      </c>
      <c r="BB153" s="23" t="n">
        <v>9.466699999999999</v>
      </c>
      <c r="BC153" s="30" t="n">
        <v>0.7197</v>
      </c>
      <c r="BD153" s="26">
        <f>IF(M153=N153,0.5,(J153-N153)/(M153-N153))</f>
        <v/>
      </c>
      <c r="BE153" s="31" t="n">
        <v>26.36</v>
      </c>
      <c r="BF153" s="31" t="n">
        <v>21.606</v>
      </c>
      <c r="BG153" s="32">
        <f>100*(0.4*MIN(1,MAX(0,((U153*100)-(0.0))/((2.5)-(0.0))))+0.3*MIN(1,MAX(0,((V153)-(0.6))/((1.0)-(0.6))))+0.3*MIN(1,MAX(0,((BE153)-(0.0))/((15.0)-(0.0)))))</f>
        <v/>
      </c>
      <c r="BH153" s="32">
        <f>100*(0.4*MIN(1,MAX(0,((MIN(ABS(AA153),ABS(AB153)))-(0.75))/((0.0)-(0.75))))+0.3*MIN(1,MAX(0,((BC153)-(1.2))/((0.6)-(1.2))))+0.3*BD153)</f>
        <v/>
      </c>
      <c r="BI153" s="32">
        <f>100*(0.5*MIN(1,MAX(0,((AK153)-(1.0))/((4.0)-(1.0))))+0.3*MIN(1,MAX(0,((IF(ISNUMBER(AO153),AO153,0)*100)-(0.0))/((8.0)-(0.0))))+0.2*MIN(1,MAX(0,((IF(ISNUMBER(AP153),AP153,0))-(25.0))/((5.0)-(25.0)))))</f>
        <v/>
      </c>
      <c r="BJ153" s="32">
        <f>100*(0.35*MIN(1,MAX(0,((ABS(AU153))-(0.3))/((0.05)-(0.3))))+0.3*MIN(1,MAX(0,((AV153)-(0.0))/((0.3)-(0.0))))+0.25*MIN(1,MAX(0,((AW153)-(0.4))/((0.7)-(0.4))))+0.1*IF(AY153&gt;=2,1,0.5))</f>
        <v/>
      </c>
      <c r="BK153" s="33">
        <f>0.25*BG153+0.25*BH153+0.2*BI153+0.3*BJ153</f>
        <v/>
      </c>
      <c r="BL153" s="20" t="inlineStr">
        <is>
          <t>C4 上升三角／重心偏上</t>
        </is>
      </c>
      <c r="BM153" s="20" t="inlineStr"/>
    </row>
    <row r="154">
      <c r="A154" s="20" t="n">
        <v>2</v>
      </c>
      <c r="B154" s="20" t="n">
        <v>53</v>
      </c>
      <c r="C154" s="21" t="inlineStr">
        <is>
          <t>TSSI</t>
        </is>
      </c>
      <c r="D154" s="20" t="inlineStr">
        <is>
          <t>TSS Inc.</t>
        </is>
      </c>
      <c r="E154" s="20" t="inlineStr">
        <is>
          <t>NASDAQ</t>
        </is>
      </c>
      <c r="F154" s="20" t="inlineStr">
        <is>
          <t>非必需消費</t>
        </is>
      </c>
      <c r="G154" s="20" t="inlineStr">
        <is>
          <t>Professional Services</t>
        </is>
      </c>
      <c r="H154" s="22" t="n">
        <v>0.275</v>
      </c>
      <c r="I154" s="20" t="inlineStr">
        <is>
          <t>小型</t>
        </is>
      </c>
      <c r="J154" s="23" t="n">
        <v>9.84</v>
      </c>
      <c r="K154" s="23" t="n">
        <v>9.73</v>
      </c>
      <c r="L154" s="24">
        <f>J154/K154-1</f>
        <v/>
      </c>
      <c r="M154" s="23" t="n">
        <v>10.01</v>
      </c>
      <c r="N154" s="23" t="n">
        <v>9.550000000000001</v>
      </c>
      <c r="O154" s="25" t="n">
        <v>693000</v>
      </c>
      <c r="P154" s="25" t="n">
        <v>977615</v>
      </c>
      <c r="Q154" s="26">
        <f>O154/P154</f>
        <v/>
      </c>
      <c r="R154" s="23" t="n">
        <v>9.561999999999999</v>
      </c>
      <c r="S154" s="23" t="n">
        <v>9.2613</v>
      </c>
      <c r="T154" s="23" t="n">
        <v>8.9353</v>
      </c>
      <c r="U154" s="24">
        <f>S154/T154-1</f>
        <v/>
      </c>
      <c r="V154" s="27" t="n">
        <v>0.9</v>
      </c>
      <c r="W154" s="24">
        <f>J154/R154-1</f>
        <v/>
      </c>
      <c r="X154" s="24">
        <f>J154/S154-1</f>
        <v/>
      </c>
      <c r="Y154" s="23" t="n">
        <v>0.5613</v>
      </c>
      <c r="Z154" s="28">
        <f>Y154/J154</f>
        <v/>
      </c>
      <c r="AA154" s="26">
        <f>(J154-R154)/Y154</f>
        <v/>
      </c>
      <c r="AB154" s="26">
        <f>(J154-S154)/Y154</f>
        <v/>
      </c>
      <c r="AC154" s="20">
        <f>IF(ABS(AA154)&lt;=ABS(AB154),"9EMA","21EMA")</f>
        <v/>
      </c>
      <c r="AD154" s="20" t="inlineStr">
        <is>
          <t>9EMA</t>
        </is>
      </c>
      <c r="AE154" s="19" t="inlineStr">
        <is>
          <t>剛黃金交叉</t>
        </is>
      </c>
      <c r="AF154" s="20" t="inlineStr">
        <is>
          <t>✓</t>
        </is>
      </c>
      <c r="AG154" s="20" t="inlineStr"/>
      <c r="AH154" s="20" t="inlineStr">
        <is>
          <t>✓</t>
        </is>
      </c>
      <c r="AI154" s="20" t="inlineStr">
        <is>
          <t>2026-09-24</t>
        </is>
      </c>
      <c r="AJ154" s="20" t="n">
        <v>5</v>
      </c>
      <c r="AK154" s="29" t="n">
        <v>2</v>
      </c>
      <c r="AL154" s="20" t="inlineStr">
        <is>
          <t>2026-09-16</t>
        </is>
      </c>
      <c r="AM154" s="23" t="n">
        <v>8.109999999999999</v>
      </c>
      <c r="AN154" s="23" t="n">
        <v>7.62</v>
      </c>
      <c r="AO154" s="24">
        <f>IF(ISNUMBER(AN154),AM154/AN154-1,"")</f>
        <v/>
      </c>
      <c r="AP154" s="29" t="n">
        <v>11</v>
      </c>
      <c r="AQ154" s="24">
        <f>IF(ISNUMBER(AM154),J154/AM154-1,"")</f>
        <v/>
      </c>
      <c r="AR154" s="23" t="n">
        <v>10.19</v>
      </c>
      <c r="AS154" s="24">
        <f>J154/AR154-1</f>
        <v/>
      </c>
      <c r="AT154" s="20" t="inlineStr">
        <is>
          <t>上傾擴張</t>
        </is>
      </c>
      <c r="AU154" s="30" t="n">
        <v>0.8357</v>
      </c>
      <c r="AV154" s="30" t="n">
        <v>0.498</v>
      </c>
      <c r="AW154" s="30" t="n">
        <v>0.4744</v>
      </c>
      <c r="AX154" s="30" t="n">
        <v>0.4942</v>
      </c>
      <c r="AY154" s="29" t="n">
        <v>1</v>
      </c>
      <c r="AZ154" s="23" t="n">
        <v>10.51</v>
      </c>
      <c r="BA154" s="23" t="n">
        <v>7.62</v>
      </c>
      <c r="BB154" s="23" t="n">
        <v>8.991199999999999</v>
      </c>
      <c r="BC154" s="30" t="n">
        <v>0.7397</v>
      </c>
      <c r="BD154" s="26">
        <f>IF(M154=N154,0.5,(J154-N154)/(M154-N154))</f>
        <v/>
      </c>
      <c r="BE154" s="31" t="n">
        <v>29.945</v>
      </c>
      <c r="BF154" s="31" t="n">
        <v>25.191</v>
      </c>
      <c r="BG154" s="32">
        <f>100*(0.4*MIN(1,MAX(0,((U154*100)-(0.0))/((2.5)-(0.0))))+0.3*MIN(1,MAX(0,((V154)-(0.6))/((1.0)-(0.6))))+0.3*MIN(1,MAX(0,((BE154)-(0.0))/((15.0)-(0.0)))))</f>
        <v/>
      </c>
      <c r="BH154" s="32">
        <f>100*(0.4*MIN(1,MAX(0,((MIN(ABS(AA154),ABS(AB154)))-(0.75))/((0.0)-(0.75))))+0.3*MIN(1,MAX(0,((BC154)-(1.2))/((0.6)-(1.2))))+0.3*BD154)</f>
        <v/>
      </c>
      <c r="BI154" s="32">
        <f>100*(0.5*MIN(1,MAX(0,((AK154)-(1.0))/((4.0)-(1.0))))+0.3*MIN(1,MAX(0,((IF(ISNUMBER(AO154),AO154,0)*100)-(0.0))/((8.0)-(0.0))))+0.2*MIN(1,MAX(0,((IF(ISNUMBER(AP154),AP154,0))-(25.0))/((5.0)-(25.0)))))</f>
        <v/>
      </c>
      <c r="BJ154" s="32">
        <f>100*(0.35*MIN(1,MAX(0,((ABS(AU154))-(0.3))/((0.05)-(0.3))))+0.3*MIN(1,MAX(0,((AV154)-(0.0))/((0.3)-(0.0))))+0.25*MIN(1,MAX(0,((AW154)-(0.4))/((0.7)-(0.4))))+0.1*IF(AY154&gt;=2,1,0.5))</f>
        <v/>
      </c>
      <c r="BK154" s="33">
        <f>0.25*BG154+0.25*BH154+0.2*BI154+0.3*BJ154</f>
        <v/>
      </c>
      <c r="BL154" s="20" t="inlineStr">
        <is>
          <t>C4 上升三角／重心偏上</t>
        </is>
      </c>
      <c r="BM154" s="20" t="inlineStr"/>
    </row>
    <row r="155">
      <c r="A155" s="20" t="n">
        <v>2</v>
      </c>
      <c r="B155" s="20" t="n">
        <v>54</v>
      </c>
      <c r="C155" s="21" t="inlineStr">
        <is>
          <t>TEM</t>
        </is>
      </c>
      <c r="D155" s="20" t="inlineStr">
        <is>
          <t>Tempus AI Inc.</t>
        </is>
      </c>
      <c r="E155" s="20" t="inlineStr">
        <is>
          <t>NASDAQ</t>
        </is>
      </c>
      <c r="F155" s="20" t="inlineStr">
        <is>
          <t>科技</t>
        </is>
      </c>
      <c r="G155" s="20" t="inlineStr">
        <is>
          <t>Computer Software: Programming Data Processing</t>
        </is>
      </c>
      <c r="H155" s="22" t="n">
        <v>14.869</v>
      </c>
      <c r="I155" s="20" t="inlineStr">
        <is>
          <t>大型</t>
        </is>
      </c>
      <c r="J155" s="23" t="n">
        <v>76.5</v>
      </c>
      <c r="K155" s="23" t="n">
        <v>81.90000000000001</v>
      </c>
      <c r="L155" s="24">
        <f>J155/K155-1</f>
        <v/>
      </c>
      <c r="M155" s="23" t="n">
        <v>82.81</v>
      </c>
      <c r="N155" s="23" t="n">
        <v>75.92</v>
      </c>
      <c r="O155" s="25" t="n">
        <v>7163000</v>
      </c>
      <c r="P155" s="25" t="n">
        <v>6891135</v>
      </c>
      <c r="Q155" s="26">
        <f>O155/P155</f>
        <v/>
      </c>
      <c r="R155" s="23" t="n">
        <v>79.2782</v>
      </c>
      <c r="S155" s="23" t="n">
        <v>74.2163</v>
      </c>
      <c r="T155" s="23" t="n">
        <v>69.5728</v>
      </c>
      <c r="U155" s="24">
        <f>S155/T155-1</f>
        <v/>
      </c>
      <c r="V155" s="27" t="n">
        <v>1</v>
      </c>
      <c r="W155" s="24">
        <f>J155/R155-1</f>
        <v/>
      </c>
      <c r="X155" s="24">
        <f>J155/S155-1</f>
        <v/>
      </c>
      <c r="Y155" s="23" t="n">
        <v>5.0428</v>
      </c>
      <c r="Z155" s="28">
        <f>Y155/J155</f>
        <v/>
      </c>
      <c r="AA155" s="26">
        <f>(J155-R155)/Y155</f>
        <v/>
      </c>
      <c r="AB155" s="26">
        <f>(J155-S155)/Y155</f>
        <v/>
      </c>
      <c r="AC155" s="20">
        <f>IF(ABS(AA155)&lt;=ABS(AB155),"9EMA","21EMA")</f>
        <v/>
      </c>
      <c r="AD155" s="20" t="inlineStr">
        <is>
          <t>9EMA</t>
        </is>
      </c>
      <c r="AE155" s="20" t="inlineStr">
        <is>
          <t>持續在上方</t>
        </is>
      </c>
      <c r="AF155" s="20" t="inlineStr"/>
      <c r="AG155" s="20" t="inlineStr"/>
      <c r="AH155" s="20" t="inlineStr"/>
      <c r="AI155" s="20" t="inlineStr">
        <is>
          <t>2026-08-11</t>
        </is>
      </c>
      <c r="AJ155" s="20" t="n">
        <v>36</v>
      </c>
      <c r="AK155" s="29" t="n">
        <v>2</v>
      </c>
      <c r="AL155" s="20" t="inlineStr">
        <is>
          <t>2026-09-24</t>
        </is>
      </c>
      <c r="AM155" s="23" t="n">
        <v>74.81</v>
      </c>
      <c r="AN155" s="23" t="n">
        <v>57.72</v>
      </c>
      <c r="AO155" s="24">
        <f>IF(ISNUMBER(AN155),AM155/AN155-1,"")</f>
        <v/>
      </c>
      <c r="AP155" s="29" t="n">
        <v>5</v>
      </c>
      <c r="AQ155" s="24">
        <f>IF(ISNUMBER(AM155),J155/AM155-1,"")</f>
        <v/>
      </c>
      <c r="AR155" s="23" t="n">
        <v>85.08</v>
      </c>
      <c r="AS155" s="24">
        <f>J155/AR155-1</f>
        <v/>
      </c>
      <c r="AT155" s="20" t="inlineStr">
        <is>
          <t>上升通道</t>
        </is>
      </c>
      <c r="AU155" s="30" t="n">
        <v>1.3249</v>
      </c>
      <c r="AV155" s="30" t="n">
        <v>1.3211</v>
      </c>
      <c r="AW155" s="30" t="n">
        <v>0.4703</v>
      </c>
      <c r="AX155" s="30" t="n">
        <v>0.5213</v>
      </c>
      <c r="AY155" s="29" t="n">
        <v>1</v>
      </c>
      <c r="AZ155" s="23" t="n">
        <v>89.09</v>
      </c>
      <c r="BA155" s="23" t="n">
        <v>57.72</v>
      </c>
      <c r="BB155" s="23" t="n">
        <v>72.47190000000001</v>
      </c>
      <c r="BC155" s="30" t="n">
        <v>0.8274</v>
      </c>
      <c r="BD155" s="26">
        <f>IF(M155=N155,0.5,(J155-N155)/(M155-N155))</f>
        <v/>
      </c>
      <c r="BE155" s="31" t="n">
        <v>27.606</v>
      </c>
      <c r="BF155" s="31" t="n">
        <v>22.852</v>
      </c>
      <c r="BG155" s="32">
        <f>100*(0.4*MIN(1,MAX(0,((U155*100)-(0.0))/((2.5)-(0.0))))+0.3*MIN(1,MAX(0,((V155)-(0.6))/((1.0)-(0.6))))+0.3*MIN(1,MAX(0,((BE155)-(0.0))/((15.0)-(0.0)))))</f>
        <v/>
      </c>
      <c r="BH155" s="32">
        <f>100*(0.4*MIN(1,MAX(0,((MIN(ABS(AA155),ABS(AB155)))-(0.75))/((0.0)-(0.75))))+0.3*MIN(1,MAX(0,((BC155)-(1.2))/((0.6)-(1.2))))+0.3*BD155)</f>
        <v/>
      </c>
      <c r="BI155" s="32">
        <f>100*(0.5*MIN(1,MAX(0,((AK155)-(1.0))/((4.0)-(1.0))))+0.3*MIN(1,MAX(0,((IF(ISNUMBER(AO155),AO155,0)*100)-(0.0))/((8.0)-(0.0))))+0.2*MIN(1,MAX(0,((IF(ISNUMBER(AP155),AP155,0))-(25.0))/((5.0)-(25.0)))))</f>
        <v/>
      </c>
      <c r="BJ155" s="32">
        <f>100*(0.35*MIN(1,MAX(0,((ABS(AU155))-(0.3))/((0.05)-(0.3))))+0.3*MIN(1,MAX(0,((AV155)-(0.0))/((0.3)-(0.0))))+0.25*MIN(1,MAX(0,((AW155)-(0.4))/((0.7)-(0.4))))+0.1*IF(AY155&gt;=2,1,0.5))</f>
        <v/>
      </c>
      <c r="BK155" s="33">
        <f>0.25*BG155+0.25*BH155+0.2*BI155+0.3*BJ155</f>
        <v/>
      </c>
      <c r="BL155" s="20" t="inlineStr">
        <is>
          <t>C4 上升三角／重心偏上</t>
        </is>
      </c>
      <c r="BM155" s="20" t="inlineStr"/>
    </row>
    <row r="156">
      <c r="A156" s="20" t="n">
        <v>2</v>
      </c>
      <c r="B156" s="20" t="n">
        <v>55</v>
      </c>
      <c r="C156" s="21" t="inlineStr">
        <is>
          <t>ATII</t>
        </is>
      </c>
      <c r="D156" s="20" t="inlineStr">
        <is>
          <t>Archimedes Tech SPAC Partners II Co.</t>
        </is>
      </c>
      <c r="E156" s="20" t="inlineStr">
        <is>
          <t>NASDAQ</t>
        </is>
      </c>
      <c r="F156" s="20" t="inlineStr">
        <is>
          <t>—</t>
        </is>
      </c>
      <c r="G156" s="20" t="inlineStr">
        <is>
          <t>—</t>
        </is>
      </c>
      <c r="H156" s="22" t="n"/>
      <c r="I156" s="20" t="inlineStr">
        <is>
          <t>未分類</t>
        </is>
      </c>
      <c r="J156" s="23" t="n">
        <v>10.69</v>
      </c>
      <c r="K156" s="23" t="n">
        <v>10.68</v>
      </c>
      <c r="L156" s="24">
        <f>J156/K156-1</f>
        <v/>
      </c>
      <c r="M156" s="23" t="n">
        <v>10.695</v>
      </c>
      <c r="N156" s="23" t="n">
        <v>10.68</v>
      </c>
      <c r="O156" s="25" t="n">
        <v>28300</v>
      </c>
      <c r="P156" s="25" t="n">
        <v>390770</v>
      </c>
      <c r="Q156" s="26">
        <f>O156/P156</f>
        <v/>
      </c>
      <c r="R156" s="23" t="n">
        <v>10.6833</v>
      </c>
      <c r="S156" s="23" t="n">
        <v>10.6762</v>
      </c>
      <c r="T156" s="23" t="n">
        <v>10.6696</v>
      </c>
      <c r="U156" s="24">
        <f>S156/T156-1</f>
        <v/>
      </c>
      <c r="V156" s="27" t="n">
        <v>1</v>
      </c>
      <c r="W156" s="24">
        <f>J156/R156-1</f>
        <v/>
      </c>
      <c r="X156" s="24">
        <f>J156/S156-1</f>
        <v/>
      </c>
      <c r="Y156" s="23" t="n">
        <v>0.0324</v>
      </c>
      <c r="Z156" s="28">
        <f>Y156/J156</f>
        <v/>
      </c>
      <c r="AA156" s="26">
        <f>(J156-R156)/Y156</f>
        <v/>
      </c>
      <c r="AB156" s="26">
        <f>(J156-S156)/Y156</f>
        <v/>
      </c>
      <c r="AC156" s="20">
        <f>IF(ABS(AA156)&lt;=ABS(AB156),"9EMA","21EMA")</f>
        <v/>
      </c>
      <c r="AD156" s="20" t="inlineStr">
        <is>
          <t>9+21EMA</t>
        </is>
      </c>
      <c r="AE156" s="20" t="inlineStr">
        <is>
          <t>持續在上方</t>
        </is>
      </c>
      <c r="AF156" s="20" t="inlineStr"/>
      <c r="AG156" s="20" t="inlineStr"/>
      <c r="AH156" s="20" t="inlineStr">
        <is>
          <t>✓</t>
        </is>
      </c>
      <c r="AI156" s="20" t="inlineStr">
        <is>
          <t>2026-09-21</t>
        </is>
      </c>
      <c r="AJ156" s="20" t="n">
        <v>8</v>
      </c>
      <c r="AK156" s="29" t="n">
        <v>5</v>
      </c>
      <c r="AL156" s="20" t="inlineStr">
        <is>
          <t>2026-09-28</t>
        </is>
      </c>
      <c r="AM156" s="23" t="n">
        <v>10.67</v>
      </c>
      <c r="AN156" s="23" t="n">
        <v>10.64</v>
      </c>
      <c r="AO156" s="24">
        <f>IF(ISNUMBER(AN156),AM156/AN156-1,"")</f>
        <v/>
      </c>
      <c r="AP156" s="29" t="n">
        <v>3</v>
      </c>
      <c r="AQ156" s="24">
        <f>IF(ISNUMBER(AM156),J156/AM156-1,"")</f>
        <v/>
      </c>
      <c r="AR156" s="23" t="n">
        <v>10.7</v>
      </c>
      <c r="AS156" s="24">
        <f>J156/AR156-1</f>
        <v/>
      </c>
      <c r="AT156" s="20" t="inlineStr">
        <is>
          <t>上升三角（平頂）</t>
        </is>
      </c>
      <c r="AU156" s="30" t="n">
        <v>-0.0041</v>
      </c>
      <c r="AV156" s="30" t="n">
        <v>0.0181</v>
      </c>
      <c r="AW156" s="30" t="n">
        <v>0.4506</v>
      </c>
      <c r="AX156" s="30" t="n">
        <v>0.6026</v>
      </c>
      <c r="AY156" s="29" t="n">
        <v>25</v>
      </c>
      <c r="AZ156" s="23" t="n">
        <v>10.73</v>
      </c>
      <c r="BA156" s="23" t="n">
        <v>10.632</v>
      </c>
      <c r="BB156" s="23" t="n">
        <v>10.6762</v>
      </c>
      <c r="BC156" s="30" t="n">
        <v>0.5057</v>
      </c>
      <c r="BD156" s="26">
        <f>IF(M156=N156,0.5,(J156-N156)/(M156-N156))</f>
        <v/>
      </c>
      <c r="BE156" s="31" t="n">
        <v>5.13</v>
      </c>
      <c r="BF156" s="31" t="n">
        <v>0.376</v>
      </c>
      <c r="BG156" s="32">
        <f>100*(0.4*MIN(1,MAX(0,((U156*100)-(0.0))/((2.5)-(0.0))))+0.3*MIN(1,MAX(0,((V156)-(0.6))/((1.0)-(0.6))))+0.3*MIN(1,MAX(0,((BE156)-(0.0))/((15.0)-(0.0)))))</f>
        <v/>
      </c>
      <c r="BH156" s="32">
        <f>100*(0.4*MIN(1,MAX(0,((MIN(ABS(AA156),ABS(AB156)))-(0.75))/((0.0)-(0.75))))+0.3*MIN(1,MAX(0,((BC156)-(1.2))/((0.6)-(1.2))))+0.3*BD156)</f>
        <v/>
      </c>
      <c r="BI156" s="32">
        <f>100*(0.5*MIN(1,MAX(0,((AK156)-(1.0))/((4.0)-(1.0))))+0.3*MIN(1,MAX(0,((IF(ISNUMBER(AO156),AO156,0)*100)-(0.0))/((8.0)-(0.0))))+0.2*MIN(1,MAX(0,((IF(ISNUMBER(AP156),AP156,0))-(25.0))/((5.0)-(25.0)))))</f>
        <v/>
      </c>
      <c r="BJ156" s="32">
        <f>100*(0.35*MIN(1,MAX(0,((ABS(AU156))-(0.3))/((0.05)-(0.3))))+0.3*MIN(1,MAX(0,((AV156)-(0.0))/((0.3)-(0.0))))+0.25*MIN(1,MAX(0,((AW156)-(0.4))/((0.7)-(0.4))))+0.1*IF(AY156&gt;=2,1,0.5))</f>
        <v/>
      </c>
      <c r="BK156" s="33">
        <f>0.25*BG156+0.25*BH156+0.2*BI156+0.3*BJ156</f>
        <v/>
      </c>
      <c r="BL156" s="20" t="inlineStr">
        <is>
          <t>C4 上升三角／重心偏上</t>
        </is>
      </c>
      <c r="BM156" s="20" t="inlineStr"/>
    </row>
    <row r="157">
      <c r="A157" s="20" t="n">
        <v>2</v>
      </c>
      <c r="B157" s="20" t="n">
        <v>56</v>
      </c>
      <c r="C157" s="21" t="inlineStr">
        <is>
          <t>RXT</t>
        </is>
      </c>
      <c r="D157" s="20" t="inlineStr">
        <is>
          <t>Rackspace Technology Inc.</t>
        </is>
      </c>
      <c r="E157" s="20" t="inlineStr">
        <is>
          <t>NASDAQ</t>
        </is>
      </c>
      <c r="F157" s="20" t="inlineStr">
        <is>
          <t>科技</t>
        </is>
      </c>
      <c r="G157" s="20" t="inlineStr">
        <is>
          <t>Computer Software: Programming Data Processing</t>
        </is>
      </c>
      <c r="H157" s="22" t="n">
        <v>0.949</v>
      </c>
      <c r="I157" s="20" t="inlineStr">
        <is>
          <t>小型</t>
        </is>
      </c>
      <c r="J157" s="23" t="n">
        <v>3.86</v>
      </c>
      <c r="K157" s="23" t="n">
        <v>3.725</v>
      </c>
      <c r="L157" s="24">
        <f>J157/K157-1</f>
        <v/>
      </c>
      <c r="M157" s="23" t="n">
        <v>3.92</v>
      </c>
      <c r="N157" s="23" t="n">
        <v>3.7</v>
      </c>
      <c r="O157" s="25" t="n">
        <v>3182900</v>
      </c>
      <c r="P157" s="25" t="n">
        <v>6981665</v>
      </c>
      <c r="Q157" s="26">
        <f>O157/P157</f>
        <v/>
      </c>
      <c r="R157" s="23" t="n">
        <v>3.8538</v>
      </c>
      <c r="S157" s="23" t="n">
        <v>3.7608</v>
      </c>
      <c r="T157" s="23" t="n">
        <v>3.7052</v>
      </c>
      <c r="U157" s="24">
        <f>S157/T157-1</f>
        <v/>
      </c>
      <c r="V157" s="27" t="n">
        <v>0.9</v>
      </c>
      <c r="W157" s="24">
        <f>J157/R157-1</f>
        <v/>
      </c>
      <c r="X157" s="24">
        <f>J157/S157-1</f>
        <v/>
      </c>
      <c r="Y157" s="23" t="n">
        <v>0.3076</v>
      </c>
      <c r="Z157" s="28">
        <f>Y157/J157</f>
        <v/>
      </c>
      <c r="AA157" s="26">
        <f>(J157-R157)/Y157</f>
        <v/>
      </c>
      <c r="AB157" s="26">
        <f>(J157-S157)/Y157</f>
        <v/>
      </c>
      <c r="AC157" s="20">
        <f>IF(ABS(AA157)&lt;=ABS(AB157),"9EMA","21EMA")</f>
        <v/>
      </c>
      <c r="AD157" s="20" t="inlineStr">
        <is>
          <t>9+21EMA</t>
        </is>
      </c>
      <c r="AE157" s="20" t="inlineStr">
        <is>
          <t>持續在上方</t>
        </is>
      </c>
      <c r="AF157" s="20" t="inlineStr"/>
      <c r="AG157" s="20" t="inlineStr"/>
      <c r="AH157" s="20" t="inlineStr">
        <is>
          <t>✓</t>
        </is>
      </c>
      <c r="AI157" s="20" t="inlineStr">
        <is>
          <t>2026-09-21</t>
        </is>
      </c>
      <c r="AJ157" s="20" t="n">
        <v>8</v>
      </c>
      <c r="AK157" s="29" t="n">
        <v>2</v>
      </c>
      <c r="AL157" s="20" t="inlineStr">
        <is>
          <t>2026-09-10</t>
        </is>
      </c>
      <c r="AM157" s="23" t="n">
        <v>3.07</v>
      </c>
      <c r="AN157" s="23" t="n">
        <v>2.88</v>
      </c>
      <c r="AO157" s="24">
        <f>IF(ISNUMBER(AN157),AM157/AN157-1,"")</f>
        <v/>
      </c>
      <c r="AP157" s="29" t="n">
        <v>15</v>
      </c>
      <c r="AQ157" s="24">
        <f>IF(ISNUMBER(AM157),J157/AM157-1,"")</f>
        <v/>
      </c>
      <c r="AR157" s="23" t="n">
        <v>4.2</v>
      </c>
      <c r="AS157" s="24">
        <f>J157/AR157-1</f>
        <v/>
      </c>
      <c r="AT157" s="20" t="inlineStr">
        <is>
          <t>上傾擴張</t>
        </is>
      </c>
      <c r="AU157" s="30" t="n">
        <v>1.2866</v>
      </c>
      <c r="AV157" s="30" t="n">
        <v>0.9845</v>
      </c>
      <c r="AW157" s="30" t="n">
        <v>0.4591</v>
      </c>
      <c r="AX157" s="30" t="n">
        <v>0.4394</v>
      </c>
      <c r="AY157" s="29" t="n">
        <v>2</v>
      </c>
      <c r="AZ157" s="23" t="n">
        <v>4.29</v>
      </c>
      <c r="BA157" s="23" t="n">
        <v>2.88</v>
      </c>
      <c r="BB157" s="23" t="n">
        <v>3.5273</v>
      </c>
      <c r="BC157" s="30" t="n">
        <v>1.1354</v>
      </c>
      <c r="BD157" s="26">
        <f>IF(M157=N157,0.5,(J157-N157)/(M157-N157))</f>
        <v/>
      </c>
      <c r="BE157" s="31" t="n">
        <v>33.421</v>
      </c>
      <c r="BF157" s="31" t="n">
        <v>28.667</v>
      </c>
      <c r="BG157" s="32">
        <f>100*(0.4*MIN(1,MAX(0,((U157*100)-(0.0))/((2.5)-(0.0))))+0.3*MIN(1,MAX(0,((V157)-(0.6))/((1.0)-(0.6))))+0.3*MIN(1,MAX(0,((BE157)-(0.0))/((15.0)-(0.0)))))</f>
        <v/>
      </c>
      <c r="BH157" s="32">
        <f>100*(0.4*MIN(1,MAX(0,((MIN(ABS(AA157),ABS(AB157)))-(0.75))/((0.0)-(0.75))))+0.3*MIN(1,MAX(0,((BC157)-(1.2))/((0.6)-(1.2))))+0.3*BD157)</f>
        <v/>
      </c>
      <c r="BI157" s="32">
        <f>100*(0.5*MIN(1,MAX(0,((AK157)-(1.0))/((4.0)-(1.0))))+0.3*MIN(1,MAX(0,((IF(ISNUMBER(AO157),AO157,0)*100)-(0.0))/((8.0)-(0.0))))+0.2*MIN(1,MAX(0,((IF(ISNUMBER(AP157),AP157,0))-(25.0))/((5.0)-(25.0)))))</f>
        <v/>
      </c>
      <c r="BJ157" s="32">
        <f>100*(0.35*MIN(1,MAX(0,((ABS(AU157))-(0.3))/((0.05)-(0.3))))+0.3*MIN(1,MAX(0,((AV157)-(0.0))/((0.3)-(0.0))))+0.25*MIN(1,MAX(0,((AW157)-(0.4))/((0.7)-(0.4))))+0.1*IF(AY157&gt;=2,1,0.5))</f>
        <v/>
      </c>
      <c r="BK157" s="33">
        <f>0.25*BG157+0.25*BH157+0.2*BI157+0.3*BJ157</f>
        <v/>
      </c>
      <c r="BL157" s="20" t="inlineStr">
        <is>
          <t>C4 上升三角／重心偏上</t>
        </is>
      </c>
      <c r="BM157" s="20" t="inlineStr"/>
    </row>
    <row r="158">
      <c r="A158" s="20" t="n">
        <v>2</v>
      </c>
      <c r="B158" s="20" t="n">
        <v>57</v>
      </c>
      <c r="C158" s="21" t="inlineStr">
        <is>
          <t>VIA</t>
        </is>
      </c>
      <c r="D158" s="20" t="inlineStr">
        <is>
          <t>Via Transportation Inc.</t>
        </is>
      </c>
      <c r="E158" s="20" t="inlineStr">
        <is>
          <t>NYSE</t>
        </is>
      </c>
      <c r="F158" s="20" t="inlineStr">
        <is>
          <t>科技</t>
        </is>
      </c>
      <c r="G158" s="20" t="inlineStr">
        <is>
          <t>Computer Software: Prepackaged Software</t>
        </is>
      </c>
      <c r="H158" s="22" t="n">
        <v>2.466</v>
      </c>
      <c r="I158" s="20" t="inlineStr">
        <is>
          <t>中型</t>
        </is>
      </c>
      <c r="J158" s="23" t="n">
        <v>30.22</v>
      </c>
      <c r="K158" s="23" t="n">
        <v>30.25</v>
      </c>
      <c r="L158" s="24">
        <f>J158/K158-1</f>
        <v/>
      </c>
      <c r="M158" s="23" t="n">
        <v>31</v>
      </c>
      <c r="N158" s="23" t="n">
        <v>29.98</v>
      </c>
      <c r="O158" s="25" t="n">
        <v>644600</v>
      </c>
      <c r="P158" s="25" t="n">
        <v>929955</v>
      </c>
      <c r="Q158" s="26">
        <f>O158/P158</f>
        <v/>
      </c>
      <c r="R158" s="23" t="n">
        <v>29.2709</v>
      </c>
      <c r="S158" s="23" t="n">
        <v>28.1975</v>
      </c>
      <c r="T158" s="23" t="n">
        <v>27.2803</v>
      </c>
      <c r="U158" s="24">
        <f>S158/T158-1</f>
        <v/>
      </c>
      <c r="V158" s="27" t="n">
        <v>1</v>
      </c>
      <c r="W158" s="24">
        <f>J158/R158-1</f>
        <v/>
      </c>
      <c r="X158" s="24">
        <f>J158/S158-1</f>
        <v/>
      </c>
      <c r="Y158" s="23" t="n">
        <v>1.3279</v>
      </c>
      <c r="Z158" s="28">
        <f>Y158/J158</f>
        <v/>
      </c>
      <c r="AA158" s="26">
        <f>(J158-R158)/Y158</f>
        <v/>
      </c>
      <c r="AB158" s="26">
        <f>(J158-S158)/Y158</f>
        <v/>
      </c>
      <c r="AC158" s="20">
        <f>IF(ABS(AA158)&lt;=ABS(AB158),"9EMA","21EMA")</f>
        <v/>
      </c>
      <c r="AD158" s="20" t="inlineStr">
        <is>
          <t>9EMA</t>
        </is>
      </c>
      <c r="AE158" s="20" t="inlineStr">
        <is>
          <t>持續在上方</t>
        </is>
      </c>
      <c r="AF158" s="20" t="inlineStr"/>
      <c r="AG158" s="20" t="inlineStr"/>
      <c r="AH158" s="20" t="inlineStr"/>
      <c r="AI158" s="20" t="inlineStr">
        <is>
          <t>2026-06-25</t>
        </is>
      </c>
      <c r="AJ158" s="20" t="n">
        <v>68</v>
      </c>
      <c r="AK158" s="29" t="n">
        <v>3</v>
      </c>
      <c r="AL158" s="20" t="inlineStr">
        <is>
          <t>2026-09-16</t>
        </is>
      </c>
      <c r="AM158" s="23" t="n">
        <v>25.32</v>
      </c>
      <c r="AN158" s="23" t="n">
        <v>24.885</v>
      </c>
      <c r="AO158" s="24">
        <f>IF(ISNUMBER(AN158),AM158/AN158-1,"")</f>
        <v/>
      </c>
      <c r="AP158" s="29" t="n">
        <v>11</v>
      </c>
      <c r="AQ158" s="24">
        <f>IF(ISNUMBER(AM158),J158/AM158-1,"")</f>
        <v/>
      </c>
      <c r="AR158" s="23" t="n">
        <v>30.25</v>
      </c>
      <c r="AS158" s="24">
        <f>J158/AR158-1</f>
        <v/>
      </c>
      <c r="AT158" s="20" t="inlineStr">
        <is>
          <t>上升通道</t>
        </is>
      </c>
      <c r="AU158" s="30" t="n">
        <v>0.3237</v>
      </c>
      <c r="AV158" s="30" t="n">
        <v>0.2797</v>
      </c>
      <c r="AW158" s="30" t="n">
        <v>0.486</v>
      </c>
      <c r="AX158" s="30" t="n">
        <v>0.5168</v>
      </c>
      <c r="AY158" s="29" t="n">
        <v>4</v>
      </c>
      <c r="AZ158" s="23" t="n">
        <v>31</v>
      </c>
      <c r="BA158" s="23" t="n">
        <v>25.32</v>
      </c>
      <c r="BB158" s="23" t="n">
        <v>28.0803</v>
      </c>
      <c r="BC158" s="30" t="n">
        <v>0.4457</v>
      </c>
      <c r="BD158" s="26">
        <f>IF(M158=N158,0.5,(J158-N158)/(M158-N158))</f>
        <v/>
      </c>
      <c r="BE158" s="31" t="n">
        <v>14.645</v>
      </c>
      <c r="BF158" s="31" t="n">
        <v>9.891</v>
      </c>
      <c r="BG158" s="32">
        <f>100*(0.4*MIN(1,MAX(0,((U158*100)-(0.0))/((2.5)-(0.0))))+0.3*MIN(1,MAX(0,((V158)-(0.6))/((1.0)-(0.6))))+0.3*MIN(1,MAX(0,((BE158)-(0.0))/((15.0)-(0.0)))))</f>
        <v/>
      </c>
      <c r="BH158" s="32">
        <f>100*(0.4*MIN(1,MAX(0,((MIN(ABS(AA158),ABS(AB158)))-(0.75))/((0.0)-(0.75))))+0.3*MIN(1,MAX(0,((BC158)-(1.2))/((0.6)-(1.2))))+0.3*BD158)</f>
        <v/>
      </c>
      <c r="BI158" s="32">
        <f>100*(0.5*MIN(1,MAX(0,((AK158)-(1.0))/((4.0)-(1.0))))+0.3*MIN(1,MAX(0,((IF(ISNUMBER(AO158),AO158,0)*100)-(0.0))/((8.0)-(0.0))))+0.2*MIN(1,MAX(0,((IF(ISNUMBER(AP158),AP158,0))-(25.0))/((5.0)-(25.0)))))</f>
        <v/>
      </c>
      <c r="BJ158" s="32">
        <f>100*(0.35*MIN(1,MAX(0,((ABS(AU158))-(0.3))/((0.05)-(0.3))))+0.3*MIN(1,MAX(0,((AV158)-(0.0))/((0.3)-(0.0))))+0.25*MIN(1,MAX(0,((AW158)-(0.4))/((0.7)-(0.4))))+0.1*IF(AY158&gt;=2,1,0.5))</f>
        <v/>
      </c>
      <c r="BK158" s="33">
        <f>0.25*BG158+0.25*BH158+0.2*BI158+0.3*BJ158</f>
        <v/>
      </c>
      <c r="BL158" s="20" t="inlineStr">
        <is>
          <t>C4 上升三角／重心偏上</t>
        </is>
      </c>
      <c r="BM158" s="20" t="inlineStr"/>
    </row>
    <row r="159">
      <c r="A159" s="20" t="n">
        <v>2</v>
      </c>
      <c r="B159" s="20" t="n">
        <v>58</v>
      </c>
      <c r="C159" s="21" t="inlineStr">
        <is>
          <t>GEMI</t>
        </is>
      </c>
      <c r="D159" s="20" t="inlineStr">
        <is>
          <t>Gemini Space Station Inc.</t>
        </is>
      </c>
      <c r="E159" s="20" t="inlineStr">
        <is>
          <t>NASDAQ</t>
        </is>
      </c>
      <c r="F159" s="20" t="inlineStr">
        <is>
          <t>金融</t>
        </is>
      </c>
      <c r="G159" s="20" t="inlineStr">
        <is>
          <t>Finance: Consumer Services</t>
        </is>
      </c>
      <c r="H159" s="22" t="n">
        <v>0.669</v>
      </c>
      <c r="I159" s="20" t="inlineStr">
        <is>
          <t>小型</t>
        </is>
      </c>
      <c r="J159" s="23" t="n">
        <v>5.07</v>
      </c>
      <c r="K159" s="23" t="n">
        <v>5.16</v>
      </c>
      <c r="L159" s="24">
        <f>J159/K159-1</f>
        <v/>
      </c>
      <c r="M159" s="23" t="n">
        <v>5.24</v>
      </c>
      <c r="N159" s="23" t="n">
        <v>5.03</v>
      </c>
      <c r="O159" s="25" t="n">
        <v>1465300</v>
      </c>
      <c r="P159" s="25" t="n">
        <v>2932995</v>
      </c>
      <c r="Q159" s="26">
        <f>O159/P159</f>
        <v/>
      </c>
      <c r="R159" s="23" t="n">
        <v>5.2515</v>
      </c>
      <c r="S159" s="23" t="n">
        <v>5.0444</v>
      </c>
      <c r="T159" s="23" t="n">
        <v>4.9288</v>
      </c>
      <c r="U159" s="24">
        <f>S159/T159-1</f>
        <v/>
      </c>
      <c r="V159" s="27" t="n">
        <v>1</v>
      </c>
      <c r="W159" s="24">
        <f>J159/R159-1</f>
        <v/>
      </c>
      <c r="X159" s="24">
        <f>J159/S159-1</f>
        <v/>
      </c>
      <c r="Y159" s="23" t="n">
        <v>0.4239</v>
      </c>
      <c r="Z159" s="28">
        <f>Y159/J159</f>
        <v/>
      </c>
      <c r="AA159" s="26">
        <f>(J159-R159)/Y159</f>
        <v/>
      </c>
      <c r="AB159" s="26">
        <f>(J159-S159)/Y159</f>
        <v/>
      </c>
      <c r="AC159" s="20">
        <f>IF(ABS(AA159)&lt;=ABS(AB159),"9EMA","21EMA")</f>
        <v/>
      </c>
      <c r="AD159" s="20" t="inlineStr">
        <is>
          <t>9+21EMA</t>
        </is>
      </c>
      <c r="AE159" s="20" t="inlineStr">
        <is>
          <t>持續在上方</t>
        </is>
      </c>
      <c r="AF159" s="20" t="inlineStr"/>
      <c r="AG159" s="20" t="inlineStr">
        <is>
          <t>✓</t>
        </is>
      </c>
      <c r="AH159" s="20" t="inlineStr"/>
      <c r="AI159" s="20" t="inlineStr">
        <is>
          <t>2026-08-25</t>
        </is>
      </c>
      <c r="AJ159" s="20" t="n">
        <v>26</v>
      </c>
      <c r="AK159" s="29" t="n">
        <v>3</v>
      </c>
      <c r="AL159" s="20" t="inlineStr">
        <is>
          <t>2026-09-16</t>
        </is>
      </c>
      <c r="AM159" s="23" t="n">
        <v>4.08</v>
      </c>
      <c r="AN159" s="23" t="n">
        <v>4.07</v>
      </c>
      <c r="AO159" s="24">
        <f>IF(ISNUMBER(AN159),AM159/AN159-1,"")</f>
        <v/>
      </c>
      <c r="AP159" s="29" t="n">
        <v>11</v>
      </c>
      <c r="AQ159" s="24">
        <f>IF(ISNUMBER(AM159),J159/AM159-1,"")</f>
        <v/>
      </c>
      <c r="AR159" s="23" t="n">
        <v>5.99</v>
      </c>
      <c r="AS159" s="24">
        <f>J159/AR159-1</f>
        <v/>
      </c>
      <c r="AT159" s="20" t="inlineStr">
        <is>
          <t>上傾擴張</t>
        </is>
      </c>
      <c r="AU159" s="30" t="n">
        <v>1.4855</v>
      </c>
      <c r="AV159" s="30" t="n">
        <v>0.0219</v>
      </c>
      <c r="AW159" s="30" t="n">
        <v>0.5151</v>
      </c>
      <c r="AX159" s="30" t="n">
        <v>0.5503</v>
      </c>
      <c r="AY159" s="29" t="n">
        <v>2</v>
      </c>
      <c r="AZ159" s="23" t="n">
        <v>6.2</v>
      </c>
      <c r="BA159" s="23" t="n">
        <v>4.07</v>
      </c>
      <c r="BB159" s="23" t="n">
        <v>5.1671</v>
      </c>
      <c r="BC159" s="30" t="n">
        <v>0.4148</v>
      </c>
      <c r="BD159" s="26">
        <f>IF(M159=N159,0.5,(J159-N159)/(M159-N159))</f>
        <v/>
      </c>
      <c r="BE159" s="31" t="n">
        <v>26.629</v>
      </c>
      <c r="BF159" s="31" t="n">
        <v>21.875</v>
      </c>
      <c r="BG159" s="32">
        <f>100*(0.4*MIN(1,MAX(0,((U159*100)-(0.0))/((2.5)-(0.0))))+0.3*MIN(1,MAX(0,((V159)-(0.6))/((1.0)-(0.6))))+0.3*MIN(1,MAX(0,((BE159)-(0.0))/((15.0)-(0.0)))))</f>
        <v/>
      </c>
      <c r="BH159" s="32">
        <f>100*(0.4*MIN(1,MAX(0,((MIN(ABS(AA159),ABS(AB159)))-(0.75))/((0.0)-(0.75))))+0.3*MIN(1,MAX(0,((BC159)-(1.2))/((0.6)-(1.2))))+0.3*BD159)</f>
        <v/>
      </c>
      <c r="BI159" s="32">
        <f>100*(0.5*MIN(1,MAX(0,((AK159)-(1.0))/((4.0)-(1.0))))+0.3*MIN(1,MAX(0,((IF(ISNUMBER(AO159),AO159,0)*100)-(0.0))/((8.0)-(0.0))))+0.2*MIN(1,MAX(0,((IF(ISNUMBER(AP159),AP159,0))-(25.0))/((5.0)-(25.0)))))</f>
        <v/>
      </c>
      <c r="BJ159" s="32">
        <f>100*(0.35*MIN(1,MAX(0,((ABS(AU159))-(0.3))/((0.05)-(0.3))))+0.3*MIN(1,MAX(0,((AV159)-(0.0))/((0.3)-(0.0))))+0.25*MIN(1,MAX(0,((AW159)-(0.4))/((0.7)-(0.4))))+0.1*IF(AY159&gt;=2,1,0.5))</f>
        <v/>
      </c>
      <c r="BK159" s="33">
        <f>0.25*BG159+0.25*BH159+0.2*BI159+0.3*BJ159</f>
        <v/>
      </c>
      <c r="BL159" s="20" t="inlineStr">
        <is>
          <t>C4 上升三角／重心偏上</t>
        </is>
      </c>
      <c r="BM159" s="20" t="inlineStr"/>
    </row>
    <row r="160">
      <c r="A160" s="20" t="n">
        <v>2</v>
      </c>
      <c r="B160" s="20" t="n">
        <v>59</v>
      </c>
      <c r="C160" s="21" t="inlineStr">
        <is>
          <t>RBRK</t>
        </is>
      </c>
      <c r="D160" s="20" t="inlineStr">
        <is>
          <t>Rubrik Inc.</t>
        </is>
      </c>
      <c r="E160" s="20" t="inlineStr">
        <is>
          <t>NYSE</t>
        </is>
      </c>
      <c r="F160" s="20" t="inlineStr">
        <is>
          <t>科技</t>
        </is>
      </c>
      <c r="G160" s="20" t="inlineStr">
        <is>
          <t>Computer Software: Prepackaged Software</t>
        </is>
      </c>
      <c r="H160" s="22" t="n">
        <v>23.73</v>
      </c>
      <c r="I160" s="20" t="inlineStr">
        <is>
          <t>大型</t>
        </is>
      </c>
      <c r="J160" s="23" t="n">
        <v>115.4</v>
      </c>
      <c r="K160" s="23" t="n">
        <v>114.47</v>
      </c>
      <c r="L160" s="24">
        <f>J160/K160-1</f>
        <v/>
      </c>
      <c r="M160" s="23" t="n">
        <v>117.05</v>
      </c>
      <c r="N160" s="23" t="n">
        <v>113.57</v>
      </c>
      <c r="O160" s="25" t="n">
        <v>2070100</v>
      </c>
      <c r="P160" s="25" t="n">
        <v>3110675</v>
      </c>
      <c r="Q160" s="26">
        <f>O160/P160</f>
        <v/>
      </c>
      <c r="R160" s="23" t="n">
        <v>112.1298</v>
      </c>
      <c r="S160" s="23" t="n">
        <v>106.4456</v>
      </c>
      <c r="T160" s="23" t="n">
        <v>102.018</v>
      </c>
      <c r="U160" s="24">
        <f>S160/T160-1</f>
        <v/>
      </c>
      <c r="V160" s="27" t="n">
        <v>1</v>
      </c>
      <c r="W160" s="24">
        <f>J160/R160-1</f>
        <v/>
      </c>
      <c r="X160" s="24">
        <f>J160/S160-1</f>
        <v/>
      </c>
      <c r="Y160" s="23" t="n">
        <v>5.3249</v>
      </c>
      <c r="Z160" s="28">
        <f>Y160/J160</f>
        <v/>
      </c>
      <c r="AA160" s="26">
        <f>(J160-R160)/Y160</f>
        <v/>
      </c>
      <c r="AB160" s="26">
        <f>(J160-S160)/Y160</f>
        <v/>
      </c>
      <c r="AC160" s="20">
        <f>IF(ABS(AA160)&lt;=ABS(AB160),"9EMA","21EMA")</f>
        <v/>
      </c>
      <c r="AD160" s="20" t="inlineStr">
        <is>
          <t>—</t>
        </is>
      </c>
      <c r="AE160" s="20" t="inlineStr">
        <is>
          <t>持續在上方</t>
        </is>
      </c>
      <c r="AF160" s="20" t="inlineStr"/>
      <c r="AG160" s="20" t="inlineStr"/>
      <c r="AH160" s="20" t="inlineStr">
        <is>
          <t>✓</t>
        </is>
      </c>
      <c r="AI160" s="20" t="inlineStr">
        <is>
          <t>2026-09-14</t>
        </is>
      </c>
      <c r="AJ160" s="20" t="n">
        <v>13</v>
      </c>
      <c r="AK160" s="29" t="n">
        <v>2</v>
      </c>
      <c r="AL160" s="20" t="inlineStr">
        <is>
          <t>2026-09-28</t>
        </is>
      </c>
      <c r="AM160" s="23" t="n">
        <v>105.9</v>
      </c>
      <c r="AN160" s="23" t="n">
        <v>85.78</v>
      </c>
      <c r="AO160" s="24">
        <f>IF(ISNUMBER(AN160),AM160/AN160-1,"")</f>
        <v/>
      </c>
      <c r="AP160" s="29" t="n">
        <v>3</v>
      </c>
      <c r="AQ160" s="24">
        <f>IF(ISNUMBER(AM160),J160/AM160-1,"")</f>
        <v/>
      </c>
      <c r="AR160" s="23" t="n">
        <v>115.57</v>
      </c>
      <c r="AS160" s="24">
        <f>J160/AR160-1</f>
        <v/>
      </c>
      <c r="AT160" s="20" t="inlineStr">
        <is>
          <t>上傾收窄（楔形）</t>
        </is>
      </c>
      <c r="AU160" s="30" t="n">
        <v>0.5607</v>
      </c>
      <c r="AV160" s="30" t="n">
        <v>1.0838</v>
      </c>
      <c r="AW160" s="30" t="n">
        <v>0.4988</v>
      </c>
      <c r="AX160" s="30" t="n">
        <v>0.5093</v>
      </c>
      <c r="AY160" s="29" t="n">
        <v>4</v>
      </c>
      <c r="AZ160" s="23" t="n">
        <v>117.05</v>
      </c>
      <c r="BA160" s="23" t="n">
        <v>85.78</v>
      </c>
      <c r="BB160" s="23" t="n">
        <v>101.3784</v>
      </c>
      <c r="BC160" s="30" t="n">
        <v>1.2241</v>
      </c>
      <c r="BD160" s="26">
        <f>IF(M160=N160,0.5,(J160-N160)/(M160-N160))</f>
        <v/>
      </c>
      <c r="BE160" s="31" t="n">
        <v>35.297</v>
      </c>
      <c r="BF160" s="31" t="n">
        <v>30.543</v>
      </c>
      <c r="BG160" s="32">
        <f>100*(0.4*MIN(1,MAX(0,((U160*100)-(0.0))/((2.5)-(0.0))))+0.3*MIN(1,MAX(0,((V160)-(0.6))/((1.0)-(0.6))))+0.3*MIN(1,MAX(0,((BE160)-(0.0))/((15.0)-(0.0)))))</f>
        <v/>
      </c>
      <c r="BH160" s="32">
        <f>100*(0.4*MIN(1,MAX(0,((MIN(ABS(AA160),ABS(AB160)))-(0.75))/((0.0)-(0.75))))+0.3*MIN(1,MAX(0,((BC160)-(1.2))/((0.6)-(1.2))))+0.3*BD160)</f>
        <v/>
      </c>
      <c r="BI160" s="32">
        <f>100*(0.5*MIN(1,MAX(0,((AK160)-(1.0))/((4.0)-(1.0))))+0.3*MIN(1,MAX(0,((IF(ISNUMBER(AO160),AO160,0)*100)-(0.0))/((8.0)-(0.0))))+0.2*MIN(1,MAX(0,((IF(ISNUMBER(AP160),AP160,0))-(25.0))/((5.0)-(25.0)))))</f>
        <v/>
      </c>
      <c r="BJ160" s="32">
        <f>100*(0.35*MIN(1,MAX(0,((ABS(AU160))-(0.3))/((0.05)-(0.3))))+0.3*MIN(1,MAX(0,((AV160)-(0.0))/((0.3)-(0.0))))+0.25*MIN(1,MAX(0,((AW160)-(0.4))/((0.7)-(0.4))))+0.1*IF(AY160&gt;=2,1,0.5))</f>
        <v/>
      </c>
      <c r="BK160" s="33">
        <f>0.25*BG160+0.25*BH160+0.2*BI160+0.3*BJ160</f>
        <v/>
      </c>
      <c r="BL160" s="20" t="inlineStr">
        <is>
          <t>C4 上升三角／重心偏上</t>
        </is>
      </c>
      <c r="BM160" s="20" t="inlineStr"/>
    </row>
    <row r="161">
      <c r="A161" s="20" t="n">
        <v>2</v>
      </c>
      <c r="B161" s="20" t="n">
        <v>60</v>
      </c>
      <c r="C161" s="21" t="inlineStr">
        <is>
          <t>KN</t>
        </is>
      </c>
      <c r="D161" s="20" t="inlineStr">
        <is>
          <t>Knowles Corporation</t>
        </is>
      </c>
      <c r="E161" s="20" t="inlineStr">
        <is>
          <t>NYSE</t>
        </is>
      </c>
      <c r="F161" s="20" t="inlineStr">
        <is>
          <t>必需消費</t>
        </is>
      </c>
      <c r="G161" s="20" t="inlineStr">
        <is>
          <t>Consumer Electronics/Appliances</t>
        </is>
      </c>
      <c r="H161" s="22" t="n">
        <v>3.173</v>
      </c>
      <c r="I161" s="20" t="inlineStr">
        <is>
          <t>中型</t>
        </is>
      </c>
      <c r="J161" s="23" t="n">
        <v>38.23</v>
      </c>
      <c r="K161" s="23" t="n">
        <v>37.15</v>
      </c>
      <c r="L161" s="24">
        <f>J161/K161-1</f>
        <v/>
      </c>
      <c r="M161" s="23" t="n">
        <v>38.38</v>
      </c>
      <c r="N161" s="23" t="n">
        <v>36.72</v>
      </c>
      <c r="O161" s="25" t="n">
        <v>732000</v>
      </c>
      <c r="P161" s="25" t="n">
        <v>650435</v>
      </c>
      <c r="Q161" s="26">
        <f>O161/P161</f>
        <v/>
      </c>
      <c r="R161" s="23" t="n">
        <v>37.0853</v>
      </c>
      <c r="S161" s="23" t="n">
        <v>36.4554</v>
      </c>
      <c r="T161" s="23" t="n">
        <v>35.8047</v>
      </c>
      <c r="U161" s="24">
        <f>S161/T161-1</f>
        <v/>
      </c>
      <c r="V161" s="27" t="n">
        <v>1</v>
      </c>
      <c r="W161" s="24">
        <f>J161/R161-1</f>
        <v/>
      </c>
      <c r="X161" s="24">
        <f>J161/S161-1</f>
        <v/>
      </c>
      <c r="Y161" s="23" t="n">
        <v>1.1665</v>
      </c>
      <c r="Z161" s="28">
        <f>Y161/J161</f>
        <v/>
      </c>
      <c r="AA161" s="26">
        <f>(J161-R161)/Y161</f>
        <v/>
      </c>
      <c r="AB161" s="26">
        <f>(J161-S161)/Y161</f>
        <v/>
      </c>
      <c r="AC161" s="20">
        <f>IF(ABS(AA161)&lt;=ABS(AB161),"9EMA","21EMA")</f>
        <v/>
      </c>
      <c r="AD161" s="20" t="inlineStr">
        <is>
          <t>9EMA</t>
        </is>
      </c>
      <c r="AE161" s="20" t="inlineStr">
        <is>
          <t>持續在上方</t>
        </is>
      </c>
      <c r="AF161" s="20" t="inlineStr"/>
      <c r="AG161" s="20" t="inlineStr"/>
      <c r="AH161" s="20" t="inlineStr"/>
      <c r="AI161" s="20" t="inlineStr">
        <is>
          <t>2026-09-22</t>
        </is>
      </c>
      <c r="AJ161" s="20" t="n">
        <v>7</v>
      </c>
      <c r="AK161" s="29" t="n">
        <v>3</v>
      </c>
      <c r="AL161" s="20" t="inlineStr">
        <is>
          <t>2026-09-15</t>
        </is>
      </c>
      <c r="AM161" s="23" t="n">
        <v>34.31</v>
      </c>
      <c r="AN161" s="23" t="n">
        <v>33.44</v>
      </c>
      <c r="AO161" s="24">
        <f>IF(ISNUMBER(AN161),AM161/AN161-1,"")</f>
        <v/>
      </c>
      <c r="AP161" s="29" t="n">
        <v>12</v>
      </c>
      <c r="AQ161" s="24">
        <f>IF(ISNUMBER(AM161),J161/AM161-1,"")</f>
        <v/>
      </c>
      <c r="AR161" s="23" t="n">
        <v>38.23</v>
      </c>
      <c r="AS161" s="24">
        <f>J161/AR161-1</f>
        <v/>
      </c>
      <c r="AT161" s="20" t="inlineStr">
        <is>
          <t>上傾擴張</t>
        </is>
      </c>
      <c r="AU161" s="30" t="n">
        <v>0.5580000000000001</v>
      </c>
      <c r="AV161" s="30" t="n">
        <v>0.2529</v>
      </c>
      <c r="AW161" s="30" t="n">
        <v>0.4627</v>
      </c>
      <c r="AX161" s="30" t="n">
        <v>0.3816</v>
      </c>
      <c r="AY161" s="29" t="n">
        <v>3</v>
      </c>
      <c r="AZ161" s="23" t="n">
        <v>38.38</v>
      </c>
      <c r="BA161" s="23" t="n">
        <v>33.44</v>
      </c>
      <c r="BB161" s="23" t="n">
        <v>35.7256</v>
      </c>
      <c r="BC161" s="30" t="n">
        <v>0.7335</v>
      </c>
      <c r="BD161" s="26">
        <f>IF(M161=N161,0.5,(J161-N161)/(M161-N161))</f>
        <v/>
      </c>
      <c r="BE161" s="31" t="n">
        <v>16.114</v>
      </c>
      <c r="BF161" s="31" t="n">
        <v>11.36</v>
      </c>
      <c r="BG161" s="32">
        <f>100*(0.4*MIN(1,MAX(0,((U161*100)-(0.0))/((2.5)-(0.0))))+0.3*MIN(1,MAX(0,((V161)-(0.6))/((1.0)-(0.6))))+0.3*MIN(1,MAX(0,((BE161)-(0.0))/((15.0)-(0.0)))))</f>
        <v/>
      </c>
      <c r="BH161" s="32">
        <f>100*(0.4*MIN(1,MAX(0,((MIN(ABS(AA161),ABS(AB161)))-(0.75))/((0.0)-(0.75))))+0.3*MIN(1,MAX(0,((BC161)-(1.2))/((0.6)-(1.2))))+0.3*BD161)</f>
        <v/>
      </c>
      <c r="BI161" s="32">
        <f>100*(0.5*MIN(1,MAX(0,((AK161)-(1.0))/((4.0)-(1.0))))+0.3*MIN(1,MAX(0,((IF(ISNUMBER(AO161),AO161,0)*100)-(0.0))/((8.0)-(0.0))))+0.2*MIN(1,MAX(0,((IF(ISNUMBER(AP161),AP161,0))-(25.0))/((5.0)-(25.0)))))</f>
        <v/>
      </c>
      <c r="BJ161" s="32">
        <f>100*(0.35*MIN(1,MAX(0,((ABS(AU161))-(0.3))/((0.05)-(0.3))))+0.3*MIN(1,MAX(0,((AV161)-(0.0))/((0.3)-(0.0))))+0.25*MIN(1,MAX(0,((AW161)-(0.4))/((0.7)-(0.4))))+0.1*IF(AY161&gt;=2,1,0.5))</f>
        <v/>
      </c>
      <c r="BK161" s="33">
        <f>0.25*BG161+0.25*BH161+0.2*BI161+0.3*BJ161</f>
        <v/>
      </c>
      <c r="BL161" s="20" t="inlineStr">
        <is>
          <t>C4 上升三角／重心偏上</t>
        </is>
      </c>
      <c r="BM161" s="20" t="inlineStr"/>
    </row>
    <row r="162">
      <c r="A162" s="20" t="n">
        <v>2</v>
      </c>
      <c r="B162" s="20" t="n">
        <v>61</v>
      </c>
      <c r="C162" s="21" t="inlineStr">
        <is>
          <t>ZS</t>
        </is>
      </c>
      <c r="D162" s="20" t="inlineStr">
        <is>
          <t>Zscaler Inc.</t>
        </is>
      </c>
      <c r="E162" s="20" t="inlineStr">
        <is>
          <t>NASDAQ</t>
        </is>
      </c>
      <c r="F162" s="20" t="inlineStr">
        <is>
          <t>科技</t>
        </is>
      </c>
      <c r="G162" s="20" t="inlineStr">
        <is>
          <t>EDP Services</t>
        </is>
      </c>
      <c r="H162" s="22" t="n">
        <v>32.516</v>
      </c>
      <c r="I162" s="20" t="inlineStr">
        <is>
          <t>大型</t>
        </is>
      </c>
      <c r="J162" s="23" t="n">
        <v>198.78</v>
      </c>
      <c r="K162" s="23" t="n">
        <v>199.42</v>
      </c>
      <c r="L162" s="24">
        <f>J162/K162-1</f>
        <v/>
      </c>
      <c r="M162" s="23" t="n">
        <v>203.44</v>
      </c>
      <c r="N162" s="23" t="n">
        <v>198.44</v>
      </c>
      <c r="O162" s="25" t="n">
        <v>1453200</v>
      </c>
      <c r="P162" s="25" t="n">
        <v>3885215</v>
      </c>
      <c r="Q162" s="26">
        <f>O162/P162</f>
        <v/>
      </c>
      <c r="R162" s="23" t="n">
        <v>199.4102</v>
      </c>
      <c r="S162" s="23" t="n">
        <v>193.1605</v>
      </c>
      <c r="T162" s="23" t="n">
        <v>190.2019</v>
      </c>
      <c r="U162" s="24">
        <f>S162/T162-1</f>
        <v/>
      </c>
      <c r="V162" s="27" t="n">
        <v>1</v>
      </c>
      <c r="W162" s="24">
        <f>J162/R162-1</f>
        <v/>
      </c>
      <c r="X162" s="24">
        <f>J162/S162-1</f>
        <v/>
      </c>
      <c r="Y162" s="23" t="n">
        <v>9.614699999999999</v>
      </c>
      <c r="Z162" s="28">
        <f>Y162/J162</f>
        <v/>
      </c>
      <c r="AA162" s="26">
        <f>(J162-R162)/Y162</f>
        <v/>
      </c>
      <c r="AB162" s="26">
        <f>(J162-S162)/Y162</f>
        <v/>
      </c>
      <c r="AC162" s="20">
        <f>IF(ABS(AA162)&lt;=ABS(AB162),"9EMA","21EMA")</f>
        <v/>
      </c>
      <c r="AD162" s="20" t="inlineStr">
        <is>
          <t>9EMA</t>
        </is>
      </c>
      <c r="AE162" s="20" t="inlineStr">
        <is>
          <t>持續在上方</t>
        </is>
      </c>
      <c r="AF162" s="20" t="inlineStr"/>
      <c r="AG162" s="20" t="inlineStr"/>
      <c r="AH162" s="20" t="inlineStr">
        <is>
          <t>✓</t>
        </is>
      </c>
      <c r="AI162" s="20" t="inlineStr">
        <is>
          <t>2026-09-14</t>
        </is>
      </c>
      <c r="AJ162" s="20" t="n">
        <v>13</v>
      </c>
      <c r="AK162" s="29" t="n">
        <v>2</v>
      </c>
      <c r="AL162" s="20" t="inlineStr">
        <is>
          <t>2026-09-28</t>
        </is>
      </c>
      <c r="AM162" s="23" t="n">
        <v>187.671</v>
      </c>
      <c r="AN162" s="23" t="n">
        <v>159.2</v>
      </c>
      <c r="AO162" s="24">
        <f>IF(ISNUMBER(AN162),AM162/AN162-1,"")</f>
        <v/>
      </c>
      <c r="AP162" s="29" t="n">
        <v>3</v>
      </c>
      <c r="AQ162" s="24">
        <f>IF(ISNUMBER(AM162),J162/AM162-1,"")</f>
        <v/>
      </c>
      <c r="AR162" s="23" t="n">
        <v>214.64</v>
      </c>
      <c r="AS162" s="24">
        <f>J162/AR162-1</f>
        <v/>
      </c>
      <c r="AT162" s="20" t="inlineStr">
        <is>
          <t>上傾收窄（楔形）</t>
        </is>
      </c>
      <c r="AU162" s="30" t="n">
        <v>0.7842</v>
      </c>
      <c r="AV162" s="30" t="n">
        <v>1.0231</v>
      </c>
      <c r="AW162" s="30" t="n">
        <v>0.4837</v>
      </c>
      <c r="AX162" s="30" t="n">
        <v>0.4783</v>
      </c>
      <c r="AY162" s="29" t="n">
        <v>2</v>
      </c>
      <c r="AZ162" s="23" t="n">
        <v>216.97</v>
      </c>
      <c r="BA162" s="23" t="n">
        <v>159.2</v>
      </c>
      <c r="BB162" s="23" t="n">
        <v>187.1457</v>
      </c>
      <c r="BC162" s="30" t="n">
        <v>1.3526</v>
      </c>
      <c r="BD162" s="26">
        <f>IF(M162=N162,0.5,(J162-N162)/(M162-N162))</f>
        <v/>
      </c>
      <c r="BE162" s="31" t="n">
        <v>16.197</v>
      </c>
      <c r="BF162" s="31" t="n">
        <v>11.443</v>
      </c>
      <c r="BG162" s="32">
        <f>100*(0.4*MIN(1,MAX(0,((U162*100)-(0.0))/((2.5)-(0.0))))+0.3*MIN(1,MAX(0,((V162)-(0.6))/((1.0)-(0.6))))+0.3*MIN(1,MAX(0,((BE162)-(0.0))/((15.0)-(0.0)))))</f>
        <v/>
      </c>
      <c r="BH162" s="32">
        <f>100*(0.4*MIN(1,MAX(0,((MIN(ABS(AA162),ABS(AB162)))-(0.75))/((0.0)-(0.75))))+0.3*MIN(1,MAX(0,((BC162)-(1.2))/((0.6)-(1.2))))+0.3*BD162)</f>
        <v/>
      </c>
      <c r="BI162" s="32">
        <f>100*(0.5*MIN(1,MAX(0,((AK162)-(1.0))/((4.0)-(1.0))))+0.3*MIN(1,MAX(0,((IF(ISNUMBER(AO162),AO162,0)*100)-(0.0))/((8.0)-(0.0))))+0.2*MIN(1,MAX(0,((IF(ISNUMBER(AP162),AP162,0))-(25.0))/((5.0)-(25.0)))))</f>
        <v/>
      </c>
      <c r="BJ162" s="32">
        <f>100*(0.35*MIN(1,MAX(0,((ABS(AU162))-(0.3))/((0.05)-(0.3))))+0.3*MIN(1,MAX(0,((AV162)-(0.0))/((0.3)-(0.0))))+0.25*MIN(1,MAX(0,((AW162)-(0.4))/((0.7)-(0.4))))+0.1*IF(AY162&gt;=2,1,0.5))</f>
        <v/>
      </c>
      <c r="BK162" s="33">
        <f>0.25*BG162+0.25*BH162+0.2*BI162+0.3*BJ162</f>
        <v/>
      </c>
      <c r="BL162" s="20" t="inlineStr">
        <is>
          <t>C4 上升三角／重心偏上</t>
        </is>
      </c>
      <c r="BM162" s="20" t="inlineStr"/>
    </row>
    <row r="163">
      <c r="A163" s="20" t="n">
        <v>2</v>
      </c>
      <c r="B163" s="20" t="n">
        <v>62</v>
      </c>
      <c r="C163" s="21" t="inlineStr">
        <is>
          <t>CLMB</t>
        </is>
      </c>
      <c r="D163" s="20" t="inlineStr">
        <is>
          <t>Climb Global Solutions Inc.</t>
        </is>
      </c>
      <c r="E163" s="20" t="inlineStr">
        <is>
          <t>NASDAQ</t>
        </is>
      </c>
      <c r="F163" s="20" t="inlineStr">
        <is>
          <t>科技</t>
        </is>
      </c>
      <c r="G163" s="20" t="inlineStr">
        <is>
          <t>Retail: Computer Software &amp; Peripheral Equipment</t>
        </is>
      </c>
      <c r="H163" s="22" t="n">
        <v>0.599</v>
      </c>
      <c r="I163" s="20" t="inlineStr">
        <is>
          <t>小型</t>
        </is>
      </c>
      <c r="J163" s="23" t="n">
        <v>33.06</v>
      </c>
      <c r="K163" s="23" t="n">
        <v>32.13</v>
      </c>
      <c r="L163" s="24">
        <f>J163/K163-1</f>
        <v/>
      </c>
      <c r="M163" s="23" t="n">
        <v>33.18</v>
      </c>
      <c r="N163" s="23" t="n">
        <v>32.02</v>
      </c>
      <c r="O163" s="25" t="n">
        <v>136200</v>
      </c>
      <c r="P163" s="25" t="n">
        <v>151685</v>
      </c>
      <c r="Q163" s="26">
        <f>O163/P163</f>
        <v/>
      </c>
      <c r="R163" s="23" t="n">
        <v>31.5266</v>
      </c>
      <c r="S163" s="23" t="n">
        <v>30.1156</v>
      </c>
      <c r="T163" s="23" t="n">
        <v>28.671</v>
      </c>
      <c r="U163" s="24">
        <f>S163/T163-1</f>
        <v/>
      </c>
      <c r="V163" s="27" t="n">
        <v>1</v>
      </c>
      <c r="W163" s="24">
        <f>J163/R163-1</f>
        <v/>
      </c>
      <c r="X163" s="24">
        <f>J163/S163-1</f>
        <v/>
      </c>
      <c r="Y163" s="23" t="n">
        <v>1.3987</v>
      </c>
      <c r="Z163" s="28">
        <f>Y163/J163</f>
        <v/>
      </c>
      <c r="AA163" s="26">
        <f>(J163-R163)/Y163</f>
        <v/>
      </c>
      <c r="AB163" s="26">
        <f>(J163-S163)/Y163</f>
        <v/>
      </c>
      <c r="AC163" s="20">
        <f>IF(ABS(AA163)&lt;=ABS(AB163),"9EMA","21EMA")</f>
        <v/>
      </c>
      <c r="AD163" s="20" t="inlineStr">
        <is>
          <t>9EMA</t>
        </is>
      </c>
      <c r="AE163" s="20" t="inlineStr">
        <is>
          <t>持續在上方</t>
        </is>
      </c>
      <c r="AF163" s="20" t="inlineStr"/>
      <c r="AG163" s="20" t="inlineStr"/>
      <c r="AH163" s="20" t="inlineStr"/>
      <c r="AI163" s="20" t="inlineStr">
        <is>
          <t>2026-09-14</t>
        </is>
      </c>
      <c r="AJ163" s="20" t="n">
        <v>13</v>
      </c>
      <c r="AK163" s="29" t="n">
        <v>2</v>
      </c>
      <c r="AL163" s="20" t="inlineStr">
        <is>
          <t>2026-09-18</t>
        </is>
      </c>
      <c r="AM163" s="23" t="n">
        <v>27.2</v>
      </c>
      <c r="AN163" s="23" t="n">
        <v>26.64</v>
      </c>
      <c r="AO163" s="24">
        <f>IF(ISNUMBER(AN163),AM163/AN163-1,"")</f>
        <v/>
      </c>
      <c r="AP163" s="29" t="n">
        <v>9</v>
      </c>
      <c r="AQ163" s="24">
        <f>IF(ISNUMBER(AM163),J163/AM163-1,"")</f>
        <v/>
      </c>
      <c r="AR163" s="23" t="n">
        <v>33.06</v>
      </c>
      <c r="AS163" s="24">
        <f>J163/AR163-1</f>
        <v/>
      </c>
      <c r="AT163" s="20" t="inlineStr">
        <is>
          <t>上升三角（平頂）</t>
        </is>
      </c>
      <c r="AU163" s="30" t="n">
        <v>-0.0756</v>
      </c>
      <c r="AV163" s="30" t="n">
        <v>0.0306</v>
      </c>
      <c r="AW163" s="30" t="n">
        <v>0.4888</v>
      </c>
      <c r="AX163" s="30" t="n">
        <v>0.4833</v>
      </c>
      <c r="AY163" s="29" t="n">
        <v>4</v>
      </c>
      <c r="AZ163" s="23" t="n">
        <v>33.23</v>
      </c>
      <c r="BA163" s="23" t="n">
        <v>26.64</v>
      </c>
      <c r="BB163" s="23" t="n">
        <v>29.8614</v>
      </c>
      <c r="BC163" s="30" t="n">
        <v>0.9704</v>
      </c>
      <c r="BD163" s="26">
        <f>IF(M163=N163,0.5,(J163-N163)/(M163-N163))</f>
        <v/>
      </c>
      <c r="BE163" s="31" t="n">
        <v>22.868</v>
      </c>
      <c r="BF163" s="31" t="n">
        <v>18.114</v>
      </c>
      <c r="BG163" s="32">
        <f>100*(0.4*MIN(1,MAX(0,((U163*100)-(0.0))/((2.5)-(0.0))))+0.3*MIN(1,MAX(0,((V163)-(0.6))/((1.0)-(0.6))))+0.3*MIN(1,MAX(0,((BE163)-(0.0))/((15.0)-(0.0)))))</f>
        <v/>
      </c>
      <c r="BH163" s="32">
        <f>100*(0.4*MIN(1,MAX(0,((MIN(ABS(AA163),ABS(AB163)))-(0.75))/((0.0)-(0.75))))+0.3*MIN(1,MAX(0,((BC163)-(1.2))/((0.6)-(1.2))))+0.3*BD163)</f>
        <v/>
      </c>
      <c r="BI163" s="32">
        <f>100*(0.5*MIN(1,MAX(0,((AK163)-(1.0))/((4.0)-(1.0))))+0.3*MIN(1,MAX(0,((IF(ISNUMBER(AO163),AO163,0)*100)-(0.0))/((8.0)-(0.0))))+0.2*MIN(1,MAX(0,((IF(ISNUMBER(AP163),AP163,0))-(25.0))/((5.0)-(25.0)))))</f>
        <v/>
      </c>
      <c r="BJ163" s="32">
        <f>100*(0.35*MIN(1,MAX(0,((ABS(AU163))-(0.3))/((0.05)-(0.3))))+0.3*MIN(1,MAX(0,((AV163)-(0.0))/((0.3)-(0.0))))+0.25*MIN(1,MAX(0,((AW163)-(0.4))/((0.7)-(0.4))))+0.1*IF(AY163&gt;=2,1,0.5))</f>
        <v/>
      </c>
      <c r="BK163" s="33">
        <f>0.25*BG163+0.25*BH163+0.2*BI163+0.3*BJ163</f>
        <v/>
      </c>
      <c r="BL163" s="20" t="inlineStr">
        <is>
          <t>C4 上升三角／重心偏上</t>
        </is>
      </c>
      <c r="BM163" s="20" t="inlineStr"/>
    </row>
    <row r="164">
      <c r="A164" s="20" t="n">
        <v>2</v>
      </c>
      <c r="B164" s="20" t="n">
        <v>63</v>
      </c>
      <c r="C164" s="21" t="inlineStr">
        <is>
          <t>BHE</t>
        </is>
      </c>
      <c r="D164" s="20" t="inlineStr">
        <is>
          <t>Benchmark Electronics Inc.</t>
        </is>
      </c>
      <c r="E164" s="20" t="inlineStr">
        <is>
          <t>NYSE</t>
        </is>
      </c>
      <c r="F164" s="20" t="inlineStr">
        <is>
          <t>科技</t>
        </is>
      </c>
      <c r="G164" s="20" t="inlineStr">
        <is>
          <t>Electrical Products</t>
        </is>
      </c>
      <c r="H164" s="22" t="n">
        <v>2.978</v>
      </c>
      <c r="I164" s="20" t="inlineStr">
        <is>
          <t>中型</t>
        </is>
      </c>
      <c r="J164" s="23" t="n">
        <v>84.62</v>
      </c>
      <c r="K164" s="23" t="n">
        <v>82.91</v>
      </c>
      <c r="L164" s="24">
        <f>J164/K164-1</f>
        <v/>
      </c>
      <c r="M164" s="23" t="n">
        <v>85.75</v>
      </c>
      <c r="N164" s="23" t="n">
        <v>82.20999999999999</v>
      </c>
      <c r="O164" s="25" t="n">
        <v>461200</v>
      </c>
      <c r="P164" s="25" t="n">
        <v>407035</v>
      </c>
      <c r="Q164" s="26">
        <f>O164/P164</f>
        <v/>
      </c>
      <c r="R164" s="23" t="n">
        <v>81.84059999999999</v>
      </c>
      <c r="S164" s="23" t="n">
        <v>79.1855</v>
      </c>
      <c r="T164" s="23" t="n">
        <v>76.63849999999999</v>
      </c>
      <c r="U164" s="24">
        <f>S164/T164-1</f>
        <v/>
      </c>
      <c r="V164" s="27" t="n">
        <v>1</v>
      </c>
      <c r="W164" s="24">
        <f>J164/R164-1</f>
        <v/>
      </c>
      <c r="X164" s="24">
        <f>J164/S164-1</f>
        <v/>
      </c>
      <c r="Y164" s="23" t="n">
        <v>3.0294</v>
      </c>
      <c r="Z164" s="28">
        <f>Y164/J164</f>
        <v/>
      </c>
      <c r="AA164" s="26">
        <f>(J164-R164)/Y164</f>
        <v/>
      </c>
      <c r="AB164" s="26">
        <f>(J164-S164)/Y164</f>
        <v/>
      </c>
      <c r="AC164" s="20">
        <f>IF(ABS(AA164)&lt;=ABS(AB164),"9EMA","21EMA")</f>
        <v/>
      </c>
      <c r="AD164" s="20" t="inlineStr">
        <is>
          <t>9EMA</t>
        </is>
      </c>
      <c r="AE164" s="20" t="inlineStr">
        <is>
          <t>持續在上方</t>
        </is>
      </c>
      <c r="AF164" s="20" t="inlineStr"/>
      <c r="AG164" s="20" t="inlineStr"/>
      <c r="AH164" s="20" t="inlineStr"/>
      <c r="AI164" s="20" t="inlineStr">
        <is>
          <t>2026-09-22</t>
        </is>
      </c>
      <c r="AJ164" s="20" t="n">
        <v>7</v>
      </c>
      <c r="AK164" s="29" t="n">
        <v>2</v>
      </c>
      <c r="AL164" s="20" t="inlineStr">
        <is>
          <t>2026-09-15</t>
        </is>
      </c>
      <c r="AM164" s="23" t="n">
        <v>72.06</v>
      </c>
      <c r="AN164" s="23" t="n">
        <v>68.65000000000001</v>
      </c>
      <c r="AO164" s="24">
        <f>IF(ISNUMBER(AN164),AM164/AN164-1,"")</f>
        <v/>
      </c>
      <c r="AP164" s="29" t="n">
        <v>12</v>
      </c>
      <c r="AQ164" s="24">
        <f>IF(ISNUMBER(AM164),J164/AM164-1,"")</f>
        <v/>
      </c>
      <c r="AR164" s="23" t="n">
        <v>84.62</v>
      </c>
      <c r="AS164" s="24">
        <f>J164/AR164-1</f>
        <v/>
      </c>
      <c r="AT164" s="20" t="inlineStr">
        <is>
          <t>上傾擴張</t>
        </is>
      </c>
      <c r="AU164" s="30" t="n">
        <v>0.735</v>
      </c>
      <c r="AV164" s="30" t="n">
        <v>0.4478</v>
      </c>
      <c r="AW164" s="30" t="n">
        <v>0.4994</v>
      </c>
      <c r="AX164" s="30" t="n">
        <v>0.4818</v>
      </c>
      <c r="AY164" s="29" t="n">
        <v>3</v>
      </c>
      <c r="AZ164" s="23" t="n">
        <v>85.75</v>
      </c>
      <c r="BA164" s="23" t="n">
        <v>68.65000000000001</v>
      </c>
      <c r="BB164" s="23" t="n">
        <v>77.18899999999999</v>
      </c>
      <c r="BC164" s="30" t="n">
        <v>0.9468</v>
      </c>
      <c r="BD164" s="26">
        <f>IF(M164=N164,0.5,(J164-N164)/(M164-N164))</f>
        <v/>
      </c>
      <c r="BE164" s="31" t="n">
        <v>24.817</v>
      </c>
      <c r="BF164" s="31" t="n">
        <v>20.062</v>
      </c>
      <c r="BG164" s="32">
        <f>100*(0.4*MIN(1,MAX(0,((U164*100)-(0.0))/((2.5)-(0.0))))+0.3*MIN(1,MAX(0,((V164)-(0.6))/((1.0)-(0.6))))+0.3*MIN(1,MAX(0,((BE164)-(0.0))/((15.0)-(0.0)))))</f>
        <v/>
      </c>
      <c r="BH164" s="32">
        <f>100*(0.4*MIN(1,MAX(0,((MIN(ABS(AA164),ABS(AB164)))-(0.75))/((0.0)-(0.75))))+0.3*MIN(1,MAX(0,((BC164)-(1.2))/((0.6)-(1.2))))+0.3*BD164)</f>
        <v/>
      </c>
      <c r="BI164" s="32">
        <f>100*(0.5*MIN(1,MAX(0,((AK164)-(1.0))/((4.0)-(1.0))))+0.3*MIN(1,MAX(0,((IF(ISNUMBER(AO164),AO164,0)*100)-(0.0))/((8.0)-(0.0))))+0.2*MIN(1,MAX(0,((IF(ISNUMBER(AP164),AP164,0))-(25.0))/((5.0)-(25.0)))))</f>
        <v/>
      </c>
      <c r="BJ164" s="32">
        <f>100*(0.35*MIN(1,MAX(0,((ABS(AU164))-(0.3))/((0.05)-(0.3))))+0.3*MIN(1,MAX(0,((AV164)-(0.0))/((0.3)-(0.0))))+0.25*MIN(1,MAX(0,((AW164)-(0.4))/((0.7)-(0.4))))+0.1*IF(AY164&gt;=2,1,0.5))</f>
        <v/>
      </c>
      <c r="BK164" s="33">
        <f>0.25*BG164+0.25*BH164+0.2*BI164+0.3*BJ164</f>
        <v/>
      </c>
      <c r="BL164" s="20" t="inlineStr">
        <is>
          <t>C4 上升三角／重心偏上</t>
        </is>
      </c>
      <c r="BM164" s="20" t="inlineStr"/>
    </row>
    <row r="165">
      <c r="A165" s="20" t="n">
        <v>2</v>
      </c>
      <c r="B165" s="20" t="n">
        <v>64</v>
      </c>
      <c r="C165" s="21" t="inlineStr">
        <is>
          <t>SGHT</t>
        </is>
      </c>
      <c r="D165" s="20" t="inlineStr">
        <is>
          <t>Sight Sciences Inc.</t>
        </is>
      </c>
      <c r="E165" s="20" t="inlineStr">
        <is>
          <t>NASDAQ</t>
        </is>
      </c>
      <c r="F165" s="20" t="inlineStr">
        <is>
          <t>醫療保健</t>
        </is>
      </c>
      <c r="G165" s="20" t="inlineStr">
        <is>
          <t>Medical/Dental Instruments</t>
        </is>
      </c>
      <c r="H165" s="22" t="n">
        <v>0.516</v>
      </c>
      <c r="I165" s="20" t="inlineStr">
        <is>
          <t>小型</t>
        </is>
      </c>
      <c r="J165" s="23" t="n">
        <v>9.029999999999999</v>
      </c>
      <c r="K165" s="23" t="n">
        <v>9.359999999999999</v>
      </c>
      <c r="L165" s="24">
        <f>J165/K165-1</f>
        <v/>
      </c>
      <c r="M165" s="23" t="n">
        <v>9.359999999999999</v>
      </c>
      <c r="N165" s="23" t="n">
        <v>8.859999999999999</v>
      </c>
      <c r="O165" s="25" t="n">
        <v>339300</v>
      </c>
      <c r="P165" s="25" t="n">
        <v>261590</v>
      </c>
      <c r="Q165" s="26">
        <f>O165/P165</f>
        <v/>
      </c>
      <c r="R165" s="23" t="n">
        <v>8.930300000000001</v>
      </c>
      <c r="S165" s="23" t="n">
        <v>8.572100000000001</v>
      </c>
      <c r="T165" s="23" t="n">
        <v>8.1935</v>
      </c>
      <c r="U165" s="24">
        <f>S165/T165-1</f>
        <v/>
      </c>
      <c r="V165" s="27" t="n">
        <v>1</v>
      </c>
      <c r="W165" s="24">
        <f>J165/R165-1</f>
        <v/>
      </c>
      <c r="X165" s="24">
        <f>J165/S165-1</f>
        <v/>
      </c>
      <c r="Y165" s="23" t="n">
        <v>0.3812</v>
      </c>
      <c r="Z165" s="28">
        <f>Y165/J165</f>
        <v/>
      </c>
      <c r="AA165" s="26">
        <f>(J165-R165)/Y165</f>
        <v/>
      </c>
      <c r="AB165" s="26">
        <f>(J165-S165)/Y165</f>
        <v/>
      </c>
      <c r="AC165" s="20">
        <f>IF(ABS(AA165)&lt;=ABS(AB165),"9EMA","21EMA")</f>
        <v/>
      </c>
      <c r="AD165" s="20" t="inlineStr">
        <is>
          <t>9EMA</t>
        </is>
      </c>
      <c r="AE165" s="20" t="inlineStr">
        <is>
          <t>持續在上方</t>
        </is>
      </c>
      <c r="AF165" s="20" t="inlineStr"/>
      <c r="AG165" s="20" t="inlineStr"/>
      <c r="AH165" s="20" t="inlineStr">
        <is>
          <t>✓</t>
        </is>
      </c>
      <c r="AI165" s="20" t="inlineStr">
        <is>
          <t>2026-07-30</t>
        </is>
      </c>
      <c r="AJ165" s="20" t="n">
        <v>44</v>
      </c>
      <c r="AK165" s="29" t="n">
        <v>2</v>
      </c>
      <c r="AL165" s="20" t="inlineStr">
        <is>
          <t>2026-09-18</t>
        </is>
      </c>
      <c r="AM165" s="23" t="n">
        <v>7.925</v>
      </c>
      <c r="AN165" s="23" t="n">
        <v>7.7</v>
      </c>
      <c r="AO165" s="24">
        <f>IF(ISNUMBER(AN165),AM165/AN165-1,"")</f>
        <v/>
      </c>
      <c r="AP165" s="29" t="n">
        <v>9</v>
      </c>
      <c r="AQ165" s="24">
        <f>IF(ISNUMBER(AM165),J165/AM165-1,"")</f>
        <v/>
      </c>
      <c r="AR165" s="23" t="n">
        <v>9.359999999999999</v>
      </c>
      <c r="AS165" s="24">
        <f>J165/AR165-1</f>
        <v/>
      </c>
      <c r="AT165" s="20" t="inlineStr">
        <is>
          <t>上傾擴張</t>
        </is>
      </c>
      <c r="AU165" s="30" t="n">
        <v>0.3983</v>
      </c>
      <c r="AV165" s="30" t="n">
        <v>0.114</v>
      </c>
      <c r="AW165" s="30" t="n">
        <v>0.468</v>
      </c>
      <c r="AX165" s="30" t="n">
        <v>0.4701</v>
      </c>
      <c r="AY165" s="29" t="n">
        <v>2</v>
      </c>
      <c r="AZ165" s="23" t="n">
        <v>9.712999999999999</v>
      </c>
      <c r="BA165" s="23" t="n">
        <v>7.7</v>
      </c>
      <c r="BB165" s="23" t="n">
        <v>8.641999999999999</v>
      </c>
      <c r="BC165" s="30" t="n">
        <v>0.8528</v>
      </c>
      <c r="BD165" s="26">
        <f>IF(M165=N165,0.5,(J165-N165)/(M165-N165))</f>
        <v/>
      </c>
      <c r="BE165" s="31" t="n">
        <v>15.011</v>
      </c>
      <c r="BF165" s="31" t="n">
        <v>10.256</v>
      </c>
      <c r="BG165" s="32">
        <f>100*(0.4*MIN(1,MAX(0,((U165*100)-(0.0))/((2.5)-(0.0))))+0.3*MIN(1,MAX(0,((V165)-(0.6))/((1.0)-(0.6))))+0.3*MIN(1,MAX(0,((BE165)-(0.0))/((15.0)-(0.0)))))</f>
        <v/>
      </c>
      <c r="BH165" s="32">
        <f>100*(0.4*MIN(1,MAX(0,((MIN(ABS(AA165),ABS(AB165)))-(0.75))/((0.0)-(0.75))))+0.3*MIN(1,MAX(0,((BC165)-(1.2))/((0.6)-(1.2))))+0.3*BD165)</f>
        <v/>
      </c>
      <c r="BI165" s="32">
        <f>100*(0.5*MIN(1,MAX(0,((AK165)-(1.0))/((4.0)-(1.0))))+0.3*MIN(1,MAX(0,((IF(ISNUMBER(AO165),AO165,0)*100)-(0.0))/((8.0)-(0.0))))+0.2*MIN(1,MAX(0,((IF(ISNUMBER(AP165),AP165,0))-(25.0))/((5.0)-(25.0)))))</f>
        <v/>
      </c>
      <c r="BJ165" s="32">
        <f>100*(0.35*MIN(1,MAX(0,((ABS(AU165))-(0.3))/((0.05)-(0.3))))+0.3*MIN(1,MAX(0,((AV165)-(0.0))/((0.3)-(0.0))))+0.25*MIN(1,MAX(0,((AW165)-(0.4))/((0.7)-(0.4))))+0.1*IF(AY165&gt;=2,1,0.5))</f>
        <v/>
      </c>
      <c r="BK165" s="33">
        <f>0.25*BG165+0.25*BH165+0.2*BI165+0.3*BJ165</f>
        <v/>
      </c>
      <c r="BL165" s="20" t="inlineStr">
        <is>
          <t>C4 上升三角／重心偏上</t>
        </is>
      </c>
      <c r="BM165" s="20" t="inlineStr"/>
    </row>
    <row r="166">
      <c r="A166" s="20" t="n">
        <v>2</v>
      </c>
      <c r="B166" s="20" t="n">
        <v>65</v>
      </c>
      <c r="C166" s="21" t="inlineStr">
        <is>
          <t>VSH</t>
        </is>
      </c>
      <c r="D166" s="20" t="inlineStr">
        <is>
          <t>Vishay Intertechnology Inc.</t>
        </is>
      </c>
      <c r="E166" s="20" t="inlineStr">
        <is>
          <t>NYSE</t>
        </is>
      </c>
      <c r="F166" s="20" t="inlineStr">
        <is>
          <t>科技</t>
        </is>
      </c>
      <c r="G166" s="20" t="inlineStr">
        <is>
          <t>Electrical Products</t>
        </is>
      </c>
      <c r="H166" s="22" t="n">
        <v>4.992</v>
      </c>
      <c r="I166" s="20" t="inlineStr">
        <is>
          <t>中型</t>
        </is>
      </c>
      <c r="J166" s="23" t="n">
        <v>34.27</v>
      </c>
      <c r="K166" s="23" t="n">
        <v>32.55</v>
      </c>
      <c r="L166" s="24">
        <f>J166/K166-1</f>
        <v/>
      </c>
      <c r="M166" s="23" t="n">
        <v>34.42</v>
      </c>
      <c r="N166" s="23" t="n">
        <v>32.34</v>
      </c>
      <c r="O166" s="25" t="n">
        <v>4530300</v>
      </c>
      <c r="P166" s="25" t="n">
        <v>3251665</v>
      </c>
      <c r="Q166" s="26">
        <f>O166/P166</f>
        <v/>
      </c>
      <c r="R166" s="23" t="n">
        <v>32.7186</v>
      </c>
      <c r="S166" s="23" t="n">
        <v>32.4498</v>
      </c>
      <c r="T166" s="23" t="n">
        <v>32.1828</v>
      </c>
      <c r="U166" s="24">
        <f>S166/T166-1</f>
        <v/>
      </c>
      <c r="V166" s="27" t="n">
        <v>0.9</v>
      </c>
      <c r="W166" s="24">
        <f>J166/R166-1</f>
        <v/>
      </c>
      <c r="X166" s="24">
        <f>J166/S166-1</f>
        <v/>
      </c>
      <c r="Y166" s="23" t="n">
        <v>1.6422</v>
      </c>
      <c r="Z166" s="28">
        <f>Y166/J166</f>
        <v/>
      </c>
      <c r="AA166" s="26">
        <f>(J166-R166)/Y166</f>
        <v/>
      </c>
      <c r="AB166" s="26">
        <f>(J166-S166)/Y166</f>
        <v/>
      </c>
      <c r="AC166" s="20">
        <f>IF(ABS(AA166)&lt;=ABS(AB166),"9EMA","21EMA")</f>
        <v/>
      </c>
      <c r="AD166" s="20" t="inlineStr">
        <is>
          <t>9+21EMA</t>
        </is>
      </c>
      <c r="AE166" s="19" t="inlineStr">
        <is>
          <t>剛黃金交叉</t>
        </is>
      </c>
      <c r="AF166" s="20" t="inlineStr">
        <is>
          <t>✓</t>
        </is>
      </c>
      <c r="AG166" s="20" t="inlineStr"/>
      <c r="AH166" s="20" t="inlineStr"/>
      <c r="AI166" s="20" t="inlineStr">
        <is>
          <t>2026-09-25</t>
        </is>
      </c>
      <c r="AJ166" s="20" t="n">
        <v>4</v>
      </c>
      <c r="AK166" s="29" t="n">
        <v>3</v>
      </c>
      <c r="AL166" s="20" t="inlineStr">
        <is>
          <t>2026-09-24</t>
        </is>
      </c>
      <c r="AM166" s="23" t="n">
        <v>31.1</v>
      </c>
      <c r="AN166" s="23" t="n">
        <v>30.19</v>
      </c>
      <c r="AO166" s="24">
        <f>IF(ISNUMBER(AN166),AM166/AN166-1,"")</f>
        <v/>
      </c>
      <c r="AP166" s="29" t="n">
        <v>5</v>
      </c>
      <c r="AQ166" s="24">
        <f>IF(ISNUMBER(AM166),J166/AM166-1,"")</f>
        <v/>
      </c>
      <c r="AR166" s="23" t="n">
        <v>34.27</v>
      </c>
      <c r="AS166" s="24">
        <f>J166/AR166-1</f>
        <v/>
      </c>
      <c r="AT166" s="20" t="inlineStr">
        <is>
          <t>上升通道</t>
        </is>
      </c>
      <c r="AU166" s="30" t="n">
        <v>0.2976</v>
      </c>
      <c r="AV166" s="30" t="n">
        <v>0.3301</v>
      </c>
      <c r="AW166" s="30" t="n">
        <v>0.4611</v>
      </c>
      <c r="AX166" s="30" t="n">
        <v>0.4365</v>
      </c>
      <c r="AY166" s="29" t="n">
        <v>2</v>
      </c>
      <c r="AZ166" s="23" t="n">
        <v>34.42</v>
      </c>
      <c r="BA166" s="23" t="n">
        <v>29.29</v>
      </c>
      <c r="BB166" s="23" t="n">
        <v>31.6555</v>
      </c>
      <c r="BC166" s="30" t="n">
        <v>0.8102</v>
      </c>
      <c r="BD166" s="26">
        <f>IF(M166=N166,0.5,(J166-N166)/(M166-N166))</f>
        <v/>
      </c>
      <c r="BE166" s="31" t="n">
        <v>20.414</v>
      </c>
      <c r="BF166" s="31" t="n">
        <v>15.66</v>
      </c>
      <c r="BG166" s="32">
        <f>100*(0.4*MIN(1,MAX(0,((U166*100)-(0.0))/((2.5)-(0.0))))+0.3*MIN(1,MAX(0,((V166)-(0.6))/((1.0)-(0.6))))+0.3*MIN(1,MAX(0,((BE166)-(0.0))/((15.0)-(0.0)))))</f>
        <v/>
      </c>
      <c r="BH166" s="32">
        <f>100*(0.4*MIN(1,MAX(0,((MIN(ABS(AA166),ABS(AB166)))-(0.75))/((0.0)-(0.75))))+0.3*MIN(1,MAX(0,((BC166)-(1.2))/((0.6)-(1.2))))+0.3*BD166)</f>
        <v/>
      </c>
      <c r="BI166" s="32">
        <f>100*(0.5*MIN(1,MAX(0,((AK166)-(1.0))/((4.0)-(1.0))))+0.3*MIN(1,MAX(0,((IF(ISNUMBER(AO166),AO166,0)*100)-(0.0))/((8.0)-(0.0))))+0.2*MIN(1,MAX(0,((IF(ISNUMBER(AP166),AP166,0))-(25.0))/((5.0)-(25.0)))))</f>
        <v/>
      </c>
      <c r="BJ166" s="32">
        <f>100*(0.35*MIN(1,MAX(0,((ABS(AU166))-(0.3))/((0.05)-(0.3))))+0.3*MIN(1,MAX(0,((AV166)-(0.0))/((0.3)-(0.0))))+0.25*MIN(1,MAX(0,((AW166)-(0.4))/((0.7)-(0.4))))+0.1*IF(AY166&gt;=2,1,0.5))</f>
        <v/>
      </c>
      <c r="BK166" s="33">
        <f>0.25*BG166+0.25*BH166+0.2*BI166+0.3*BJ166</f>
        <v/>
      </c>
      <c r="BL166" s="20" t="inlineStr">
        <is>
          <t>C4 上升三角／重心偏上</t>
        </is>
      </c>
      <c r="BM166" s="20" t="inlineStr"/>
    </row>
    <row r="167">
      <c r="A167" s="20" t="n">
        <v>2</v>
      </c>
      <c r="B167" s="20" t="n">
        <v>66</v>
      </c>
      <c r="C167" s="21" t="inlineStr">
        <is>
          <t>SIGA</t>
        </is>
      </c>
      <c r="D167" s="20" t="inlineStr">
        <is>
          <t>SIGA Technologies Inc.</t>
        </is>
      </c>
      <c r="E167" s="20" t="inlineStr">
        <is>
          <t>NASDAQ</t>
        </is>
      </c>
      <c r="F167" s="20" t="inlineStr">
        <is>
          <t>醫療保健</t>
        </is>
      </c>
      <c r="G167" s="20" t="inlineStr">
        <is>
          <t>Biotechnology: Pharmaceutical Preparations</t>
        </is>
      </c>
      <c r="H167" s="22" t="n">
        <v>0.244</v>
      </c>
      <c r="I167" s="20" t="inlineStr">
        <is>
          <t>小型</t>
        </is>
      </c>
      <c r="J167" s="23" t="n">
        <v>3.35</v>
      </c>
      <c r="K167" s="23" t="n">
        <v>3.4</v>
      </c>
      <c r="L167" s="24">
        <f>J167/K167-1</f>
        <v/>
      </c>
      <c r="M167" s="23" t="n">
        <v>3.44</v>
      </c>
      <c r="N167" s="23" t="n">
        <v>3.31</v>
      </c>
      <c r="O167" s="25" t="n">
        <v>619700</v>
      </c>
      <c r="P167" s="25" t="n">
        <v>670865</v>
      </c>
      <c r="Q167" s="26">
        <f>O167/P167</f>
        <v/>
      </c>
      <c r="R167" s="23" t="n">
        <v>3.3286</v>
      </c>
      <c r="S167" s="23" t="n">
        <v>3.2444</v>
      </c>
      <c r="T167" s="23" t="n">
        <v>3.1404</v>
      </c>
      <c r="U167" s="24">
        <f>S167/T167-1</f>
        <v/>
      </c>
      <c r="V167" s="27" t="n">
        <v>1</v>
      </c>
      <c r="W167" s="24">
        <f>J167/R167-1</f>
        <v/>
      </c>
      <c r="X167" s="24">
        <f>J167/S167-1</f>
        <v/>
      </c>
      <c r="Y167" s="23" t="n">
        <v>0.1472</v>
      </c>
      <c r="Z167" s="28">
        <f>Y167/J167</f>
        <v/>
      </c>
      <c r="AA167" s="26">
        <f>(J167-R167)/Y167</f>
        <v/>
      </c>
      <c r="AB167" s="26">
        <f>(J167-S167)/Y167</f>
        <v/>
      </c>
      <c r="AC167" s="20">
        <f>IF(ABS(AA167)&lt;=ABS(AB167),"9EMA","21EMA")</f>
        <v/>
      </c>
      <c r="AD167" s="20" t="inlineStr">
        <is>
          <t>9EMA</t>
        </is>
      </c>
      <c r="AE167" s="20" t="inlineStr">
        <is>
          <t>持續在上方</t>
        </is>
      </c>
      <c r="AF167" s="20" t="inlineStr"/>
      <c r="AG167" s="20" t="inlineStr"/>
      <c r="AH167" s="20" t="inlineStr">
        <is>
          <t>✓</t>
        </is>
      </c>
      <c r="AI167" s="20" t="inlineStr">
        <is>
          <t>2026-09-22</t>
        </is>
      </c>
      <c r="AJ167" s="20" t="n">
        <v>7</v>
      </c>
      <c r="AK167" s="29" t="n">
        <v>3</v>
      </c>
      <c r="AL167" s="20" t="inlineStr">
        <is>
          <t>2026-09-16</t>
        </is>
      </c>
      <c r="AM167" s="23" t="n">
        <v>2.93</v>
      </c>
      <c r="AN167" s="23" t="n">
        <v>2.91</v>
      </c>
      <c r="AO167" s="24">
        <f>IF(ISNUMBER(AN167),AM167/AN167-1,"")</f>
        <v/>
      </c>
      <c r="AP167" s="29" t="n">
        <v>11</v>
      </c>
      <c r="AQ167" s="24">
        <f>IF(ISNUMBER(AM167),J167/AM167-1,"")</f>
        <v/>
      </c>
      <c r="AR167" s="23" t="n">
        <v>3.46</v>
      </c>
      <c r="AS167" s="24">
        <f>J167/AR167-1</f>
        <v/>
      </c>
      <c r="AT167" s="20" t="inlineStr">
        <is>
          <t>上傾擴張</t>
        </is>
      </c>
      <c r="AU167" s="30" t="n">
        <v>0.4264</v>
      </c>
      <c r="AV167" s="30" t="n">
        <v>0.0459</v>
      </c>
      <c r="AW167" s="30" t="n">
        <v>0.4887</v>
      </c>
      <c r="AX167" s="30" t="n">
        <v>0.4752</v>
      </c>
      <c r="AY167" s="29" t="n">
        <v>3</v>
      </c>
      <c r="AZ167" s="23" t="n">
        <v>3.52</v>
      </c>
      <c r="BA167" s="23" t="n">
        <v>2.91</v>
      </c>
      <c r="BB167" s="23" t="n">
        <v>3.2081</v>
      </c>
      <c r="BC167" s="30" t="n">
        <v>0.6976</v>
      </c>
      <c r="BD167" s="26">
        <f>IF(M167=N167,0.5,(J167-N167)/(M167-N167))</f>
        <v/>
      </c>
      <c r="BE167" s="31" t="n">
        <v>8.148999999999999</v>
      </c>
      <c r="BF167" s="31" t="n">
        <v>3.395</v>
      </c>
      <c r="BG167" s="32">
        <f>100*(0.4*MIN(1,MAX(0,((U167*100)-(0.0))/((2.5)-(0.0))))+0.3*MIN(1,MAX(0,((V167)-(0.6))/((1.0)-(0.6))))+0.3*MIN(1,MAX(0,((BE167)-(0.0))/((15.0)-(0.0)))))</f>
        <v/>
      </c>
      <c r="BH167" s="32">
        <f>100*(0.4*MIN(1,MAX(0,((MIN(ABS(AA167),ABS(AB167)))-(0.75))/((0.0)-(0.75))))+0.3*MIN(1,MAX(0,((BC167)-(1.2))/((0.6)-(1.2))))+0.3*BD167)</f>
        <v/>
      </c>
      <c r="BI167" s="32">
        <f>100*(0.5*MIN(1,MAX(0,((AK167)-(1.0))/((4.0)-(1.0))))+0.3*MIN(1,MAX(0,((IF(ISNUMBER(AO167),AO167,0)*100)-(0.0))/((8.0)-(0.0))))+0.2*MIN(1,MAX(0,((IF(ISNUMBER(AP167),AP167,0))-(25.0))/((5.0)-(25.0)))))</f>
        <v/>
      </c>
      <c r="BJ167" s="32">
        <f>100*(0.35*MIN(1,MAX(0,((ABS(AU167))-(0.3))/((0.05)-(0.3))))+0.3*MIN(1,MAX(0,((AV167)-(0.0))/((0.3)-(0.0))))+0.25*MIN(1,MAX(0,((AW167)-(0.4))/((0.7)-(0.4))))+0.1*IF(AY167&gt;=2,1,0.5))</f>
        <v/>
      </c>
      <c r="BK167" s="33">
        <f>0.25*BG167+0.25*BH167+0.2*BI167+0.3*BJ167</f>
        <v/>
      </c>
      <c r="BL167" s="20" t="inlineStr">
        <is>
          <t>C4 上升三角／重心偏上</t>
        </is>
      </c>
      <c r="BM167" s="20" t="inlineStr"/>
    </row>
    <row r="168">
      <c r="A168" s="20" t="n">
        <v>2</v>
      </c>
      <c r="B168" s="20" t="n">
        <v>67</v>
      </c>
      <c r="C168" s="21" t="inlineStr">
        <is>
          <t>AVTR</t>
        </is>
      </c>
      <c r="D168" s="20" t="inlineStr">
        <is>
          <t>Avantor Inc.</t>
        </is>
      </c>
      <c r="E168" s="20" t="inlineStr">
        <is>
          <t>NYSE</t>
        </is>
      </c>
      <c r="F168" s="20" t="inlineStr">
        <is>
          <t>工業</t>
        </is>
      </c>
      <c r="G168" s="20" t="inlineStr">
        <is>
          <t>Biotechnology: Laboratory Analytical Instruments</t>
        </is>
      </c>
      <c r="H168" s="22" t="n">
        <v>10.179</v>
      </c>
      <c r="I168" s="20" t="inlineStr">
        <is>
          <t>大型</t>
        </is>
      </c>
      <c r="J168" s="23" t="n">
        <v>15.03</v>
      </c>
      <c r="K168" s="23" t="n">
        <v>15.05</v>
      </c>
      <c r="L168" s="24">
        <f>J168/K168-1</f>
        <v/>
      </c>
      <c r="M168" s="23" t="n">
        <v>15.195</v>
      </c>
      <c r="N168" s="23" t="n">
        <v>14.57</v>
      </c>
      <c r="O168" s="25" t="n">
        <v>10567400</v>
      </c>
      <c r="P168" s="25" t="n">
        <v>9152200</v>
      </c>
      <c r="Q168" s="26">
        <f>O168/P168</f>
        <v/>
      </c>
      <c r="R168" s="23" t="n">
        <v>15.1501</v>
      </c>
      <c r="S168" s="23" t="n">
        <v>14.9952</v>
      </c>
      <c r="T168" s="23" t="n">
        <v>14.8953</v>
      </c>
      <c r="U168" s="24">
        <f>S168/T168-1</f>
        <v/>
      </c>
      <c r="V168" s="27" t="n">
        <v>0.9</v>
      </c>
      <c r="W168" s="24">
        <f>J168/R168-1</f>
        <v/>
      </c>
      <c r="X168" s="24">
        <f>J168/S168-1</f>
        <v/>
      </c>
      <c r="Y168" s="23" t="n">
        <v>0.4558</v>
      </c>
      <c r="Z168" s="28">
        <f>Y168/J168</f>
        <v/>
      </c>
      <c r="AA168" s="26">
        <f>(J168-R168)/Y168</f>
        <v/>
      </c>
      <c r="AB168" s="26">
        <f>(J168-S168)/Y168</f>
        <v/>
      </c>
      <c r="AC168" s="20">
        <f>IF(ABS(AA168)&lt;=ABS(AB168),"9EMA","21EMA")</f>
        <v/>
      </c>
      <c r="AD168" s="20" t="inlineStr">
        <is>
          <t>9+21EMA</t>
        </is>
      </c>
      <c r="AE168" s="20" t="inlineStr">
        <is>
          <t>持續在上方</t>
        </is>
      </c>
      <c r="AF168" s="20" t="inlineStr"/>
      <c r="AG168" s="20" t="inlineStr">
        <is>
          <t>✓</t>
        </is>
      </c>
      <c r="AH168" s="20" t="inlineStr"/>
      <c r="AI168" s="20" t="inlineStr">
        <is>
          <t>2026-05-27</t>
        </is>
      </c>
      <c r="AJ168" s="20" t="n">
        <v>88</v>
      </c>
      <c r="AK168" s="29" t="n">
        <v>7</v>
      </c>
      <c r="AL168" s="20" t="inlineStr">
        <is>
          <t>2026-09-24</t>
        </is>
      </c>
      <c r="AM168" s="23" t="n">
        <v>14.67</v>
      </c>
      <c r="AN168" s="23" t="n">
        <v>14.595</v>
      </c>
      <c r="AO168" s="24">
        <f>IF(ISNUMBER(AN168),AM168/AN168-1,"")</f>
        <v/>
      </c>
      <c r="AP168" s="29" t="n">
        <v>5</v>
      </c>
      <c r="AQ168" s="24">
        <f>IF(ISNUMBER(AM168),J168/AM168-1,"")</f>
        <v/>
      </c>
      <c r="AR168" s="23" t="n">
        <v>15.86</v>
      </c>
      <c r="AS168" s="24">
        <f>J168/AR168-1</f>
        <v/>
      </c>
      <c r="AT168" s="20" t="inlineStr">
        <is>
          <t>上傾擴張</t>
        </is>
      </c>
      <c r="AU168" s="30" t="n">
        <v>0.6415999999999999</v>
      </c>
      <c r="AV168" s="30" t="n">
        <v>0.1843</v>
      </c>
      <c r="AW168" s="30" t="n">
        <v>0.489</v>
      </c>
      <c r="AX168" s="30" t="n">
        <v>0.5419</v>
      </c>
      <c r="AY168" s="29" t="n">
        <v>3</v>
      </c>
      <c r="AZ168" s="23" t="n">
        <v>16.05</v>
      </c>
      <c r="BA168" s="23" t="n">
        <v>14.19</v>
      </c>
      <c r="BB168" s="23" t="n">
        <v>15.0995</v>
      </c>
      <c r="BC168" s="30" t="n">
        <v>1.1241</v>
      </c>
      <c r="BD168" s="26">
        <f>IF(M168=N168,0.5,(J168-N168)/(M168-N168))</f>
        <v/>
      </c>
      <c r="BE168" s="31" t="n">
        <v>10.599</v>
      </c>
      <c r="BF168" s="31" t="n">
        <v>5.845</v>
      </c>
      <c r="BG168" s="32">
        <f>100*(0.4*MIN(1,MAX(0,((U168*100)-(0.0))/((2.5)-(0.0))))+0.3*MIN(1,MAX(0,((V168)-(0.6))/((1.0)-(0.6))))+0.3*MIN(1,MAX(0,((BE168)-(0.0))/((15.0)-(0.0)))))</f>
        <v/>
      </c>
      <c r="BH168" s="32">
        <f>100*(0.4*MIN(1,MAX(0,((MIN(ABS(AA168),ABS(AB168)))-(0.75))/((0.0)-(0.75))))+0.3*MIN(1,MAX(0,((BC168)-(1.2))/((0.6)-(1.2))))+0.3*BD168)</f>
        <v/>
      </c>
      <c r="BI168" s="32">
        <f>100*(0.5*MIN(1,MAX(0,((AK168)-(1.0))/((4.0)-(1.0))))+0.3*MIN(1,MAX(0,((IF(ISNUMBER(AO168),AO168,0)*100)-(0.0))/((8.0)-(0.0))))+0.2*MIN(1,MAX(0,((IF(ISNUMBER(AP168),AP168,0))-(25.0))/((5.0)-(25.0)))))</f>
        <v/>
      </c>
      <c r="BJ168" s="32">
        <f>100*(0.35*MIN(1,MAX(0,((ABS(AU168))-(0.3))/((0.05)-(0.3))))+0.3*MIN(1,MAX(0,((AV168)-(0.0))/((0.3)-(0.0))))+0.25*MIN(1,MAX(0,((AW168)-(0.4))/((0.7)-(0.4))))+0.1*IF(AY168&gt;=2,1,0.5))</f>
        <v/>
      </c>
      <c r="BK168" s="33">
        <f>0.25*BG168+0.25*BH168+0.2*BI168+0.3*BJ168</f>
        <v/>
      </c>
      <c r="BL168" s="20" t="inlineStr">
        <is>
          <t>C4 上升三角／重心偏上</t>
        </is>
      </c>
      <c r="BM168" s="20" t="inlineStr"/>
    </row>
    <row r="169">
      <c r="A169" s="20" t="n">
        <v>2</v>
      </c>
      <c r="B169" s="20" t="n">
        <v>68</v>
      </c>
      <c r="C169" s="21" t="inlineStr">
        <is>
          <t>CEVA</t>
        </is>
      </c>
      <c r="D169" s="20" t="inlineStr">
        <is>
          <t>CEVA Inc.</t>
        </is>
      </c>
      <c r="E169" s="20" t="inlineStr">
        <is>
          <t>NASDAQ</t>
        </is>
      </c>
      <c r="F169" s="20" t="inlineStr">
        <is>
          <t>科技</t>
        </is>
      </c>
      <c r="G169" s="20" t="inlineStr">
        <is>
          <t>Computer Software: Programming Data Processing</t>
        </is>
      </c>
      <c r="H169" s="22" t="n">
        <v>0.995</v>
      </c>
      <c r="I169" s="20" t="inlineStr">
        <is>
          <t>小型</t>
        </is>
      </c>
      <c r="J169" s="23" t="n">
        <v>35.52</v>
      </c>
      <c r="K169" s="23" t="n">
        <v>35.33</v>
      </c>
      <c r="L169" s="24">
        <f>J169/K169-1</f>
        <v/>
      </c>
      <c r="M169" s="23" t="n">
        <v>36.13</v>
      </c>
      <c r="N169" s="23" t="n">
        <v>34.83</v>
      </c>
      <c r="O169" s="25" t="n">
        <v>418900</v>
      </c>
      <c r="P169" s="25" t="n">
        <v>656730</v>
      </c>
      <c r="Q169" s="26">
        <f>O169/P169</f>
        <v/>
      </c>
      <c r="R169" s="23" t="n">
        <v>34.0376</v>
      </c>
      <c r="S169" s="23" t="n">
        <v>32.2101</v>
      </c>
      <c r="T169" s="23" t="n">
        <v>30.3637</v>
      </c>
      <c r="U169" s="24">
        <f>S169/T169-1</f>
        <v/>
      </c>
      <c r="V169" s="27" t="n">
        <v>1</v>
      </c>
      <c r="W169" s="24">
        <f>J169/R169-1</f>
        <v/>
      </c>
      <c r="X169" s="24">
        <f>J169/S169-1</f>
        <v/>
      </c>
      <c r="Y169" s="23" t="n">
        <v>1.7544</v>
      </c>
      <c r="Z169" s="28">
        <f>Y169/J169</f>
        <v/>
      </c>
      <c r="AA169" s="26">
        <f>(J169-R169)/Y169</f>
        <v/>
      </c>
      <c r="AB169" s="26">
        <f>(J169-S169)/Y169</f>
        <v/>
      </c>
      <c r="AC169" s="20">
        <f>IF(ABS(AA169)&lt;=ABS(AB169),"9EMA","21EMA")</f>
        <v/>
      </c>
      <c r="AD169" s="20" t="inlineStr">
        <is>
          <t>—</t>
        </is>
      </c>
      <c r="AE169" s="20" t="inlineStr">
        <is>
          <t>持續在上方</t>
        </is>
      </c>
      <c r="AF169" s="20" t="inlineStr"/>
      <c r="AG169" s="20" t="inlineStr"/>
      <c r="AH169" s="20" t="inlineStr"/>
      <c r="AI169" s="20" t="inlineStr">
        <is>
          <t>2026-09-21</t>
        </is>
      </c>
      <c r="AJ169" s="20" t="n">
        <v>8</v>
      </c>
      <c r="AK169" s="29" t="n">
        <v>2</v>
      </c>
      <c r="AL169" s="20" t="inlineStr">
        <is>
          <t>2026-09-16</t>
        </is>
      </c>
      <c r="AM169" s="23" t="n">
        <v>26.88</v>
      </c>
      <c r="AN169" s="23" t="n">
        <v>25.25</v>
      </c>
      <c r="AO169" s="24">
        <f>IF(ISNUMBER(AN169),AM169/AN169-1,"")</f>
        <v/>
      </c>
      <c r="AP169" s="29" t="n">
        <v>11</v>
      </c>
      <c r="AQ169" s="24">
        <f>IF(ISNUMBER(AM169),J169/AM169-1,"")</f>
        <v/>
      </c>
      <c r="AR169" s="23" t="n">
        <v>36.2</v>
      </c>
      <c r="AS169" s="24">
        <f>J169/AR169-1</f>
        <v/>
      </c>
      <c r="AT169" s="20" t="inlineStr">
        <is>
          <t>上傾擴張</t>
        </is>
      </c>
      <c r="AU169" s="30" t="n">
        <v>1.0952</v>
      </c>
      <c r="AV169" s="30" t="n">
        <v>0.5736</v>
      </c>
      <c r="AW169" s="30" t="n">
        <v>0.4679</v>
      </c>
      <c r="AX169" s="30" t="n">
        <v>0.4282</v>
      </c>
      <c r="AY169" s="29" t="n">
        <v>2</v>
      </c>
      <c r="AZ169" s="23" t="n">
        <v>36.47</v>
      </c>
      <c r="BA169" s="23" t="n">
        <v>25.25</v>
      </c>
      <c r="BB169" s="23" t="n">
        <v>30.4996</v>
      </c>
      <c r="BC169" s="30" t="n">
        <v>1.1568</v>
      </c>
      <c r="BD169" s="26">
        <f>IF(M169=N169,0.5,(J169-N169)/(M169-N169))</f>
        <v/>
      </c>
      <c r="BE169" s="31" t="n">
        <v>40.172</v>
      </c>
      <c r="BF169" s="31" t="n">
        <v>35.417</v>
      </c>
      <c r="BG169" s="32">
        <f>100*(0.4*MIN(1,MAX(0,((U169*100)-(0.0))/((2.5)-(0.0))))+0.3*MIN(1,MAX(0,((V169)-(0.6))/((1.0)-(0.6))))+0.3*MIN(1,MAX(0,((BE169)-(0.0))/((15.0)-(0.0)))))</f>
        <v/>
      </c>
      <c r="BH169" s="32">
        <f>100*(0.4*MIN(1,MAX(0,((MIN(ABS(AA169),ABS(AB169)))-(0.75))/((0.0)-(0.75))))+0.3*MIN(1,MAX(0,((BC169)-(1.2))/((0.6)-(1.2))))+0.3*BD169)</f>
        <v/>
      </c>
      <c r="BI169" s="32">
        <f>100*(0.5*MIN(1,MAX(0,((AK169)-(1.0))/((4.0)-(1.0))))+0.3*MIN(1,MAX(0,((IF(ISNUMBER(AO169),AO169,0)*100)-(0.0))/((8.0)-(0.0))))+0.2*MIN(1,MAX(0,((IF(ISNUMBER(AP169),AP169,0))-(25.0))/((5.0)-(25.0)))))</f>
        <v/>
      </c>
      <c r="BJ169" s="32">
        <f>100*(0.35*MIN(1,MAX(0,((ABS(AU169))-(0.3))/((0.05)-(0.3))))+0.3*MIN(1,MAX(0,((AV169)-(0.0))/((0.3)-(0.0))))+0.25*MIN(1,MAX(0,((AW169)-(0.4))/((0.7)-(0.4))))+0.1*IF(AY169&gt;=2,1,0.5))</f>
        <v/>
      </c>
      <c r="BK169" s="33">
        <f>0.25*BG169+0.25*BH169+0.2*BI169+0.3*BJ169</f>
        <v/>
      </c>
      <c r="BL169" s="20" t="inlineStr">
        <is>
          <t>C4 上升三角／重心偏上</t>
        </is>
      </c>
      <c r="BM169" s="20" t="inlineStr"/>
    </row>
    <row r="170">
      <c r="A170" s="20" t="n">
        <v>2</v>
      </c>
      <c r="B170" s="20" t="n">
        <v>69</v>
      </c>
      <c r="C170" s="21" t="inlineStr">
        <is>
          <t>MSFT</t>
        </is>
      </c>
      <c r="D170" s="20" t="inlineStr">
        <is>
          <t>Microsoft Corporation</t>
        </is>
      </c>
      <c r="E170" s="20" t="inlineStr">
        <is>
          <t>NASDAQ</t>
        </is>
      </c>
      <c r="F170" s="20" t="inlineStr">
        <is>
          <t>科技</t>
        </is>
      </c>
      <c r="G170" s="20" t="inlineStr">
        <is>
          <t>Computer Software: Prepackaged Software</t>
        </is>
      </c>
      <c r="H170" s="22" t="n">
        <v>3808.562</v>
      </c>
      <c r="I170" s="20" t="inlineStr">
        <is>
          <t>大型</t>
        </is>
      </c>
      <c r="J170" s="23" t="n">
        <v>512.8</v>
      </c>
      <c r="K170" s="23" t="n">
        <v>512.9</v>
      </c>
      <c r="L170" s="24">
        <f>J170/K170-1</f>
        <v/>
      </c>
      <c r="M170" s="23" t="n">
        <v>522.85</v>
      </c>
      <c r="N170" s="23" t="n">
        <v>512.17</v>
      </c>
      <c r="O170" s="25" t="n">
        <v>19696600</v>
      </c>
      <c r="P170" s="25" t="n">
        <v>21568360</v>
      </c>
      <c r="Q170" s="26">
        <f>O170/P170</f>
        <v/>
      </c>
      <c r="R170" s="23" t="n">
        <v>507.387</v>
      </c>
      <c r="S170" s="23" t="n">
        <v>501.3281</v>
      </c>
      <c r="T170" s="23" t="n">
        <v>494.8325</v>
      </c>
      <c r="U170" s="24">
        <f>S170/T170-1</f>
        <v/>
      </c>
      <c r="V170" s="27" t="n">
        <v>1</v>
      </c>
      <c r="W170" s="24">
        <f>J170/R170-1</f>
        <v/>
      </c>
      <c r="X170" s="24">
        <f>J170/S170-1</f>
        <v/>
      </c>
      <c r="Y170" s="23" t="n">
        <v>11.7308</v>
      </c>
      <c r="Z170" s="28">
        <f>Y170/J170</f>
        <v/>
      </c>
      <c r="AA170" s="26">
        <f>(J170-R170)/Y170</f>
        <v/>
      </c>
      <c r="AB170" s="26">
        <f>(J170-S170)/Y170</f>
        <v/>
      </c>
      <c r="AC170" s="20">
        <f>IF(ABS(AA170)&lt;=ABS(AB170),"9EMA","21EMA")</f>
        <v/>
      </c>
      <c r="AD170" s="20" t="inlineStr">
        <is>
          <t>9EMA</t>
        </is>
      </c>
      <c r="AE170" s="20" t="inlineStr">
        <is>
          <t>持續在上方</t>
        </is>
      </c>
      <c r="AF170" s="20" t="inlineStr"/>
      <c r="AG170" s="20" t="inlineStr"/>
      <c r="AH170" s="20" t="inlineStr">
        <is>
          <t>✓</t>
        </is>
      </c>
      <c r="AI170" s="20" t="inlineStr">
        <is>
          <t>2026-07-28</t>
        </is>
      </c>
      <c r="AJ170" s="20" t="n">
        <v>46</v>
      </c>
      <c r="AK170" s="29" t="n">
        <v>6</v>
      </c>
      <c r="AL170" s="20" t="inlineStr">
        <is>
          <t>2026-09-24</t>
        </is>
      </c>
      <c r="AM170" s="23" t="n">
        <v>491.22</v>
      </c>
      <c r="AN170" s="23" t="n">
        <v>487.23</v>
      </c>
      <c r="AO170" s="24">
        <f>IF(ISNUMBER(AN170),AM170/AN170-1,"")</f>
        <v/>
      </c>
      <c r="AP170" s="29" t="n">
        <v>5</v>
      </c>
      <c r="AQ170" s="24">
        <f>IF(ISNUMBER(AM170),J170/AM170-1,"")</f>
        <v/>
      </c>
      <c r="AR170" s="23" t="n">
        <v>516.17</v>
      </c>
      <c r="AS170" s="24">
        <f>J170/AR170-1</f>
        <v/>
      </c>
      <c r="AT170" s="20" t="inlineStr">
        <is>
          <t>對稱三角</t>
        </is>
      </c>
      <c r="AU170" s="30" t="n">
        <v>-0.1553</v>
      </c>
      <c r="AV170" s="30" t="n">
        <v>0.104</v>
      </c>
      <c r="AW170" s="30" t="n">
        <v>0.4654</v>
      </c>
      <c r="AX170" s="30" t="n">
        <v>0.4967</v>
      </c>
      <c r="AY170" s="29" t="n">
        <v>5</v>
      </c>
      <c r="AZ170" s="23" t="n">
        <v>522.85</v>
      </c>
      <c r="BA170" s="23" t="n">
        <v>486</v>
      </c>
      <c r="BB170" s="23" t="n">
        <v>503.1486</v>
      </c>
      <c r="BC170" s="30" t="n">
        <v>0.819</v>
      </c>
      <c r="BD170" s="26">
        <f>IF(M170=N170,0.5,(J170-N170)/(M170-N170))</f>
        <v/>
      </c>
      <c r="BE170" s="31" t="n">
        <v>7.105</v>
      </c>
      <c r="BF170" s="31" t="n">
        <v>2.351</v>
      </c>
      <c r="BG170" s="32">
        <f>100*(0.4*MIN(1,MAX(0,((U170*100)-(0.0))/((2.5)-(0.0))))+0.3*MIN(1,MAX(0,((V170)-(0.6))/((1.0)-(0.6))))+0.3*MIN(1,MAX(0,((BE170)-(0.0))/((15.0)-(0.0)))))</f>
        <v/>
      </c>
      <c r="BH170" s="32">
        <f>100*(0.4*MIN(1,MAX(0,((MIN(ABS(AA170),ABS(AB170)))-(0.75))/((0.0)-(0.75))))+0.3*MIN(1,MAX(0,((BC170)-(1.2))/((0.6)-(1.2))))+0.3*BD170)</f>
        <v/>
      </c>
      <c r="BI170" s="32">
        <f>100*(0.5*MIN(1,MAX(0,((AK170)-(1.0))/((4.0)-(1.0))))+0.3*MIN(1,MAX(0,((IF(ISNUMBER(AO170),AO170,0)*100)-(0.0))/((8.0)-(0.0))))+0.2*MIN(1,MAX(0,((IF(ISNUMBER(AP170),AP170,0))-(25.0))/((5.0)-(25.0)))))</f>
        <v/>
      </c>
      <c r="BJ170" s="32">
        <f>100*(0.35*MIN(1,MAX(0,((ABS(AU170))-(0.3))/((0.05)-(0.3))))+0.3*MIN(1,MAX(0,((AV170)-(0.0))/((0.3)-(0.0))))+0.25*MIN(1,MAX(0,((AW170)-(0.4))/((0.7)-(0.4))))+0.1*IF(AY170&gt;=2,1,0.5))</f>
        <v/>
      </c>
      <c r="BK170" s="33">
        <f>0.25*BG170+0.25*BH170+0.2*BI170+0.3*BJ170</f>
        <v/>
      </c>
      <c r="BL170" s="20" t="inlineStr">
        <is>
          <t>C4 上升三角／重心偏上</t>
        </is>
      </c>
      <c r="BM170" s="20" t="inlineStr"/>
    </row>
    <row r="171">
      <c r="A171" s="20" t="n">
        <v>2</v>
      </c>
      <c r="B171" s="20" t="n">
        <v>70</v>
      </c>
      <c r="C171" s="21" t="inlineStr">
        <is>
          <t>LYTS</t>
        </is>
      </c>
      <c r="D171" s="20" t="inlineStr">
        <is>
          <t>LSI Industries Inc.</t>
        </is>
      </c>
      <c r="E171" s="20" t="inlineStr">
        <is>
          <t>NASDAQ</t>
        </is>
      </c>
      <c r="F171" s="20" t="inlineStr">
        <is>
          <t>非必需消費</t>
        </is>
      </c>
      <c r="G171" s="20" t="inlineStr">
        <is>
          <t>Building Products</t>
        </is>
      </c>
      <c r="H171" s="22" t="n">
        <v>0.773</v>
      </c>
      <c r="I171" s="20" t="inlineStr">
        <is>
          <t>小型</t>
        </is>
      </c>
      <c r="J171" s="23" t="n">
        <v>20.94</v>
      </c>
      <c r="K171" s="23" t="n">
        <v>20.75</v>
      </c>
      <c r="L171" s="24">
        <f>J171/K171-1</f>
        <v/>
      </c>
      <c r="M171" s="23" t="n">
        <v>21.1</v>
      </c>
      <c r="N171" s="23" t="n">
        <v>20.54</v>
      </c>
      <c r="O171" s="25" t="n">
        <v>281400</v>
      </c>
      <c r="P171" s="25" t="n">
        <v>402590</v>
      </c>
      <c r="Q171" s="26">
        <f>O171/P171</f>
        <v/>
      </c>
      <c r="R171" s="23" t="n">
        <v>20.7441</v>
      </c>
      <c r="S171" s="23" t="n">
        <v>20.7318</v>
      </c>
      <c r="T171" s="23" t="n">
        <v>20.6261</v>
      </c>
      <c r="U171" s="24">
        <f>S171/T171-1</f>
        <v/>
      </c>
      <c r="V171" s="27" t="n">
        <v>0.7</v>
      </c>
      <c r="W171" s="24">
        <f>J171/R171-1</f>
        <v/>
      </c>
      <c r="X171" s="24">
        <f>J171/S171-1</f>
        <v/>
      </c>
      <c r="Y171" s="23" t="n">
        <v>0.7027</v>
      </c>
      <c r="Z171" s="28">
        <f>Y171/J171</f>
        <v/>
      </c>
      <c r="AA171" s="26">
        <f>(J171-R171)/Y171</f>
        <v/>
      </c>
      <c r="AB171" s="26">
        <f>(J171-S171)/Y171</f>
        <v/>
      </c>
      <c r="AC171" s="20">
        <f>IF(ABS(AA171)&lt;=ABS(AB171),"9EMA","21EMA")</f>
        <v/>
      </c>
      <c r="AD171" s="20" t="inlineStr">
        <is>
          <t>9+21EMA</t>
        </is>
      </c>
      <c r="AE171" s="19" t="inlineStr">
        <is>
          <t>剛黃金交叉</t>
        </is>
      </c>
      <c r="AF171" s="20" t="inlineStr">
        <is>
          <t>✓</t>
        </is>
      </c>
      <c r="AG171" s="20" t="inlineStr"/>
      <c r="AH171" s="20" t="inlineStr">
        <is>
          <t>✓</t>
        </is>
      </c>
      <c r="AI171" s="20" t="inlineStr">
        <is>
          <t>2026-10-01</t>
        </is>
      </c>
      <c r="AJ171" s="20" t="n">
        <v>0</v>
      </c>
      <c r="AK171" s="29" t="n">
        <v>2</v>
      </c>
      <c r="AL171" s="20" t="inlineStr">
        <is>
          <t>2026-09-24</t>
        </is>
      </c>
      <c r="AM171" s="23" t="n">
        <v>19.94</v>
      </c>
      <c r="AN171" s="23" t="n">
        <v>19.11</v>
      </c>
      <c r="AO171" s="24">
        <f>IF(ISNUMBER(AN171),AM171/AN171-1,"")</f>
        <v/>
      </c>
      <c r="AP171" s="29" t="n">
        <v>5</v>
      </c>
      <c r="AQ171" s="24">
        <f>IF(ISNUMBER(AM171),J171/AM171-1,"")</f>
        <v/>
      </c>
      <c r="AR171" s="23" t="n">
        <v>21.09</v>
      </c>
      <c r="AS171" s="24">
        <f>J171/AR171-1</f>
        <v/>
      </c>
      <c r="AT171" s="20" t="inlineStr">
        <is>
          <t>上升通道</t>
        </is>
      </c>
      <c r="AU171" s="30" t="n">
        <v>0.2333</v>
      </c>
      <c r="AV171" s="30" t="n">
        <v>0.2363</v>
      </c>
      <c r="AW171" s="30" t="n">
        <v>0.4781</v>
      </c>
      <c r="AX171" s="30" t="n">
        <v>0.4334</v>
      </c>
      <c r="AY171" s="29" t="n">
        <v>3</v>
      </c>
      <c r="AZ171" s="23" t="n">
        <v>21.45</v>
      </c>
      <c r="BA171" s="23" t="n">
        <v>19.11</v>
      </c>
      <c r="BB171" s="23" t="n">
        <v>20.2288</v>
      </c>
      <c r="BC171" s="30" t="n">
        <v>0.6438</v>
      </c>
      <c r="BD171" s="26">
        <f>IF(M171=N171,0.5,(J171-N171)/(M171-N171))</f>
        <v/>
      </c>
      <c r="BE171" s="31" t="n">
        <v>11.482</v>
      </c>
      <c r="BF171" s="31" t="n">
        <v>6.728</v>
      </c>
      <c r="BG171" s="32">
        <f>100*(0.4*MIN(1,MAX(0,((U171*100)-(0.0))/((2.5)-(0.0))))+0.3*MIN(1,MAX(0,((V171)-(0.6))/((1.0)-(0.6))))+0.3*MIN(1,MAX(0,((BE171)-(0.0))/((15.0)-(0.0)))))</f>
        <v/>
      </c>
      <c r="BH171" s="32">
        <f>100*(0.4*MIN(1,MAX(0,((MIN(ABS(AA171),ABS(AB171)))-(0.75))/((0.0)-(0.75))))+0.3*MIN(1,MAX(0,((BC171)-(1.2))/((0.6)-(1.2))))+0.3*BD171)</f>
        <v/>
      </c>
      <c r="BI171" s="32">
        <f>100*(0.5*MIN(1,MAX(0,((AK171)-(1.0))/((4.0)-(1.0))))+0.3*MIN(1,MAX(0,((IF(ISNUMBER(AO171),AO171,0)*100)-(0.0))/((8.0)-(0.0))))+0.2*MIN(1,MAX(0,((IF(ISNUMBER(AP171),AP171,0))-(25.0))/((5.0)-(25.0)))))</f>
        <v/>
      </c>
      <c r="BJ171" s="32">
        <f>100*(0.35*MIN(1,MAX(0,((ABS(AU171))-(0.3))/((0.05)-(0.3))))+0.3*MIN(1,MAX(0,((AV171)-(0.0))/((0.3)-(0.0))))+0.25*MIN(1,MAX(0,((AW171)-(0.4))/((0.7)-(0.4))))+0.1*IF(AY171&gt;=2,1,0.5))</f>
        <v/>
      </c>
      <c r="BK171" s="33">
        <f>0.25*BG171+0.25*BH171+0.2*BI171+0.3*BJ171</f>
        <v/>
      </c>
      <c r="BL171" s="20" t="inlineStr">
        <is>
          <t>C4 上升三角／重心偏上</t>
        </is>
      </c>
      <c r="BM171" s="20" t="inlineStr"/>
    </row>
    <row r="172">
      <c r="A172" s="20" t="n">
        <v>2</v>
      </c>
      <c r="B172" s="20" t="n">
        <v>71</v>
      </c>
      <c r="C172" s="21" t="inlineStr">
        <is>
          <t>LPG</t>
        </is>
      </c>
      <c r="D172" s="20" t="inlineStr">
        <is>
          <t>Dorian LPG Ltd.</t>
        </is>
      </c>
      <c r="E172" s="20" t="inlineStr">
        <is>
          <t>NYSE</t>
        </is>
      </c>
      <c r="F172" s="20" t="inlineStr">
        <is>
          <t>非必需消費</t>
        </is>
      </c>
      <c r="G172" s="20" t="inlineStr">
        <is>
          <t>Marine Transportation</t>
        </is>
      </c>
      <c r="H172" s="22" t="n">
        <v>2.356</v>
      </c>
      <c r="I172" s="20" t="inlineStr">
        <is>
          <t>中型</t>
        </is>
      </c>
      <c r="J172" s="23" t="n">
        <v>56.59</v>
      </c>
      <c r="K172" s="23" t="n">
        <v>55.06</v>
      </c>
      <c r="L172" s="24">
        <f>J172/K172-1</f>
        <v/>
      </c>
      <c r="M172" s="23" t="n">
        <v>56.75</v>
      </c>
      <c r="N172" s="23" t="n">
        <v>54.1</v>
      </c>
      <c r="O172" s="25" t="n">
        <v>664600</v>
      </c>
      <c r="P172" s="25" t="n">
        <v>632340</v>
      </c>
      <c r="Q172" s="26">
        <f>O172/P172</f>
        <v/>
      </c>
      <c r="R172" s="23" t="n">
        <v>55.0276</v>
      </c>
      <c r="S172" s="23" t="n">
        <v>54.1439</v>
      </c>
      <c r="T172" s="23" t="n">
        <v>53.701</v>
      </c>
      <c r="U172" s="24">
        <f>S172/T172-1</f>
        <v/>
      </c>
      <c r="V172" s="27" t="n">
        <v>0.7</v>
      </c>
      <c r="W172" s="24">
        <f>J172/R172-1</f>
        <v/>
      </c>
      <c r="X172" s="24">
        <f>J172/S172-1</f>
        <v/>
      </c>
      <c r="Y172" s="23" t="n">
        <v>2.0888</v>
      </c>
      <c r="Z172" s="28">
        <f>Y172/J172</f>
        <v/>
      </c>
      <c r="AA172" s="26">
        <f>(J172-R172)/Y172</f>
        <v/>
      </c>
      <c r="AB172" s="26">
        <f>(J172-S172)/Y172</f>
        <v/>
      </c>
      <c r="AC172" s="20">
        <f>IF(ABS(AA172)&lt;=ABS(AB172),"9EMA","21EMA")</f>
        <v/>
      </c>
      <c r="AD172" s="20" t="inlineStr">
        <is>
          <t>9+21EMA</t>
        </is>
      </c>
      <c r="AE172" s="20" t="inlineStr">
        <is>
          <t>持續在上方</t>
        </is>
      </c>
      <c r="AF172" s="20" t="inlineStr"/>
      <c r="AG172" s="20" t="inlineStr"/>
      <c r="AH172" s="20" t="inlineStr">
        <is>
          <t>✓</t>
        </is>
      </c>
      <c r="AI172" s="20" t="inlineStr">
        <is>
          <t>2026-07-14</t>
        </is>
      </c>
      <c r="AJ172" s="20" t="n">
        <v>56</v>
      </c>
      <c r="AK172" s="29" t="n">
        <v>3</v>
      </c>
      <c r="AL172" s="20" t="inlineStr">
        <is>
          <t>2026-09-23</t>
        </is>
      </c>
      <c r="AM172" s="23" t="n">
        <v>52.09</v>
      </c>
      <c r="AN172" s="23" t="n">
        <v>47.5</v>
      </c>
      <c r="AO172" s="24">
        <f>IF(ISNUMBER(AN172),AM172/AN172-1,"")</f>
        <v/>
      </c>
      <c r="AP172" s="29" t="n">
        <v>6</v>
      </c>
      <c r="AQ172" s="24">
        <f>IF(ISNUMBER(AM172),J172/AM172-1,"")</f>
        <v/>
      </c>
      <c r="AR172" s="23" t="n">
        <v>58.31</v>
      </c>
      <c r="AS172" s="24">
        <f>J172/AR172-1</f>
        <v/>
      </c>
      <c r="AT172" s="20" t="inlineStr">
        <is>
          <t>上傾擴張</t>
        </is>
      </c>
      <c r="AU172" s="30" t="n">
        <v>1.036</v>
      </c>
      <c r="AV172" s="30" t="n">
        <v>0.3405</v>
      </c>
      <c r="AW172" s="30" t="n">
        <v>0.5312</v>
      </c>
      <c r="AX172" s="30" t="n">
        <v>0.5779</v>
      </c>
      <c r="AY172" s="29" t="n">
        <v>2</v>
      </c>
      <c r="AZ172" s="23" t="n">
        <v>59.97</v>
      </c>
      <c r="BA172" s="23" t="n">
        <v>48.298</v>
      </c>
      <c r="BB172" s="23" t="n">
        <v>54.4981</v>
      </c>
      <c r="BC172" s="30" t="n">
        <v>1.0288</v>
      </c>
      <c r="BD172" s="26">
        <f>IF(M172=N172,0.5,(J172-N172)/(M172-N172))</f>
        <v/>
      </c>
      <c r="BE172" s="31" t="n">
        <v>16.02</v>
      </c>
      <c r="BF172" s="31" t="n">
        <v>11.266</v>
      </c>
      <c r="BG172" s="32">
        <f>100*(0.4*MIN(1,MAX(0,((U172*100)-(0.0))/((2.5)-(0.0))))+0.3*MIN(1,MAX(0,((V172)-(0.6))/((1.0)-(0.6))))+0.3*MIN(1,MAX(0,((BE172)-(0.0))/((15.0)-(0.0)))))</f>
        <v/>
      </c>
      <c r="BH172" s="32">
        <f>100*(0.4*MIN(1,MAX(0,((MIN(ABS(AA172),ABS(AB172)))-(0.75))/((0.0)-(0.75))))+0.3*MIN(1,MAX(0,((BC172)-(1.2))/((0.6)-(1.2))))+0.3*BD172)</f>
        <v/>
      </c>
      <c r="BI172" s="32">
        <f>100*(0.5*MIN(1,MAX(0,((AK172)-(1.0))/((4.0)-(1.0))))+0.3*MIN(1,MAX(0,((IF(ISNUMBER(AO172),AO172,0)*100)-(0.0))/((8.0)-(0.0))))+0.2*MIN(1,MAX(0,((IF(ISNUMBER(AP172),AP172,0))-(25.0))/((5.0)-(25.0)))))</f>
        <v/>
      </c>
      <c r="BJ172" s="32">
        <f>100*(0.35*MIN(1,MAX(0,((ABS(AU172))-(0.3))/((0.05)-(0.3))))+0.3*MIN(1,MAX(0,((AV172)-(0.0))/((0.3)-(0.0))))+0.25*MIN(1,MAX(0,((AW172)-(0.4))/((0.7)-(0.4))))+0.1*IF(AY172&gt;=2,1,0.5))</f>
        <v/>
      </c>
      <c r="BK172" s="33">
        <f>0.25*BG172+0.25*BH172+0.2*BI172+0.3*BJ172</f>
        <v/>
      </c>
      <c r="BL172" s="20" t="inlineStr">
        <is>
          <t>C4 上升三角／重心偏上</t>
        </is>
      </c>
      <c r="BM172" s="20" t="inlineStr"/>
    </row>
    <row r="173">
      <c r="A173" s="20" t="n">
        <v>2</v>
      </c>
      <c r="B173" s="20" t="n">
        <v>72</v>
      </c>
      <c r="C173" s="21" t="inlineStr">
        <is>
          <t>PLXS</t>
        </is>
      </c>
      <c r="D173" s="20" t="inlineStr">
        <is>
          <t>Plexus Corp.</t>
        </is>
      </c>
      <c r="E173" s="20" t="inlineStr">
        <is>
          <t>NASDAQ</t>
        </is>
      </c>
      <c r="F173" s="20" t="inlineStr">
        <is>
          <t>科技</t>
        </is>
      </c>
      <c r="G173" s="20" t="inlineStr">
        <is>
          <t>Electrical Products</t>
        </is>
      </c>
      <c r="H173" s="22" t="n">
        <v>6.955</v>
      </c>
      <c r="I173" s="20" t="inlineStr">
        <is>
          <t>中型</t>
        </is>
      </c>
      <c r="J173" s="23" t="n">
        <v>270.27</v>
      </c>
      <c r="K173" s="23" t="n">
        <v>260.95</v>
      </c>
      <c r="L173" s="24">
        <f>J173/K173-1</f>
        <v/>
      </c>
      <c r="M173" s="23" t="n">
        <v>270.44</v>
      </c>
      <c r="N173" s="23" t="n">
        <v>259.57</v>
      </c>
      <c r="O173" s="25" t="n">
        <v>194400</v>
      </c>
      <c r="P173" s="25" t="n">
        <v>213650</v>
      </c>
      <c r="Q173" s="26">
        <f>O173/P173</f>
        <v/>
      </c>
      <c r="R173" s="23" t="n">
        <v>261.9132</v>
      </c>
      <c r="S173" s="23" t="n">
        <v>256.483</v>
      </c>
      <c r="T173" s="23" t="n">
        <v>251.1095</v>
      </c>
      <c r="U173" s="24">
        <f>S173/T173-1</f>
        <v/>
      </c>
      <c r="V173" s="27" t="n">
        <v>1</v>
      </c>
      <c r="W173" s="24">
        <f>J173/R173-1</f>
        <v/>
      </c>
      <c r="X173" s="24">
        <f>J173/S173-1</f>
        <v/>
      </c>
      <c r="Y173" s="23" t="n">
        <v>8.3505</v>
      </c>
      <c r="Z173" s="28">
        <f>Y173/J173</f>
        <v/>
      </c>
      <c r="AA173" s="26">
        <f>(J173-R173)/Y173</f>
        <v/>
      </c>
      <c r="AB173" s="26">
        <f>(J173-S173)/Y173</f>
        <v/>
      </c>
      <c r="AC173" s="20">
        <f>IF(ABS(AA173)&lt;=ABS(AB173),"9EMA","21EMA")</f>
        <v/>
      </c>
      <c r="AD173" s="20" t="inlineStr">
        <is>
          <t>9EMA</t>
        </is>
      </c>
      <c r="AE173" s="20" t="inlineStr">
        <is>
          <t>持續在上方</t>
        </is>
      </c>
      <c r="AF173" s="20" t="inlineStr"/>
      <c r="AG173" s="20" t="inlineStr"/>
      <c r="AH173" s="20" t="inlineStr"/>
      <c r="AI173" s="20" t="inlineStr">
        <is>
          <t>2026-09-22</t>
        </is>
      </c>
      <c r="AJ173" s="20" t="n">
        <v>7</v>
      </c>
      <c r="AK173" s="29" t="n">
        <v>4</v>
      </c>
      <c r="AL173" s="20" t="inlineStr">
        <is>
          <t>2026-09-15</t>
        </is>
      </c>
      <c r="AM173" s="23" t="n">
        <v>236.58</v>
      </c>
      <c r="AN173" s="23" t="n">
        <v>234.4</v>
      </c>
      <c r="AO173" s="24">
        <f>IF(ISNUMBER(AN173),AM173/AN173-1,"")</f>
        <v/>
      </c>
      <c r="AP173" s="29" t="n">
        <v>12</v>
      </c>
      <c r="AQ173" s="24">
        <f>IF(ISNUMBER(AM173),J173/AM173-1,"")</f>
        <v/>
      </c>
      <c r="AR173" s="23" t="n">
        <v>270.27</v>
      </c>
      <c r="AS173" s="24">
        <f>J173/AR173-1</f>
        <v/>
      </c>
      <c r="AT173" s="20" t="inlineStr">
        <is>
          <t>上傾擴張</t>
        </is>
      </c>
      <c r="AU173" s="30" t="n">
        <v>0.4854</v>
      </c>
      <c r="AV173" s="30" t="n">
        <v>0.0896</v>
      </c>
      <c r="AW173" s="30" t="n">
        <v>0.4546</v>
      </c>
      <c r="AX173" s="30" t="n">
        <v>0.386</v>
      </c>
      <c r="AY173" s="29" t="n">
        <v>4</v>
      </c>
      <c r="AZ173" s="23" t="n">
        <v>270.44</v>
      </c>
      <c r="BA173" s="23" t="n">
        <v>234.4</v>
      </c>
      <c r="BB173" s="23" t="n">
        <v>250.7827</v>
      </c>
      <c r="BC173" s="30" t="n">
        <v>1.0187</v>
      </c>
      <c r="BD173" s="26">
        <f>IF(M173=N173,0.5,(J173-N173)/(M173-N173))</f>
        <v/>
      </c>
      <c r="BE173" s="31" t="n">
        <v>18.042</v>
      </c>
      <c r="BF173" s="31" t="n">
        <v>13.288</v>
      </c>
      <c r="BG173" s="32">
        <f>100*(0.4*MIN(1,MAX(0,((U173*100)-(0.0))/((2.5)-(0.0))))+0.3*MIN(1,MAX(0,((V173)-(0.6))/((1.0)-(0.6))))+0.3*MIN(1,MAX(0,((BE173)-(0.0))/((15.0)-(0.0)))))</f>
        <v/>
      </c>
      <c r="BH173" s="32">
        <f>100*(0.4*MIN(1,MAX(0,((MIN(ABS(AA173),ABS(AB173)))-(0.75))/((0.0)-(0.75))))+0.3*MIN(1,MAX(0,((BC173)-(1.2))/((0.6)-(1.2))))+0.3*BD173)</f>
        <v/>
      </c>
      <c r="BI173" s="32">
        <f>100*(0.5*MIN(1,MAX(0,((AK173)-(1.0))/((4.0)-(1.0))))+0.3*MIN(1,MAX(0,((IF(ISNUMBER(AO173),AO173,0)*100)-(0.0))/((8.0)-(0.0))))+0.2*MIN(1,MAX(0,((IF(ISNUMBER(AP173),AP173,0))-(25.0))/((5.0)-(25.0)))))</f>
        <v/>
      </c>
      <c r="BJ173" s="32">
        <f>100*(0.35*MIN(1,MAX(0,((ABS(AU173))-(0.3))/((0.05)-(0.3))))+0.3*MIN(1,MAX(0,((AV173)-(0.0))/((0.3)-(0.0))))+0.25*MIN(1,MAX(0,((AW173)-(0.4))/((0.7)-(0.4))))+0.1*IF(AY173&gt;=2,1,0.5))</f>
        <v/>
      </c>
      <c r="BK173" s="33">
        <f>0.25*BG173+0.25*BH173+0.2*BI173+0.3*BJ173</f>
        <v/>
      </c>
      <c r="BL173" s="20" t="inlineStr">
        <is>
          <t>C4 上升三角／重心偏上</t>
        </is>
      </c>
      <c r="BM173" s="20" t="inlineStr"/>
    </row>
    <row r="174">
      <c r="A174" s="20" t="n">
        <v>2</v>
      </c>
      <c r="B174" s="20" t="n">
        <v>73</v>
      </c>
      <c r="C174" s="21" t="inlineStr">
        <is>
          <t>VFC</t>
        </is>
      </c>
      <c r="D174" s="20" t="inlineStr">
        <is>
          <t>V.F. Corporation</t>
        </is>
      </c>
      <c r="E174" s="20" t="inlineStr">
        <is>
          <t>NYSE</t>
        </is>
      </c>
      <c r="F174" s="20" t="inlineStr">
        <is>
          <t>工業</t>
        </is>
      </c>
      <c r="G174" s="20" t="inlineStr">
        <is>
          <t>Garments and Clothing</t>
        </is>
      </c>
      <c r="H174" s="22" t="n">
        <v>5.527</v>
      </c>
      <c r="I174" s="20" t="inlineStr">
        <is>
          <t>中型</t>
        </is>
      </c>
      <c r="J174" s="23" t="n">
        <v>14.41</v>
      </c>
      <c r="K174" s="23" t="n">
        <v>14.06</v>
      </c>
      <c r="L174" s="24">
        <f>J174/K174-1</f>
        <v/>
      </c>
      <c r="M174" s="23" t="n">
        <v>14.46</v>
      </c>
      <c r="N174" s="23" t="n">
        <v>14.02</v>
      </c>
      <c r="O174" s="25" t="n">
        <v>12719000</v>
      </c>
      <c r="P174" s="25" t="n">
        <v>8241705</v>
      </c>
      <c r="Q174" s="26">
        <f>O174/P174</f>
        <v/>
      </c>
      <c r="R174" s="23" t="n">
        <v>13.9741</v>
      </c>
      <c r="S174" s="23" t="n">
        <v>13.7572</v>
      </c>
      <c r="T174" s="23" t="n">
        <v>13.4192</v>
      </c>
      <c r="U174" s="24">
        <f>S174/T174-1</f>
        <v/>
      </c>
      <c r="V174" s="27" t="n">
        <v>0.8</v>
      </c>
      <c r="W174" s="24">
        <f>J174/R174-1</f>
        <v/>
      </c>
      <c r="X174" s="24">
        <f>J174/S174-1</f>
        <v/>
      </c>
      <c r="Y174" s="23" t="n">
        <v>0.5031</v>
      </c>
      <c r="Z174" s="28">
        <f>Y174/J174</f>
        <v/>
      </c>
      <c r="AA174" s="26">
        <f>(J174-R174)/Y174</f>
        <v/>
      </c>
      <c r="AB174" s="26">
        <f>(J174-S174)/Y174</f>
        <v/>
      </c>
      <c r="AC174" s="20">
        <f>IF(ABS(AA174)&lt;=ABS(AB174),"9EMA","21EMA")</f>
        <v/>
      </c>
      <c r="AD174" s="20" t="inlineStr">
        <is>
          <t>9EMA</t>
        </is>
      </c>
      <c r="AE174" s="19" t="inlineStr">
        <is>
          <t>剛黃金交叉</t>
        </is>
      </c>
      <c r="AF174" s="20" t="inlineStr">
        <is>
          <t>✓</t>
        </is>
      </c>
      <c r="AG174" s="20" t="inlineStr"/>
      <c r="AH174" s="20" t="inlineStr"/>
      <c r="AI174" s="20" t="inlineStr">
        <is>
          <t>2026-09-28</t>
        </is>
      </c>
      <c r="AJ174" s="20" t="n">
        <v>3</v>
      </c>
      <c r="AK174" s="29" t="n">
        <v>2</v>
      </c>
      <c r="AL174" s="20" t="inlineStr">
        <is>
          <t>2026-09-16</t>
        </is>
      </c>
      <c r="AM174" s="23" t="n">
        <v>12.6</v>
      </c>
      <c r="AN174" s="23" t="n">
        <v>12.46</v>
      </c>
      <c r="AO174" s="24">
        <f>IF(ISNUMBER(AN174),AM174/AN174-1,"")</f>
        <v/>
      </c>
      <c r="AP174" s="29" t="n">
        <v>11</v>
      </c>
      <c r="AQ174" s="24">
        <f>IF(ISNUMBER(AM174),J174/AM174-1,"")</f>
        <v/>
      </c>
      <c r="AR174" s="23" t="n">
        <v>14.5</v>
      </c>
      <c r="AS174" s="24">
        <f>J174/AR174-1</f>
        <v/>
      </c>
      <c r="AT174" s="20" t="inlineStr">
        <is>
          <t>上升通道</t>
        </is>
      </c>
      <c r="AU174" s="30" t="n">
        <v>0.2463</v>
      </c>
      <c r="AV174" s="30" t="n">
        <v>0.2429</v>
      </c>
      <c r="AW174" s="30" t="n">
        <v>0.4692</v>
      </c>
      <c r="AX174" s="30" t="n">
        <v>0.4689</v>
      </c>
      <c r="AY174" s="29" t="n">
        <v>4</v>
      </c>
      <c r="AZ174" s="23" t="n">
        <v>14.68</v>
      </c>
      <c r="BA174" s="23" t="n">
        <v>12.46</v>
      </c>
      <c r="BB174" s="23" t="n">
        <v>13.5016</v>
      </c>
      <c r="BC174" s="30" t="n">
        <v>0.86</v>
      </c>
      <c r="BD174" s="26">
        <f>IF(M174=N174,0.5,(J174-N174)/(M174-N174))</f>
        <v/>
      </c>
      <c r="BE174" s="31" t="n">
        <v>14.838</v>
      </c>
      <c r="BF174" s="31" t="n">
        <v>10.084</v>
      </c>
      <c r="BG174" s="32">
        <f>100*(0.4*MIN(1,MAX(0,((U174*100)-(0.0))/((2.5)-(0.0))))+0.3*MIN(1,MAX(0,((V174)-(0.6))/((1.0)-(0.6))))+0.3*MIN(1,MAX(0,((BE174)-(0.0))/((15.0)-(0.0)))))</f>
        <v/>
      </c>
      <c r="BH174" s="32">
        <f>100*(0.4*MIN(1,MAX(0,((MIN(ABS(AA174),ABS(AB174)))-(0.75))/((0.0)-(0.75))))+0.3*MIN(1,MAX(0,((BC174)-(1.2))/((0.6)-(1.2))))+0.3*BD174)</f>
        <v/>
      </c>
      <c r="BI174" s="32">
        <f>100*(0.5*MIN(1,MAX(0,((AK174)-(1.0))/((4.0)-(1.0))))+0.3*MIN(1,MAX(0,((IF(ISNUMBER(AO174),AO174,0)*100)-(0.0))/((8.0)-(0.0))))+0.2*MIN(1,MAX(0,((IF(ISNUMBER(AP174),AP174,0))-(25.0))/((5.0)-(25.0)))))</f>
        <v/>
      </c>
      <c r="BJ174" s="32">
        <f>100*(0.35*MIN(1,MAX(0,((ABS(AU174))-(0.3))/((0.05)-(0.3))))+0.3*MIN(1,MAX(0,((AV174)-(0.0))/((0.3)-(0.0))))+0.25*MIN(1,MAX(0,((AW174)-(0.4))/((0.7)-(0.4))))+0.1*IF(AY174&gt;=2,1,0.5))</f>
        <v/>
      </c>
      <c r="BK174" s="33">
        <f>0.25*BG174+0.25*BH174+0.2*BI174+0.3*BJ174</f>
        <v/>
      </c>
      <c r="BL174" s="20" t="inlineStr">
        <is>
          <t>C4 上升三角／重心偏上</t>
        </is>
      </c>
      <c r="BM174" s="20" t="inlineStr"/>
    </row>
    <row r="175">
      <c r="A175" s="20" t="n">
        <v>2</v>
      </c>
      <c r="B175" s="20" t="n">
        <v>74</v>
      </c>
      <c r="C175" s="21" t="inlineStr">
        <is>
          <t>AMKR</t>
        </is>
      </c>
      <c r="D175" s="20" t="inlineStr">
        <is>
          <t>Amkor Technology Inc.</t>
        </is>
      </c>
      <c r="E175" s="20" t="inlineStr">
        <is>
          <t>NASDAQ</t>
        </is>
      </c>
      <c r="F175" s="20" t="inlineStr">
        <is>
          <t>科技</t>
        </is>
      </c>
      <c r="G175" s="20" t="inlineStr">
        <is>
          <t>Semiconductors</t>
        </is>
      </c>
      <c r="H175" s="22" t="n">
        <v>13.014</v>
      </c>
      <c r="I175" s="20" t="inlineStr">
        <is>
          <t>大型</t>
        </is>
      </c>
      <c r="J175" s="23" t="n">
        <v>52.9</v>
      </c>
      <c r="K175" s="23" t="n">
        <v>52.38</v>
      </c>
      <c r="L175" s="24">
        <f>J175/K175-1</f>
        <v/>
      </c>
      <c r="M175" s="23" t="n">
        <v>53.71</v>
      </c>
      <c r="N175" s="23" t="n">
        <v>51.68</v>
      </c>
      <c r="O175" s="25" t="n">
        <v>3614500</v>
      </c>
      <c r="P175" s="25" t="n">
        <v>3865720</v>
      </c>
      <c r="Q175" s="26">
        <f>O175/P175</f>
        <v/>
      </c>
      <c r="R175" s="23" t="n">
        <v>52.5378</v>
      </c>
      <c r="S175" s="23" t="n">
        <v>51.7274</v>
      </c>
      <c r="T175" s="23" t="n">
        <v>50.8289</v>
      </c>
      <c r="U175" s="24">
        <f>S175/T175-1</f>
        <v/>
      </c>
      <c r="V175" s="27" t="n">
        <v>1</v>
      </c>
      <c r="W175" s="24">
        <f>J175/R175-1</f>
        <v/>
      </c>
      <c r="X175" s="24">
        <f>J175/S175-1</f>
        <v/>
      </c>
      <c r="Y175" s="23" t="n">
        <v>2.6391</v>
      </c>
      <c r="Z175" s="28">
        <f>Y175/J175</f>
        <v/>
      </c>
      <c r="AA175" s="26">
        <f>(J175-R175)/Y175</f>
        <v/>
      </c>
      <c r="AB175" s="26">
        <f>(J175-S175)/Y175</f>
        <v/>
      </c>
      <c r="AC175" s="20">
        <f>IF(ABS(AA175)&lt;=ABS(AB175),"9EMA","21EMA")</f>
        <v/>
      </c>
      <c r="AD175" s="20" t="inlineStr">
        <is>
          <t>9+21EMA</t>
        </is>
      </c>
      <c r="AE175" s="20" t="inlineStr">
        <is>
          <t>持續在上方</t>
        </is>
      </c>
      <c r="AF175" s="20" t="inlineStr"/>
      <c r="AG175" s="20" t="inlineStr"/>
      <c r="AH175" s="20" t="inlineStr">
        <is>
          <t>✓</t>
        </is>
      </c>
      <c r="AI175" s="20" t="inlineStr">
        <is>
          <t>2026-09-23</t>
        </is>
      </c>
      <c r="AJ175" s="20" t="n">
        <v>6</v>
      </c>
      <c r="AK175" s="29" t="n">
        <v>2</v>
      </c>
      <c r="AL175" s="20" t="inlineStr">
        <is>
          <t>2026-09-16</t>
        </is>
      </c>
      <c r="AM175" s="23" t="n">
        <v>45.33</v>
      </c>
      <c r="AN175" s="23" t="n">
        <v>45.3</v>
      </c>
      <c r="AO175" s="24">
        <f>IF(ISNUMBER(AN175),AM175/AN175-1,"")</f>
        <v/>
      </c>
      <c r="AP175" s="29" t="n">
        <v>11</v>
      </c>
      <c r="AQ175" s="24">
        <f>IF(ISNUMBER(AM175),J175/AM175-1,"")</f>
        <v/>
      </c>
      <c r="AR175" s="23" t="n">
        <v>54.59</v>
      </c>
      <c r="AS175" s="24">
        <f>J175/AR175-1</f>
        <v/>
      </c>
      <c r="AT175" s="20" t="inlineStr">
        <is>
          <t>上傾擴張</t>
        </is>
      </c>
      <c r="AU175" s="30" t="n">
        <v>0.2237</v>
      </c>
      <c r="AV175" s="30" t="n">
        <v>0.0071</v>
      </c>
      <c r="AW175" s="30" t="n">
        <v>0.4702</v>
      </c>
      <c r="AX175" s="30" t="n">
        <v>0.4731</v>
      </c>
      <c r="AY175" s="29" t="n">
        <v>4</v>
      </c>
      <c r="AZ175" s="23" t="n">
        <v>55.13</v>
      </c>
      <c r="BA175" s="23" t="n">
        <v>45.3</v>
      </c>
      <c r="BB175" s="23" t="n">
        <v>49.9221</v>
      </c>
      <c r="BC175" s="30" t="n">
        <v>0.8995</v>
      </c>
      <c r="BD175" s="26">
        <f>IF(M175=N175,0.5,(J175-N175)/(M175-N175))</f>
        <v/>
      </c>
      <c r="BE175" s="31" t="n">
        <v>20.433</v>
      </c>
      <c r="BF175" s="31" t="n">
        <v>15.679</v>
      </c>
      <c r="BG175" s="32">
        <f>100*(0.4*MIN(1,MAX(0,((U175*100)-(0.0))/((2.5)-(0.0))))+0.3*MIN(1,MAX(0,((V175)-(0.6))/((1.0)-(0.6))))+0.3*MIN(1,MAX(0,((BE175)-(0.0))/((15.0)-(0.0)))))</f>
        <v/>
      </c>
      <c r="BH175" s="32">
        <f>100*(0.4*MIN(1,MAX(0,((MIN(ABS(AA175),ABS(AB175)))-(0.75))/((0.0)-(0.75))))+0.3*MIN(1,MAX(0,((BC175)-(1.2))/((0.6)-(1.2))))+0.3*BD175)</f>
        <v/>
      </c>
      <c r="BI175" s="32">
        <f>100*(0.5*MIN(1,MAX(0,((AK175)-(1.0))/((4.0)-(1.0))))+0.3*MIN(1,MAX(0,((IF(ISNUMBER(AO175),AO175,0)*100)-(0.0))/((8.0)-(0.0))))+0.2*MIN(1,MAX(0,((IF(ISNUMBER(AP175),AP175,0))-(25.0))/((5.0)-(25.0)))))</f>
        <v/>
      </c>
      <c r="BJ175" s="32">
        <f>100*(0.35*MIN(1,MAX(0,((ABS(AU175))-(0.3))/((0.05)-(0.3))))+0.3*MIN(1,MAX(0,((AV175)-(0.0))/((0.3)-(0.0))))+0.25*MIN(1,MAX(0,((AW175)-(0.4))/((0.7)-(0.4))))+0.1*IF(AY175&gt;=2,1,0.5))</f>
        <v/>
      </c>
      <c r="BK175" s="33">
        <f>0.25*BG175+0.25*BH175+0.2*BI175+0.3*BJ175</f>
        <v/>
      </c>
      <c r="BL175" s="20" t="inlineStr">
        <is>
          <t>C4 上升三角／重心偏上</t>
        </is>
      </c>
      <c r="BM175" s="20" t="inlineStr"/>
    </row>
    <row r="176">
      <c r="A176" s="20" t="n">
        <v>2</v>
      </c>
      <c r="B176" s="20" t="n">
        <v>75</v>
      </c>
      <c r="C176" s="21" t="inlineStr">
        <is>
          <t>SLP</t>
        </is>
      </c>
      <c r="D176" s="20" t="inlineStr">
        <is>
          <t>Simulations Plus Inc.</t>
        </is>
      </c>
      <c r="E176" s="20" t="inlineStr">
        <is>
          <t>NASDAQ</t>
        </is>
      </c>
      <c r="F176" s="20" t="inlineStr">
        <is>
          <t>科技</t>
        </is>
      </c>
      <c r="G176" s="20" t="inlineStr">
        <is>
          <t>EDP Services</t>
        </is>
      </c>
      <c r="H176" s="22" t="n">
        <v>0.373</v>
      </c>
      <c r="I176" s="20" t="inlineStr">
        <is>
          <t>小型</t>
        </is>
      </c>
      <c r="J176" s="23" t="n">
        <v>18.49</v>
      </c>
      <c r="K176" s="23" t="n">
        <v>18.43</v>
      </c>
      <c r="L176" s="24">
        <f>J176/K176-1</f>
        <v/>
      </c>
      <c r="M176" s="23" t="n">
        <v>18.5</v>
      </c>
      <c r="N176" s="23" t="n">
        <v>18.45</v>
      </c>
      <c r="O176" s="25" t="n">
        <v>865900</v>
      </c>
      <c r="P176" s="25" t="n">
        <v>224980</v>
      </c>
      <c r="Q176" s="26">
        <f>O176/P176</f>
        <v/>
      </c>
      <c r="R176" s="23" t="n">
        <v>18.4561</v>
      </c>
      <c r="S176" s="23" t="n">
        <v>18.4335</v>
      </c>
      <c r="T176" s="23" t="n">
        <v>18.4123</v>
      </c>
      <c r="U176" s="24">
        <f>S176/T176-1</f>
        <v/>
      </c>
      <c r="V176" s="27" t="n">
        <v>1</v>
      </c>
      <c r="W176" s="24">
        <f>J176/R176-1</f>
        <v/>
      </c>
      <c r="X176" s="24">
        <f>J176/S176-1</f>
        <v/>
      </c>
      <c r="Y176" s="23" t="n">
        <v>0.0389</v>
      </c>
      <c r="Z176" s="28">
        <f>Y176/J176</f>
        <v/>
      </c>
      <c r="AA176" s="26">
        <f>(J176-R176)/Y176</f>
        <v/>
      </c>
      <c r="AB176" s="26">
        <f>(J176-S176)/Y176</f>
        <v/>
      </c>
      <c r="AC176" s="20">
        <f>IF(ABS(AA176)&lt;=ABS(AB176),"9EMA","21EMA")</f>
        <v/>
      </c>
      <c r="AD176" s="20" t="inlineStr">
        <is>
          <t>9+21EMA</t>
        </is>
      </c>
      <c r="AE176" s="20" t="inlineStr">
        <is>
          <t>持續在上方</t>
        </is>
      </c>
      <c r="AF176" s="20" t="inlineStr"/>
      <c r="AG176" s="20" t="inlineStr"/>
      <c r="AH176" s="20" t="inlineStr">
        <is>
          <t>✓</t>
        </is>
      </c>
      <c r="AI176" s="20" t="inlineStr">
        <is>
          <t>2026-05-21</t>
        </is>
      </c>
      <c r="AJ176" s="20" t="n">
        <v>91</v>
      </c>
      <c r="AK176" s="29" t="n">
        <v>6</v>
      </c>
      <c r="AL176" s="20" t="inlineStr">
        <is>
          <t>2026-09-22</t>
        </is>
      </c>
      <c r="AM176" s="23" t="n">
        <v>18.41</v>
      </c>
      <c r="AN176" s="23" t="n">
        <v>18.4</v>
      </c>
      <c r="AO176" s="24">
        <f>IF(ISNUMBER(AN176),AM176/AN176-1,"")</f>
        <v/>
      </c>
      <c r="AP176" s="29" t="n">
        <v>7</v>
      </c>
      <c r="AQ176" s="24">
        <f>IF(ISNUMBER(AM176),J176/AM176-1,"")</f>
        <v/>
      </c>
      <c r="AR176" s="23" t="n">
        <v>18.49</v>
      </c>
      <c r="AS176" s="24">
        <f>J176/AR176-1</f>
        <v/>
      </c>
      <c r="AT176" s="20" t="inlineStr">
        <is>
          <t>上升三角（平頂）</t>
        </is>
      </c>
      <c r="AU176" s="30" t="n">
        <v>0.0129</v>
      </c>
      <c r="AV176" s="30" t="n">
        <v>0.0108</v>
      </c>
      <c r="AW176" s="30" t="n">
        <v>0.4928</v>
      </c>
      <c r="AX176" s="30" t="n">
        <v>0.4914</v>
      </c>
      <c r="AY176" s="29" t="n">
        <v>25</v>
      </c>
      <c r="AZ176" s="23" t="n">
        <v>18.5</v>
      </c>
      <c r="BA176" s="23" t="n">
        <v>18.38</v>
      </c>
      <c r="BB176" s="23" t="n">
        <v>18.4391</v>
      </c>
      <c r="BC176" s="30" t="n">
        <v>0.6819</v>
      </c>
      <c r="BD176" s="26">
        <f>IF(M176=N176,0.5,(J176-N176)/(M176-N176))</f>
        <v/>
      </c>
      <c r="BE176" s="31" t="n">
        <v>5.134</v>
      </c>
      <c r="BF176" s="31" t="n">
        <v>0.38</v>
      </c>
      <c r="BG176" s="32">
        <f>100*(0.4*MIN(1,MAX(0,((U176*100)-(0.0))/((2.5)-(0.0))))+0.3*MIN(1,MAX(0,((V176)-(0.6))/((1.0)-(0.6))))+0.3*MIN(1,MAX(0,((BE176)-(0.0))/((15.0)-(0.0)))))</f>
        <v/>
      </c>
      <c r="BH176" s="32">
        <f>100*(0.4*MIN(1,MAX(0,((MIN(ABS(AA176),ABS(AB176)))-(0.75))/((0.0)-(0.75))))+0.3*MIN(1,MAX(0,((BC176)-(1.2))/((0.6)-(1.2))))+0.3*BD176)</f>
        <v/>
      </c>
      <c r="BI176" s="32">
        <f>100*(0.5*MIN(1,MAX(0,((AK176)-(1.0))/((4.0)-(1.0))))+0.3*MIN(1,MAX(0,((IF(ISNUMBER(AO176),AO176,0)*100)-(0.0))/((8.0)-(0.0))))+0.2*MIN(1,MAX(0,((IF(ISNUMBER(AP176),AP176,0))-(25.0))/((5.0)-(25.0)))))</f>
        <v/>
      </c>
      <c r="BJ176" s="32">
        <f>100*(0.35*MIN(1,MAX(0,((ABS(AU176))-(0.3))/((0.05)-(0.3))))+0.3*MIN(1,MAX(0,((AV176)-(0.0))/((0.3)-(0.0))))+0.25*MIN(1,MAX(0,((AW176)-(0.4))/((0.7)-(0.4))))+0.1*IF(AY176&gt;=2,1,0.5))</f>
        <v/>
      </c>
      <c r="BK176" s="33">
        <f>0.25*BG176+0.25*BH176+0.2*BI176+0.3*BJ176</f>
        <v/>
      </c>
      <c r="BL176" s="20" t="inlineStr">
        <is>
          <t>C4 上升三角／重心偏上</t>
        </is>
      </c>
      <c r="BM176" s="20" t="inlineStr"/>
    </row>
    <row r="177">
      <c r="A177" s="20" t="n">
        <v>2</v>
      </c>
      <c r="B177" s="20" t="n">
        <v>76</v>
      </c>
      <c r="C177" s="21" t="inlineStr">
        <is>
          <t>SHLS</t>
        </is>
      </c>
      <c r="D177" s="20" t="inlineStr">
        <is>
          <t>Shoals Technologies Group Inc.</t>
        </is>
      </c>
      <c r="E177" s="20" t="inlineStr">
        <is>
          <t>NASDAQ</t>
        </is>
      </c>
      <c r="F177" s="20" t="inlineStr">
        <is>
          <t>科技</t>
        </is>
      </c>
      <c r="G177" s="20" t="inlineStr">
        <is>
          <t>Semiconductors</t>
        </is>
      </c>
      <c r="H177" s="22" t="n">
        <v>1.363</v>
      </c>
      <c r="I177" s="20" t="inlineStr">
        <is>
          <t>小型</t>
        </is>
      </c>
      <c r="J177" s="23" t="n">
        <v>8.130000000000001</v>
      </c>
      <c r="K177" s="23" t="n">
        <v>8.1</v>
      </c>
      <c r="L177" s="24">
        <f>J177/K177-1</f>
        <v/>
      </c>
      <c r="M177" s="23" t="n">
        <v>8.265000000000001</v>
      </c>
      <c r="N177" s="23" t="n">
        <v>7.78</v>
      </c>
      <c r="O177" s="25" t="n">
        <v>3941700</v>
      </c>
      <c r="P177" s="25" t="n">
        <v>4255570</v>
      </c>
      <c r="Q177" s="26">
        <f>O177/P177</f>
        <v/>
      </c>
      <c r="R177" s="23" t="n">
        <v>7.7606</v>
      </c>
      <c r="S177" s="23" t="n">
        <v>7.6236</v>
      </c>
      <c r="T177" s="23" t="n">
        <v>7.5061</v>
      </c>
      <c r="U177" s="24">
        <f>S177/T177-1</f>
        <v/>
      </c>
      <c r="V177" s="27" t="n">
        <v>0.7</v>
      </c>
      <c r="W177" s="24">
        <f>J177/R177-1</f>
        <v/>
      </c>
      <c r="X177" s="24">
        <f>J177/S177-1</f>
        <v/>
      </c>
      <c r="Y177" s="23" t="n">
        <v>0.4663</v>
      </c>
      <c r="Z177" s="28">
        <f>Y177/J177</f>
        <v/>
      </c>
      <c r="AA177" s="26">
        <f>(J177-R177)/Y177</f>
        <v/>
      </c>
      <c r="AB177" s="26">
        <f>(J177-S177)/Y177</f>
        <v/>
      </c>
      <c r="AC177" s="20">
        <f>IF(ABS(AA177)&lt;=ABS(AB177),"9EMA","21EMA")</f>
        <v/>
      </c>
      <c r="AD177" s="20" t="inlineStr">
        <is>
          <t>9+21EMA</t>
        </is>
      </c>
      <c r="AE177" s="20" t="inlineStr">
        <is>
          <t>持續在上方</t>
        </is>
      </c>
      <c r="AF177" s="20" t="inlineStr"/>
      <c r="AG177" s="20" t="inlineStr"/>
      <c r="AH177" s="20" t="inlineStr"/>
      <c r="AI177" s="20" t="inlineStr">
        <is>
          <t>2026-09-22</t>
        </is>
      </c>
      <c r="AJ177" s="20" t="n">
        <v>7</v>
      </c>
      <c r="AK177" s="29" t="n">
        <v>3</v>
      </c>
      <c r="AL177" s="20" t="inlineStr">
        <is>
          <t>2026-09-24</t>
        </is>
      </c>
      <c r="AM177" s="23" t="n">
        <v>7.26</v>
      </c>
      <c r="AN177" s="23" t="n">
        <v>6.71</v>
      </c>
      <c r="AO177" s="24">
        <f>IF(ISNUMBER(AN177),AM177/AN177-1,"")</f>
        <v/>
      </c>
      <c r="AP177" s="29" t="n">
        <v>5</v>
      </c>
      <c r="AQ177" s="24">
        <f>IF(ISNUMBER(AM177),J177/AM177-1,"")</f>
        <v/>
      </c>
      <c r="AR177" s="23" t="n">
        <v>8.15</v>
      </c>
      <c r="AS177" s="24">
        <f>J177/AR177-1</f>
        <v/>
      </c>
      <c r="AT177" s="20" t="inlineStr">
        <is>
          <t>上升通道</t>
        </is>
      </c>
      <c r="AU177" s="30" t="n">
        <v>0.487</v>
      </c>
      <c r="AV177" s="30" t="n">
        <v>0.5017</v>
      </c>
      <c r="AW177" s="30" t="n">
        <v>0.4633</v>
      </c>
      <c r="AX177" s="30" t="n">
        <v>0.4667</v>
      </c>
      <c r="AY177" s="29" t="n">
        <v>4</v>
      </c>
      <c r="AZ177" s="23" t="n">
        <v>8.265000000000001</v>
      </c>
      <c r="BA177" s="23" t="n">
        <v>6.61</v>
      </c>
      <c r="BB177" s="23" t="n">
        <v>7.3768</v>
      </c>
      <c r="BC177" s="30" t="n">
        <v>1.0951</v>
      </c>
      <c r="BD177" s="26">
        <f>IF(M177=N177,0.5,(J177-N177)/(M177-N177))</f>
        <v/>
      </c>
      <c r="BE177" s="31" t="n">
        <v>26.097</v>
      </c>
      <c r="BF177" s="31" t="n">
        <v>21.343</v>
      </c>
      <c r="BG177" s="32">
        <f>100*(0.4*MIN(1,MAX(0,((U177*100)-(0.0))/((2.5)-(0.0))))+0.3*MIN(1,MAX(0,((V177)-(0.6))/((1.0)-(0.6))))+0.3*MIN(1,MAX(0,((BE177)-(0.0))/((15.0)-(0.0)))))</f>
        <v/>
      </c>
      <c r="BH177" s="32">
        <f>100*(0.4*MIN(1,MAX(0,((MIN(ABS(AA177),ABS(AB177)))-(0.75))/((0.0)-(0.75))))+0.3*MIN(1,MAX(0,((BC177)-(1.2))/((0.6)-(1.2))))+0.3*BD177)</f>
        <v/>
      </c>
      <c r="BI177" s="32">
        <f>100*(0.5*MIN(1,MAX(0,((AK177)-(1.0))/((4.0)-(1.0))))+0.3*MIN(1,MAX(0,((IF(ISNUMBER(AO177),AO177,0)*100)-(0.0))/((8.0)-(0.0))))+0.2*MIN(1,MAX(0,((IF(ISNUMBER(AP177),AP177,0))-(25.0))/((5.0)-(25.0)))))</f>
        <v/>
      </c>
      <c r="BJ177" s="32">
        <f>100*(0.35*MIN(1,MAX(0,((ABS(AU177))-(0.3))/((0.05)-(0.3))))+0.3*MIN(1,MAX(0,((AV177)-(0.0))/((0.3)-(0.0))))+0.25*MIN(1,MAX(0,((AW177)-(0.4))/((0.7)-(0.4))))+0.1*IF(AY177&gt;=2,1,0.5))</f>
        <v/>
      </c>
      <c r="BK177" s="33">
        <f>0.25*BG177+0.25*BH177+0.2*BI177+0.3*BJ177</f>
        <v/>
      </c>
      <c r="BL177" s="20" t="inlineStr">
        <is>
          <t>C4 上升三角／重心偏上</t>
        </is>
      </c>
      <c r="BM177" s="20" t="inlineStr"/>
    </row>
    <row r="178">
      <c r="A178" s="20" t="n">
        <v>2</v>
      </c>
      <c r="B178" s="20" t="n">
        <v>77</v>
      </c>
      <c r="C178" s="21" t="inlineStr">
        <is>
          <t>DSGR</t>
        </is>
      </c>
      <c r="D178" s="20" t="inlineStr">
        <is>
          <t>Distribution Solutions Group Inc.</t>
        </is>
      </c>
      <c r="E178" s="20" t="inlineStr">
        <is>
          <t>NASDAQ</t>
        </is>
      </c>
      <c r="F178" s="20" t="inlineStr">
        <is>
          <t>非必需消費</t>
        </is>
      </c>
      <c r="G178" s="20" t="inlineStr">
        <is>
          <t>Industrial Specialties</t>
        </is>
      </c>
      <c r="H178" s="22" t="n">
        <v>1.614</v>
      </c>
      <c r="I178" s="20" t="inlineStr">
        <is>
          <t>小型</t>
        </is>
      </c>
      <c r="J178" s="23" t="n">
        <v>34.94</v>
      </c>
      <c r="K178" s="23" t="n">
        <v>34.9</v>
      </c>
      <c r="L178" s="24">
        <f>J178/K178-1</f>
        <v/>
      </c>
      <c r="M178" s="23" t="n">
        <v>34.96</v>
      </c>
      <c r="N178" s="23" t="n">
        <v>34.87</v>
      </c>
      <c r="O178" s="25" t="n">
        <v>217100</v>
      </c>
      <c r="P178" s="25" t="n">
        <v>208205</v>
      </c>
      <c r="Q178" s="26">
        <f>O178/P178</f>
        <v/>
      </c>
      <c r="R178" s="23" t="n">
        <v>34.9236</v>
      </c>
      <c r="S178" s="23" t="n">
        <v>34.8345</v>
      </c>
      <c r="T178" s="23" t="n">
        <v>34.7656</v>
      </c>
      <c r="U178" s="24">
        <f>S178/T178-1</f>
        <v/>
      </c>
      <c r="V178" s="27" t="n">
        <v>1</v>
      </c>
      <c r="W178" s="24">
        <f>J178/R178-1</f>
        <v/>
      </c>
      <c r="X178" s="24">
        <f>J178/S178-1</f>
        <v/>
      </c>
      <c r="Y178" s="23" t="n">
        <v>0.1065</v>
      </c>
      <c r="Z178" s="28">
        <f>Y178/J178</f>
        <v/>
      </c>
      <c r="AA178" s="26">
        <f>(J178-R178)/Y178</f>
        <v/>
      </c>
      <c r="AB178" s="26">
        <f>(J178-S178)/Y178</f>
        <v/>
      </c>
      <c r="AC178" s="20">
        <f>IF(ABS(AA178)&lt;=ABS(AB178),"9EMA","21EMA")</f>
        <v/>
      </c>
      <c r="AD178" s="20" t="inlineStr">
        <is>
          <t>9+21EMA</t>
        </is>
      </c>
      <c r="AE178" s="20" t="inlineStr">
        <is>
          <t>持續在上方</t>
        </is>
      </c>
      <c r="AF178" s="20" t="inlineStr"/>
      <c r="AG178" s="20" t="inlineStr"/>
      <c r="AH178" s="20" t="inlineStr">
        <is>
          <t>✓</t>
        </is>
      </c>
      <c r="AI178" s="20" t="inlineStr">
        <is>
          <t>2026-07-15</t>
        </is>
      </c>
      <c r="AJ178" s="20" t="n">
        <v>55</v>
      </c>
      <c r="AK178" s="29" t="n">
        <v>3</v>
      </c>
      <c r="AL178" s="20" t="inlineStr">
        <is>
          <t>2026-09-18</t>
        </is>
      </c>
      <c r="AM178" s="23" t="n">
        <v>34.75</v>
      </c>
      <c r="AN178" s="23" t="n">
        <v>34.63</v>
      </c>
      <c r="AO178" s="24">
        <f>IF(ISNUMBER(AN178),AM178/AN178-1,"")</f>
        <v/>
      </c>
      <c r="AP178" s="29" t="n">
        <v>9</v>
      </c>
      <c r="AQ178" s="24">
        <f>IF(ISNUMBER(AM178),J178/AM178-1,"")</f>
        <v/>
      </c>
      <c r="AR178" s="23" t="n">
        <v>35</v>
      </c>
      <c r="AS178" s="24">
        <f>J178/AR178-1</f>
        <v/>
      </c>
      <c r="AT178" s="20" t="inlineStr">
        <is>
          <t>上升三角（平頂）</t>
        </is>
      </c>
      <c r="AU178" s="30" t="n">
        <v>0.0204</v>
      </c>
      <c r="AV178" s="30" t="n">
        <v>0.0312</v>
      </c>
      <c r="AW178" s="30" t="n">
        <v>0.4963</v>
      </c>
      <c r="AX178" s="30" t="n">
        <v>0.4811</v>
      </c>
      <c r="AY178" s="29" t="n">
        <v>25</v>
      </c>
      <c r="AZ178" s="23" t="n">
        <v>35.02</v>
      </c>
      <c r="BA178" s="23" t="n">
        <v>34.63</v>
      </c>
      <c r="BB178" s="23" t="n">
        <v>34.8236</v>
      </c>
      <c r="BC178" s="30" t="n">
        <v>1.3091</v>
      </c>
      <c r="BD178" s="26">
        <f>IF(M178=N178,0.5,(J178-N178)/(M178-N178))</f>
        <v/>
      </c>
      <c r="BE178" s="31" t="n">
        <v>5.446</v>
      </c>
      <c r="BF178" s="31" t="n">
        <v>0.6919999999999999</v>
      </c>
      <c r="BG178" s="32">
        <f>100*(0.4*MIN(1,MAX(0,((U178*100)-(0.0))/((2.5)-(0.0))))+0.3*MIN(1,MAX(0,((V178)-(0.6))/((1.0)-(0.6))))+0.3*MIN(1,MAX(0,((BE178)-(0.0))/((15.0)-(0.0)))))</f>
        <v/>
      </c>
      <c r="BH178" s="32">
        <f>100*(0.4*MIN(1,MAX(0,((MIN(ABS(AA178),ABS(AB178)))-(0.75))/((0.0)-(0.75))))+0.3*MIN(1,MAX(0,((BC178)-(1.2))/((0.6)-(1.2))))+0.3*BD178)</f>
        <v/>
      </c>
      <c r="BI178" s="32">
        <f>100*(0.5*MIN(1,MAX(0,((AK178)-(1.0))/((4.0)-(1.0))))+0.3*MIN(1,MAX(0,((IF(ISNUMBER(AO178),AO178,0)*100)-(0.0))/((8.0)-(0.0))))+0.2*MIN(1,MAX(0,((IF(ISNUMBER(AP178),AP178,0))-(25.0))/((5.0)-(25.0)))))</f>
        <v/>
      </c>
      <c r="BJ178" s="32">
        <f>100*(0.35*MIN(1,MAX(0,((ABS(AU178))-(0.3))/((0.05)-(0.3))))+0.3*MIN(1,MAX(0,((AV178)-(0.0))/((0.3)-(0.0))))+0.25*MIN(1,MAX(0,((AW178)-(0.4))/((0.7)-(0.4))))+0.1*IF(AY178&gt;=2,1,0.5))</f>
        <v/>
      </c>
      <c r="BK178" s="33">
        <f>0.25*BG178+0.25*BH178+0.2*BI178+0.3*BJ178</f>
        <v/>
      </c>
      <c r="BL178" s="20" t="inlineStr">
        <is>
          <t>C4 上升三角／重心偏上</t>
        </is>
      </c>
      <c r="BM178" s="20" t="inlineStr"/>
    </row>
    <row r="179">
      <c r="A179" s="20" t="n">
        <v>2</v>
      </c>
      <c r="B179" s="20" t="n">
        <v>78</v>
      </c>
      <c r="C179" s="21" t="inlineStr">
        <is>
          <t>PAYO</t>
        </is>
      </c>
      <c r="D179" s="20" t="inlineStr">
        <is>
          <t>Payoneer Global Inc.</t>
        </is>
      </c>
      <c r="E179" s="20" t="inlineStr">
        <is>
          <t>NASDAQ</t>
        </is>
      </c>
      <c r="F179" s="20" t="inlineStr">
        <is>
          <t>非必需消費</t>
        </is>
      </c>
      <c r="G179" s="20" t="inlineStr">
        <is>
          <t>Business Services</t>
        </is>
      </c>
      <c r="H179" s="22" t="n">
        <v>2.419</v>
      </c>
      <c r="I179" s="20" t="inlineStr">
        <is>
          <t>中型</t>
        </is>
      </c>
      <c r="J179" s="23" t="n">
        <v>7.14</v>
      </c>
      <c r="K179" s="23" t="n">
        <v>7.14</v>
      </c>
      <c r="L179" s="24">
        <f>J179/K179-1</f>
        <v/>
      </c>
      <c r="M179" s="23" t="n">
        <v>7.15</v>
      </c>
      <c r="N179" s="23" t="n">
        <v>7.14</v>
      </c>
      <c r="O179" s="25" t="n">
        <v>2889500</v>
      </c>
      <c r="P179" s="25" t="n">
        <v>2923630</v>
      </c>
      <c r="Q179" s="26">
        <f>O179/P179</f>
        <v/>
      </c>
      <c r="R179" s="23" t="n">
        <v>7.1389</v>
      </c>
      <c r="S179" s="23" t="n">
        <v>7.1325</v>
      </c>
      <c r="T179" s="23" t="n">
        <v>7.1249</v>
      </c>
      <c r="U179" s="24">
        <f>S179/T179-1</f>
        <v/>
      </c>
      <c r="V179" s="27" t="n">
        <v>0.9</v>
      </c>
      <c r="W179" s="24">
        <f>J179/R179-1</f>
        <v/>
      </c>
      <c r="X179" s="24">
        <f>J179/S179-1</f>
        <v/>
      </c>
      <c r="Y179" s="23" t="n">
        <v>0.0326</v>
      </c>
      <c r="Z179" s="28">
        <f>Y179/J179</f>
        <v/>
      </c>
      <c r="AA179" s="26">
        <f>(J179-R179)/Y179</f>
        <v/>
      </c>
      <c r="AB179" s="26">
        <f>(J179-S179)/Y179</f>
        <v/>
      </c>
      <c r="AC179" s="20">
        <f>IF(ABS(AA179)&lt;=ABS(AB179),"9EMA","21EMA")</f>
        <v/>
      </c>
      <c r="AD179" s="20" t="inlineStr">
        <is>
          <t>9+21EMA</t>
        </is>
      </c>
      <c r="AE179" s="20" t="inlineStr">
        <is>
          <t>持續在上方</t>
        </is>
      </c>
      <c r="AF179" s="20" t="inlineStr"/>
      <c r="AG179" s="20" t="inlineStr"/>
      <c r="AH179" s="20" t="inlineStr">
        <is>
          <t>✓</t>
        </is>
      </c>
      <c r="AI179" s="20" t="inlineStr">
        <is>
          <t>2026-05-28</t>
        </is>
      </c>
      <c r="AJ179" s="20" t="n">
        <v>87</v>
      </c>
      <c r="AK179" s="29" t="n">
        <v>3</v>
      </c>
      <c r="AL179" s="20" t="inlineStr">
        <is>
          <t>2026-09-18</t>
        </is>
      </c>
      <c r="AM179" s="23" t="n">
        <v>7.1</v>
      </c>
      <c r="AN179" s="23" t="n">
        <v>7.09</v>
      </c>
      <c r="AO179" s="24">
        <f>IF(ISNUMBER(AN179),AM179/AN179-1,"")</f>
        <v/>
      </c>
      <c r="AP179" s="29" t="n">
        <v>9</v>
      </c>
      <c r="AQ179" s="24">
        <f>IF(ISNUMBER(AM179),J179/AM179-1,"")</f>
        <v/>
      </c>
      <c r="AR179" s="23" t="n">
        <v>7.17</v>
      </c>
      <c r="AS179" s="24">
        <f>J179/AR179-1</f>
        <v/>
      </c>
      <c r="AT179" s="20" t="inlineStr">
        <is>
          <t>上升三角（平頂）</t>
        </is>
      </c>
      <c r="AU179" s="30" t="n">
        <v>0.0307</v>
      </c>
      <c r="AV179" s="30" t="n">
        <v>0.0215</v>
      </c>
      <c r="AW179" s="30" t="n">
        <v>0.4667</v>
      </c>
      <c r="AX179" s="30" t="n">
        <v>0.3916</v>
      </c>
      <c r="AY179" s="29" t="n">
        <v>25</v>
      </c>
      <c r="AZ179" s="23" t="n">
        <v>7.19</v>
      </c>
      <c r="BA179" s="23" t="n">
        <v>7.08</v>
      </c>
      <c r="BB179" s="23" t="n">
        <v>7.1313</v>
      </c>
      <c r="BC179" s="30" t="n">
        <v>0.5103</v>
      </c>
      <c r="BD179" s="26">
        <f>IF(M179=N179,0.5,(J179-N179)/(M179-N179))</f>
        <v/>
      </c>
      <c r="BE179" s="31" t="n">
        <v>5.318</v>
      </c>
      <c r="BF179" s="31" t="n">
        <v>0.5629999999999999</v>
      </c>
      <c r="BG179" s="32">
        <f>100*(0.4*MIN(1,MAX(0,((U179*100)-(0.0))/((2.5)-(0.0))))+0.3*MIN(1,MAX(0,((V179)-(0.6))/((1.0)-(0.6))))+0.3*MIN(1,MAX(0,((BE179)-(0.0))/((15.0)-(0.0)))))</f>
        <v/>
      </c>
      <c r="BH179" s="32">
        <f>100*(0.4*MIN(1,MAX(0,((MIN(ABS(AA179),ABS(AB179)))-(0.75))/((0.0)-(0.75))))+0.3*MIN(1,MAX(0,((BC179)-(1.2))/((0.6)-(1.2))))+0.3*BD179)</f>
        <v/>
      </c>
      <c r="BI179" s="32">
        <f>100*(0.5*MIN(1,MAX(0,((AK179)-(1.0))/((4.0)-(1.0))))+0.3*MIN(1,MAX(0,((IF(ISNUMBER(AO179),AO179,0)*100)-(0.0))/((8.0)-(0.0))))+0.2*MIN(1,MAX(0,((IF(ISNUMBER(AP179),AP179,0))-(25.0))/((5.0)-(25.0)))))</f>
        <v/>
      </c>
      <c r="BJ179" s="32">
        <f>100*(0.35*MIN(1,MAX(0,((ABS(AU179))-(0.3))/((0.05)-(0.3))))+0.3*MIN(1,MAX(0,((AV179)-(0.0))/((0.3)-(0.0))))+0.25*MIN(1,MAX(0,((AW179)-(0.4))/((0.7)-(0.4))))+0.1*IF(AY179&gt;=2,1,0.5))</f>
        <v/>
      </c>
      <c r="BK179" s="33">
        <f>0.25*BG179+0.25*BH179+0.2*BI179+0.3*BJ179</f>
        <v/>
      </c>
      <c r="BL179" s="20" t="inlineStr">
        <is>
          <t>C4 上升三角／重心偏上</t>
        </is>
      </c>
      <c r="BM179" s="20" t="inlineStr"/>
    </row>
    <row r="180">
      <c r="A180" s="20" t="n">
        <v>2</v>
      </c>
      <c r="B180" s="20" t="n">
        <v>79</v>
      </c>
      <c r="C180" s="21" t="inlineStr">
        <is>
          <t>MSGE</t>
        </is>
      </c>
      <c r="D180" s="20" t="inlineStr">
        <is>
          <t>Madison Square Garden Entertainment Corp.</t>
        </is>
      </c>
      <c r="E180" s="20" t="inlineStr">
        <is>
          <t>NYSE</t>
        </is>
      </c>
      <c r="F180" s="20" t="inlineStr">
        <is>
          <t>非必需消費</t>
        </is>
      </c>
      <c r="G180" s="20" t="inlineStr">
        <is>
          <t>Services-Misc. Amusement &amp; Recreation</t>
        </is>
      </c>
      <c r="H180" s="22" t="n">
        <v>3.79</v>
      </c>
      <c r="I180" s="20" t="inlineStr">
        <is>
          <t>中型</t>
        </is>
      </c>
      <c r="J180" s="23" t="n">
        <v>80.05</v>
      </c>
      <c r="K180" s="23" t="n">
        <v>80.11</v>
      </c>
      <c r="L180" s="24">
        <f>J180/K180-1</f>
        <v/>
      </c>
      <c r="M180" s="23" t="n">
        <v>80.535</v>
      </c>
      <c r="N180" s="23" t="n">
        <v>75.90000000000001</v>
      </c>
      <c r="O180" s="25" t="n">
        <v>808600</v>
      </c>
      <c r="P180" s="25" t="n">
        <v>536090</v>
      </c>
      <c r="Q180" s="26">
        <f>O180/P180</f>
        <v/>
      </c>
      <c r="R180" s="23" t="n">
        <v>80.0754</v>
      </c>
      <c r="S180" s="23" t="n">
        <v>79.5681</v>
      </c>
      <c r="T180" s="23" t="n">
        <v>78.9791</v>
      </c>
      <c r="U180" s="24">
        <f>S180/T180-1</f>
        <v/>
      </c>
      <c r="V180" s="27" t="n">
        <v>0.9</v>
      </c>
      <c r="W180" s="24">
        <f>J180/R180-1</f>
        <v/>
      </c>
      <c r="X180" s="24">
        <f>J180/S180-1</f>
        <v/>
      </c>
      <c r="Y180" s="23" t="n">
        <v>2.7467</v>
      </c>
      <c r="Z180" s="28">
        <f>Y180/J180</f>
        <v/>
      </c>
      <c r="AA180" s="26">
        <f>(J180-R180)/Y180</f>
        <v/>
      </c>
      <c r="AB180" s="26">
        <f>(J180-S180)/Y180</f>
        <v/>
      </c>
      <c r="AC180" s="20">
        <f>IF(ABS(AA180)&lt;=ABS(AB180),"9EMA","21EMA")</f>
        <v/>
      </c>
      <c r="AD180" s="20" t="inlineStr">
        <is>
          <t>9+21EMA</t>
        </is>
      </c>
      <c r="AE180" s="20" t="inlineStr">
        <is>
          <t>持續在上方</t>
        </is>
      </c>
      <c r="AF180" s="20" t="inlineStr"/>
      <c r="AG180" s="20" t="inlineStr"/>
      <c r="AH180" s="20" t="inlineStr">
        <is>
          <t>✓</t>
        </is>
      </c>
      <c r="AI180" s="20" t="inlineStr">
        <is>
          <t>2026-09-21</t>
        </is>
      </c>
      <c r="AJ180" s="20" t="n">
        <v>8</v>
      </c>
      <c r="AK180" s="29" t="n">
        <v>2</v>
      </c>
      <c r="AL180" s="20" t="inlineStr">
        <is>
          <t>2026-09-18</t>
        </is>
      </c>
      <c r="AM180" s="23" t="n">
        <v>76.33</v>
      </c>
      <c r="AN180" s="23" t="n">
        <v>75.34</v>
      </c>
      <c r="AO180" s="24">
        <f>IF(ISNUMBER(AN180),AM180/AN180-1,"")</f>
        <v/>
      </c>
      <c r="AP180" s="29" t="n">
        <v>9</v>
      </c>
      <c r="AQ180" s="24">
        <f>IF(ISNUMBER(AM180),J180/AM180-1,"")</f>
        <v/>
      </c>
      <c r="AR180" s="23" t="n">
        <v>81.77</v>
      </c>
      <c r="AS180" s="24">
        <f>J180/AR180-1</f>
        <v/>
      </c>
      <c r="AT180" s="20" t="inlineStr">
        <is>
          <t>上傾擴張</t>
        </is>
      </c>
      <c r="AU180" s="30" t="n">
        <v>0.2161</v>
      </c>
      <c r="AV180" s="30" t="n">
        <v>0.009299999999999999</v>
      </c>
      <c r="AW180" s="30" t="n">
        <v>0.4601</v>
      </c>
      <c r="AX180" s="30" t="n">
        <v>0.5616</v>
      </c>
      <c r="AY180" s="29" t="n">
        <v>3</v>
      </c>
      <c r="AZ180" s="23" t="n">
        <v>83.58</v>
      </c>
      <c r="BA180" s="23" t="n">
        <v>75.34</v>
      </c>
      <c r="BB180" s="23" t="n">
        <v>79.1311</v>
      </c>
      <c r="BC180" s="30" t="n">
        <v>0.7083</v>
      </c>
      <c r="BD180" s="26">
        <f>IF(M180=N180,0.5,(J180-N180)/(M180-N180))</f>
        <v/>
      </c>
      <c r="BE180" s="31" t="n">
        <v>8.661</v>
      </c>
      <c r="BF180" s="31" t="n">
        <v>3.907</v>
      </c>
      <c r="BG180" s="32">
        <f>100*(0.4*MIN(1,MAX(0,((U180*100)-(0.0))/((2.5)-(0.0))))+0.3*MIN(1,MAX(0,((V180)-(0.6))/((1.0)-(0.6))))+0.3*MIN(1,MAX(0,((BE180)-(0.0))/((15.0)-(0.0)))))</f>
        <v/>
      </c>
      <c r="BH180" s="32">
        <f>100*(0.4*MIN(1,MAX(0,((MIN(ABS(AA180),ABS(AB180)))-(0.75))/((0.0)-(0.75))))+0.3*MIN(1,MAX(0,((BC180)-(1.2))/((0.6)-(1.2))))+0.3*BD180)</f>
        <v/>
      </c>
      <c r="BI180" s="32">
        <f>100*(0.5*MIN(1,MAX(0,((AK180)-(1.0))/((4.0)-(1.0))))+0.3*MIN(1,MAX(0,((IF(ISNUMBER(AO180),AO180,0)*100)-(0.0))/((8.0)-(0.0))))+0.2*MIN(1,MAX(0,((IF(ISNUMBER(AP180),AP180,0))-(25.0))/((5.0)-(25.0)))))</f>
        <v/>
      </c>
      <c r="BJ180" s="32">
        <f>100*(0.35*MIN(1,MAX(0,((ABS(AU180))-(0.3))/((0.05)-(0.3))))+0.3*MIN(1,MAX(0,((AV180)-(0.0))/((0.3)-(0.0))))+0.25*MIN(1,MAX(0,((AW180)-(0.4))/((0.7)-(0.4))))+0.1*IF(AY180&gt;=2,1,0.5))</f>
        <v/>
      </c>
      <c r="BK180" s="33">
        <f>0.25*BG180+0.25*BH180+0.2*BI180+0.3*BJ180</f>
        <v/>
      </c>
      <c r="BL180" s="20" t="inlineStr">
        <is>
          <t>C4 上升三角／重心偏上</t>
        </is>
      </c>
      <c r="BM180" s="20" t="inlineStr"/>
    </row>
    <row r="181">
      <c r="A181" s="20" t="n">
        <v>2</v>
      </c>
      <c r="B181" s="20" t="n">
        <v>80</v>
      </c>
      <c r="C181" s="21" t="inlineStr">
        <is>
          <t>FFIV</t>
        </is>
      </c>
      <c r="D181" s="20" t="inlineStr">
        <is>
          <t>F5 Inc.</t>
        </is>
      </c>
      <c r="E181" s="20" t="inlineStr">
        <is>
          <t>NASDAQ</t>
        </is>
      </c>
      <c r="F181" s="20" t="inlineStr">
        <is>
          <t>電訊</t>
        </is>
      </c>
      <c r="G181" s="20" t="inlineStr">
        <is>
          <t>Computer Communications Equipment</t>
        </is>
      </c>
      <c r="H181" s="22" t="n">
        <v>25.209</v>
      </c>
      <c r="I181" s="20" t="inlineStr">
        <is>
          <t>大型</t>
        </is>
      </c>
      <c r="J181" s="23" t="n">
        <v>443.68</v>
      </c>
      <c r="K181" s="23" t="n">
        <v>445.18</v>
      </c>
      <c r="L181" s="24">
        <f>J181/K181-1</f>
        <v/>
      </c>
      <c r="M181" s="23" t="n">
        <v>450.94</v>
      </c>
      <c r="N181" s="23" t="n">
        <v>440.69</v>
      </c>
      <c r="O181" s="25" t="n">
        <v>551000</v>
      </c>
      <c r="P181" s="25" t="n">
        <v>547705</v>
      </c>
      <c r="Q181" s="26">
        <f>O181/P181</f>
        <v/>
      </c>
      <c r="R181" s="23" t="n">
        <v>440.4359</v>
      </c>
      <c r="S181" s="23" t="n">
        <v>429.6987</v>
      </c>
      <c r="T181" s="23" t="n">
        <v>422.5974</v>
      </c>
      <c r="U181" s="24">
        <f>S181/T181-1</f>
        <v/>
      </c>
      <c r="V181" s="27" t="n">
        <v>1</v>
      </c>
      <c r="W181" s="24">
        <f>J181/R181-1</f>
        <v/>
      </c>
      <c r="X181" s="24">
        <f>J181/S181-1</f>
        <v/>
      </c>
      <c r="Y181" s="23" t="n">
        <v>13.4782</v>
      </c>
      <c r="Z181" s="28">
        <f>Y181/J181</f>
        <v/>
      </c>
      <c r="AA181" s="26">
        <f>(J181-R181)/Y181</f>
        <v/>
      </c>
      <c r="AB181" s="26">
        <f>(J181-S181)/Y181</f>
        <v/>
      </c>
      <c r="AC181" s="20">
        <f>IF(ABS(AA181)&lt;=ABS(AB181),"9EMA","21EMA")</f>
        <v/>
      </c>
      <c r="AD181" s="20" t="inlineStr">
        <is>
          <t>9EMA</t>
        </is>
      </c>
      <c r="AE181" s="20" t="inlineStr">
        <is>
          <t>持續在上方</t>
        </is>
      </c>
      <c r="AF181" s="20" t="inlineStr"/>
      <c r="AG181" s="20" t="inlineStr"/>
      <c r="AH181" s="20" t="inlineStr">
        <is>
          <t>✓</t>
        </is>
      </c>
      <c r="AI181" s="20" t="inlineStr">
        <is>
          <t>2026-09-11</t>
        </is>
      </c>
      <c r="AJ181" s="20" t="n">
        <v>14</v>
      </c>
      <c r="AK181" s="29" t="n">
        <v>2</v>
      </c>
      <c r="AL181" s="20" t="inlineStr">
        <is>
          <t>2026-09-02</t>
        </is>
      </c>
      <c r="AM181" s="23" t="n">
        <v>384.95</v>
      </c>
      <c r="AN181" s="23" t="n">
        <v>376.21</v>
      </c>
      <c r="AO181" s="24">
        <f>IF(ISNUMBER(AN181),AM181/AN181-1,"")</f>
        <v/>
      </c>
      <c r="AP181" s="29" t="n">
        <v>20</v>
      </c>
      <c r="AQ181" s="24">
        <f>IF(ISNUMBER(AM181),J181/AM181-1,"")</f>
        <v/>
      </c>
      <c r="AR181" s="23" t="n">
        <v>455.99</v>
      </c>
      <c r="AS181" s="24">
        <f>J181/AR181-1</f>
        <v/>
      </c>
      <c r="AT181" s="20" t="inlineStr">
        <is>
          <t>上升通道</t>
        </is>
      </c>
      <c r="AU181" s="30" t="n">
        <v>0.5989</v>
      </c>
      <c r="AV181" s="30" t="n">
        <v>0.6086</v>
      </c>
      <c r="AW181" s="30" t="n">
        <v>0.4996</v>
      </c>
      <c r="AX181" s="30" t="n">
        <v>0.5096000000000001</v>
      </c>
      <c r="AY181" s="29" t="n">
        <v>2</v>
      </c>
      <c r="AZ181" s="23" t="n">
        <v>462</v>
      </c>
      <c r="BA181" s="23" t="n">
        <v>384.95</v>
      </c>
      <c r="BB181" s="23" t="n">
        <v>423.443</v>
      </c>
      <c r="BC181" s="30" t="n">
        <v>1.195</v>
      </c>
      <c r="BD181" s="26">
        <f>IF(M181=N181,0.5,(J181-N181)/(M181-N181))</f>
        <v/>
      </c>
      <c r="BE181" s="31" t="n">
        <v>16.874</v>
      </c>
      <c r="BF181" s="31" t="n">
        <v>12.12</v>
      </c>
      <c r="BG181" s="32">
        <f>100*(0.4*MIN(1,MAX(0,((U181*100)-(0.0))/((2.5)-(0.0))))+0.3*MIN(1,MAX(0,((V181)-(0.6))/((1.0)-(0.6))))+0.3*MIN(1,MAX(0,((BE181)-(0.0))/((15.0)-(0.0)))))</f>
        <v/>
      </c>
      <c r="BH181" s="32">
        <f>100*(0.4*MIN(1,MAX(0,((MIN(ABS(AA181),ABS(AB181)))-(0.75))/((0.0)-(0.75))))+0.3*MIN(1,MAX(0,((BC181)-(1.2))/((0.6)-(1.2))))+0.3*BD181)</f>
        <v/>
      </c>
      <c r="BI181" s="32">
        <f>100*(0.5*MIN(1,MAX(0,((AK181)-(1.0))/((4.0)-(1.0))))+0.3*MIN(1,MAX(0,((IF(ISNUMBER(AO181),AO181,0)*100)-(0.0))/((8.0)-(0.0))))+0.2*MIN(1,MAX(0,((IF(ISNUMBER(AP181),AP181,0))-(25.0))/((5.0)-(25.0)))))</f>
        <v/>
      </c>
      <c r="BJ181" s="32">
        <f>100*(0.35*MIN(1,MAX(0,((ABS(AU181))-(0.3))/((0.05)-(0.3))))+0.3*MIN(1,MAX(0,((AV181)-(0.0))/((0.3)-(0.0))))+0.25*MIN(1,MAX(0,((AW181)-(0.4))/((0.7)-(0.4))))+0.1*IF(AY181&gt;=2,1,0.5))</f>
        <v/>
      </c>
      <c r="BK181" s="33">
        <f>0.25*BG181+0.25*BH181+0.2*BI181+0.3*BJ181</f>
        <v/>
      </c>
      <c r="BL181" s="20" t="inlineStr">
        <is>
          <t>C4 上升三角／重心偏上</t>
        </is>
      </c>
      <c r="BM181" s="20" t="inlineStr"/>
    </row>
    <row r="182">
      <c r="A182" s="20" t="n">
        <v>2</v>
      </c>
      <c r="B182" s="20" t="n">
        <v>81</v>
      </c>
      <c r="C182" s="21" t="inlineStr">
        <is>
          <t>EME</t>
        </is>
      </c>
      <c r="D182" s="20" t="inlineStr">
        <is>
          <t>EMCOR Group Inc.</t>
        </is>
      </c>
      <c r="E182" s="20" t="inlineStr">
        <is>
          <t>NYSE</t>
        </is>
      </c>
      <c r="F182" s="20" t="inlineStr">
        <is>
          <t>工業</t>
        </is>
      </c>
      <c r="G182" s="20" t="inlineStr">
        <is>
          <t>Engineering &amp; Construction</t>
        </is>
      </c>
      <c r="H182" s="22" t="n">
        <v>33.28</v>
      </c>
      <c r="I182" s="20" t="inlineStr">
        <is>
          <t>大型</t>
        </is>
      </c>
      <c r="J182" s="23" t="n">
        <v>769.03</v>
      </c>
      <c r="K182" s="23" t="n">
        <v>754.49</v>
      </c>
      <c r="L182" s="24">
        <f>J182/K182-1</f>
        <v/>
      </c>
      <c r="M182" s="23" t="n">
        <v>769.54</v>
      </c>
      <c r="N182" s="23" t="n">
        <v>750.3</v>
      </c>
      <c r="O182" s="25" t="n">
        <v>319800</v>
      </c>
      <c r="P182" s="25" t="n">
        <v>354865</v>
      </c>
      <c r="Q182" s="26">
        <f>O182/P182</f>
        <v/>
      </c>
      <c r="R182" s="23" t="n">
        <v>759.0063</v>
      </c>
      <c r="S182" s="23" t="n">
        <v>758.7154</v>
      </c>
      <c r="T182" s="23" t="n">
        <v>756.2686</v>
      </c>
      <c r="U182" s="24">
        <f>S182/T182-1</f>
        <v/>
      </c>
      <c r="V182" s="27" t="n">
        <v>0.5</v>
      </c>
      <c r="W182" s="24">
        <f>J182/R182-1</f>
        <v/>
      </c>
      <c r="X182" s="24">
        <f>J182/S182-1</f>
        <v/>
      </c>
      <c r="Y182" s="23" t="n">
        <v>22.7712</v>
      </c>
      <c r="Z182" s="28">
        <f>Y182/J182</f>
        <v/>
      </c>
      <c r="AA182" s="26">
        <f>(J182-R182)/Y182</f>
        <v/>
      </c>
      <c r="AB182" s="26">
        <f>(J182-S182)/Y182</f>
        <v/>
      </c>
      <c r="AC182" s="20">
        <f>IF(ABS(AA182)&lt;=ABS(AB182),"9EMA","21EMA")</f>
        <v/>
      </c>
      <c r="AD182" s="20" t="inlineStr">
        <is>
          <t>9+21EMA</t>
        </is>
      </c>
      <c r="AE182" s="19" t="inlineStr">
        <is>
          <t>剛黃金交叉</t>
        </is>
      </c>
      <c r="AF182" s="20" t="inlineStr">
        <is>
          <t>✓</t>
        </is>
      </c>
      <c r="AG182" s="20" t="inlineStr"/>
      <c r="AH182" s="20" t="inlineStr">
        <is>
          <t>✓</t>
        </is>
      </c>
      <c r="AI182" s="20" t="inlineStr">
        <is>
          <t>2026-10-01</t>
        </is>
      </c>
      <c r="AJ182" s="20" t="n">
        <v>0</v>
      </c>
      <c r="AK182" s="29" t="n">
        <v>3</v>
      </c>
      <c r="AL182" s="20" t="inlineStr">
        <is>
          <t>2026-09-24</t>
        </is>
      </c>
      <c r="AM182" s="23" t="n">
        <v>730</v>
      </c>
      <c r="AN182" s="23" t="n">
        <v>723.87</v>
      </c>
      <c r="AO182" s="24">
        <f>IF(ISNUMBER(AN182),AM182/AN182-1,"")</f>
        <v/>
      </c>
      <c r="AP182" s="29" t="n">
        <v>5</v>
      </c>
      <c r="AQ182" s="24">
        <f>IF(ISNUMBER(AM182),J182/AM182-1,"")</f>
        <v/>
      </c>
      <c r="AR182" s="23" t="n">
        <v>780.66</v>
      </c>
      <c r="AS182" s="24">
        <f>J182/AR182-1</f>
        <v/>
      </c>
      <c r="AT182" s="20" t="inlineStr">
        <is>
          <t>上升三角（平頂）</t>
        </is>
      </c>
      <c r="AU182" s="30" t="n">
        <v>-0.0477</v>
      </c>
      <c r="AV182" s="30" t="n">
        <v>0.0573</v>
      </c>
      <c r="AW182" s="30" t="n">
        <v>0.463</v>
      </c>
      <c r="AX182" s="30" t="n">
        <v>0.4352</v>
      </c>
      <c r="AY182" s="29" t="n">
        <v>7</v>
      </c>
      <c r="AZ182" s="23" t="n">
        <v>785.9</v>
      </c>
      <c r="BA182" s="23" t="n">
        <v>722.08</v>
      </c>
      <c r="BB182" s="23" t="n">
        <v>751.6279</v>
      </c>
      <c r="BC182" s="30" t="n">
        <v>0.831</v>
      </c>
      <c r="BD182" s="26">
        <f>IF(M182=N182,0.5,(J182-N182)/(M182-N182))</f>
        <v/>
      </c>
      <c r="BE182" s="31" t="n">
        <v>9.348000000000001</v>
      </c>
      <c r="BF182" s="31" t="n">
        <v>4.594</v>
      </c>
      <c r="BG182" s="32">
        <f>100*(0.4*MIN(1,MAX(0,((U182*100)-(0.0))/((2.5)-(0.0))))+0.3*MIN(1,MAX(0,((V182)-(0.6))/((1.0)-(0.6))))+0.3*MIN(1,MAX(0,((BE182)-(0.0))/((15.0)-(0.0)))))</f>
        <v/>
      </c>
      <c r="BH182" s="32">
        <f>100*(0.4*MIN(1,MAX(0,((MIN(ABS(AA182),ABS(AB182)))-(0.75))/((0.0)-(0.75))))+0.3*MIN(1,MAX(0,((BC182)-(1.2))/((0.6)-(1.2))))+0.3*BD182)</f>
        <v/>
      </c>
      <c r="BI182" s="32">
        <f>100*(0.5*MIN(1,MAX(0,((AK182)-(1.0))/((4.0)-(1.0))))+0.3*MIN(1,MAX(0,((IF(ISNUMBER(AO182),AO182,0)*100)-(0.0))/((8.0)-(0.0))))+0.2*MIN(1,MAX(0,((IF(ISNUMBER(AP182),AP182,0))-(25.0))/((5.0)-(25.0)))))</f>
        <v/>
      </c>
      <c r="BJ182" s="32">
        <f>100*(0.35*MIN(1,MAX(0,((ABS(AU182))-(0.3))/((0.05)-(0.3))))+0.3*MIN(1,MAX(0,((AV182)-(0.0))/((0.3)-(0.0))))+0.25*MIN(1,MAX(0,((AW182)-(0.4))/((0.7)-(0.4))))+0.1*IF(AY182&gt;=2,1,0.5))</f>
        <v/>
      </c>
      <c r="BK182" s="33">
        <f>0.25*BG182+0.25*BH182+0.2*BI182+0.3*BJ182</f>
        <v/>
      </c>
      <c r="BL182" s="20" t="inlineStr">
        <is>
          <t>C4 上升三角／重心偏上</t>
        </is>
      </c>
      <c r="BM182" s="20" t="inlineStr"/>
    </row>
    <row r="183">
      <c r="A183" s="20" t="n">
        <v>2</v>
      </c>
      <c r="B183" s="20" t="n">
        <v>82</v>
      </c>
      <c r="C183" s="21" t="inlineStr">
        <is>
          <t>CON</t>
        </is>
      </c>
      <c r="D183" s="20" t="inlineStr">
        <is>
          <t>Concentra Group Holdings Parent Inc.</t>
        </is>
      </c>
      <c r="E183" s="20" t="inlineStr">
        <is>
          <t>NYSE</t>
        </is>
      </c>
      <c r="F183" s="20" t="inlineStr">
        <is>
          <t>醫療保健</t>
        </is>
      </c>
      <c r="G183" s="20" t="inlineStr">
        <is>
          <t>Medical Specialities</t>
        </is>
      </c>
      <c r="H183" s="22" t="n">
        <v>4.389</v>
      </c>
      <c r="I183" s="20" t="inlineStr">
        <is>
          <t>中型</t>
        </is>
      </c>
      <c r="J183" s="23" t="n">
        <v>34.97</v>
      </c>
      <c r="K183" s="23" t="n">
        <v>34.42</v>
      </c>
      <c r="L183" s="24">
        <f>J183/K183-1</f>
        <v/>
      </c>
      <c r="M183" s="23" t="n">
        <v>35.25</v>
      </c>
      <c r="N183" s="23" t="n">
        <v>34.052</v>
      </c>
      <c r="O183" s="25" t="n">
        <v>876400</v>
      </c>
      <c r="P183" s="25" t="n">
        <v>981965</v>
      </c>
      <c r="Q183" s="26">
        <f>O183/P183</f>
        <v/>
      </c>
      <c r="R183" s="23" t="n">
        <v>34.9716</v>
      </c>
      <c r="S183" s="23" t="n">
        <v>34.8446</v>
      </c>
      <c r="T183" s="23" t="n">
        <v>34.7496</v>
      </c>
      <c r="U183" s="24">
        <f>S183/T183-1</f>
        <v/>
      </c>
      <c r="V183" s="27" t="n">
        <v>0.8</v>
      </c>
      <c r="W183" s="24">
        <f>J183/R183-1</f>
        <v/>
      </c>
      <c r="X183" s="24">
        <f>J183/S183-1</f>
        <v/>
      </c>
      <c r="Y183" s="23" t="n">
        <v>0.9439</v>
      </c>
      <c r="Z183" s="28">
        <f>Y183/J183</f>
        <v/>
      </c>
      <c r="AA183" s="26">
        <f>(J183-R183)/Y183</f>
        <v/>
      </c>
      <c r="AB183" s="26">
        <f>(J183-S183)/Y183</f>
        <v/>
      </c>
      <c r="AC183" s="20">
        <f>IF(ABS(AA183)&lt;=ABS(AB183),"9EMA","21EMA")</f>
        <v/>
      </c>
      <c r="AD183" s="20" t="inlineStr">
        <is>
          <t>9+21EMA</t>
        </is>
      </c>
      <c r="AE183" s="20" t="inlineStr">
        <is>
          <t>持續在上方</t>
        </is>
      </c>
      <c r="AF183" s="20" t="inlineStr"/>
      <c r="AG183" s="20" t="inlineStr"/>
      <c r="AH183" s="20" t="inlineStr">
        <is>
          <t>✓</t>
        </is>
      </c>
      <c r="AI183" s="20" t="inlineStr">
        <is>
          <t>2026-04-14</t>
        </is>
      </c>
      <c r="AJ183" s="20" t="n">
        <v>118</v>
      </c>
      <c r="AK183" s="29" t="n">
        <v>2</v>
      </c>
      <c r="AL183" s="20" t="inlineStr">
        <is>
          <t>2026-09-25</t>
        </is>
      </c>
      <c r="AM183" s="23" t="n">
        <v>34.32</v>
      </c>
      <c r="AN183" s="23" t="n">
        <v>33.32</v>
      </c>
      <c r="AO183" s="24">
        <f>IF(ISNUMBER(AN183),AM183/AN183-1,"")</f>
        <v/>
      </c>
      <c r="AP183" s="29" t="n">
        <v>4</v>
      </c>
      <c r="AQ183" s="24">
        <f>IF(ISNUMBER(AM183),J183/AM183-1,"")</f>
        <v/>
      </c>
      <c r="AR183" s="23" t="n">
        <v>36.37</v>
      </c>
      <c r="AS183" s="24">
        <f>J183/AR183-1</f>
        <v/>
      </c>
      <c r="AT183" s="20" t="inlineStr">
        <is>
          <t>上升通道</t>
        </is>
      </c>
      <c r="AU183" s="30" t="n">
        <v>0.1421</v>
      </c>
      <c r="AV183" s="30" t="n">
        <v>0.1294</v>
      </c>
      <c r="AW183" s="30" t="n">
        <v>0.4885</v>
      </c>
      <c r="AX183" s="30" t="n">
        <v>0.47</v>
      </c>
      <c r="AY183" s="29" t="n">
        <v>2</v>
      </c>
      <c r="AZ183" s="23" t="n">
        <v>36.71</v>
      </c>
      <c r="BA183" s="23" t="n">
        <v>33.32</v>
      </c>
      <c r="BB183" s="23" t="n">
        <v>34.9761</v>
      </c>
      <c r="BC183" s="30" t="n">
        <v>2.1944</v>
      </c>
      <c r="BD183" s="26">
        <f>IF(M183=N183,0.5,(J183-N183)/(M183-N183))</f>
        <v/>
      </c>
      <c r="BE183" s="31" t="n">
        <v>7.941</v>
      </c>
      <c r="BF183" s="31" t="n">
        <v>3.187</v>
      </c>
      <c r="BG183" s="32">
        <f>100*(0.4*MIN(1,MAX(0,((U183*100)-(0.0))/((2.5)-(0.0))))+0.3*MIN(1,MAX(0,((V183)-(0.6))/((1.0)-(0.6))))+0.3*MIN(1,MAX(0,((BE183)-(0.0))/((15.0)-(0.0)))))</f>
        <v/>
      </c>
      <c r="BH183" s="32">
        <f>100*(0.4*MIN(1,MAX(0,((MIN(ABS(AA183),ABS(AB183)))-(0.75))/((0.0)-(0.75))))+0.3*MIN(1,MAX(0,((BC183)-(1.2))/((0.6)-(1.2))))+0.3*BD183)</f>
        <v/>
      </c>
      <c r="BI183" s="32">
        <f>100*(0.5*MIN(1,MAX(0,((AK183)-(1.0))/((4.0)-(1.0))))+0.3*MIN(1,MAX(0,((IF(ISNUMBER(AO183),AO183,0)*100)-(0.0))/((8.0)-(0.0))))+0.2*MIN(1,MAX(0,((IF(ISNUMBER(AP183),AP183,0))-(25.0))/((5.0)-(25.0)))))</f>
        <v/>
      </c>
      <c r="BJ183" s="32">
        <f>100*(0.35*MIN(1,MAX(0,((ABS(AU183))-(0.3))/((0.05)-(0.3))))+0.3*MIN(1,MAX(0,((AV183)-(0.0))/((0.3)-(0.0))))+0.25*MIN(1,MAX(0,((AW183)-(0.4))/((0.7)-(0.4))))+0.1*IF(AY183&gt;=2,1,0.5))</f>
        <v/>
      </c>
      <c r="BK183" s="33">
        <f>0.25*BG183+0.25*BH183+0.2*BI183+0.3*BJ183</f>
        <v/>
      </c>
      <c r="BL183" s="20" t="inlineStr">
        <is>
          <t>C4 上升三角／重心偏上</t>
        </is>
      </c>
      <c r="BM183" s="20" t="inlineStr"/>
    </row>
    <row r="184">
      <c r="A184" s="20" t="n">
        <v>2</v>
      </c>
      <c r="B184" s="20" t="n">
        <v>83</v>
      </c>
      <c r="C184" s="21" t="inlineStr">
        <is>
          <t>FLEX</t>
        </is>
      </c>
      <c r="D184" s="20" t="inlineStr">
        <is>
          <t>Flex Ltd.</t>
        </is>
      </c>
      <c r="E184" s="20" t="inlineStr">
        <is>
          <t>NASDAQ</t>
        </is>
      </c>
      <c r="F184" s="20" t="inlineStr">
        <is>
          <t>科技</t>
        </is>
      </c>
      <c r="G184" s="20" t="inlineStr">
        <is>
          <t>Electrical Products</t>
        </is>
      </c>
      <c r="H184" s="22" t="n">
        <v>40.631</v>
      </c>
      <c r="I184" s="20" t="inlineStr">
        <is>
          <t>大型</t>
        </is>
      </c>
      <c r="J184" s="23" t="n">
        <v>112.78</v>
      </c>
      <c r="K184" s="23" t="n">
        <v>109.99</v>
      </c>
      <c r="L184" s="24">
        <f>J184/K184-1</f>
        <v/>
      </c>
      <c r="M184" s="23" t="n">
        <v>113.5</v>
      </c>
      <c r="N184" s="23" t="n">
        <v>108.06</v>
      </c>
      <c r="O184" s="25" t="n">
        <v>2095600</v>
      </c>
      <c r="P184" s="25" t="n">
        <v>3318420</v>
      </c>
      <c r="Q184" s="26">
        <f>O184/P184</f>
        <v/>
      </c>
      <c r="R184" s="23" t="n">
        <v>112.1813</v>
      </c>
      <c r="S184" s="23" t="n">
        <v>112.1693</v>
      </c>
      <c r="T184" s="23" t="n">
        <v>111.8222</v>
      </c>
      <c r="U184" s="24">
        <f>S184/T184-1</f>
        <v/>
      </c>
      <c r="V184" s="27" t="n">
        <v>0.8</v>
      </c>
      <c r="W184" s="24">
        <f>J184/R184-1</f>
        <v/>
      </c>
      <c r="X184" s="24">
        <f>J184/S184-1</f>
        <v/>
      </c>
      <c r="Y184" s="23" t="n">
        <v>5.3509</v>
      </c>
      <c r="Z184" s="28">
        <f>Y184/J184</f>
        <v/>
      </c>
      <c r="AA184" s="26">
        <f>(J184-R184)/Y184</f>
        <v/>
      </c>
      <c r="AB184" s="26">
        <f>(J184-S184)/Y184</f>
        <v/>
      </c>
      <c r="AC184" s="20">
        <f>IF(ABS(AA184)&lt;=ABS(AB184),"9EMA","21EMA")</f>
        <v/>
      </c>
      <c r="AD184" s="20" t="inlineStr">
        <is>
          <t>9+21EMA</t>
        </is>
      </c>
      <c r="AE184" s="19" t="inlineStr">
        <is>
          <t>剛黃金交叉</t>
        </is>
      </c>
      <c r="AF184" s="20" t="inlineStr">
        <is>
          <t>✓</t>
        </is>
      </c>
      <c r="AG184" s="20" t="inlineStr"/>
      <c r="AH184" s="20" t="inlineStr">
        <is>
          <t>✓</t>
        </is>
      </c>
      <c r="AI184" s="20" t="inlineStr">
        <is>
          <t>2026-10-01</t>
        </is>
      </c>
      <c r="AJ184" s="20" t="n">
        <v>0</v>
      </c>
      <c r="AK184" s="29" t="n">
        <v>2</v>
      </c>
      <c r="AL184" s="20" t="inlineStr">
        <is>
          <t>2026-09-16</t>
        </is>
      </c>
      <c r="AM184" s="23" t="n">
        <v>105.85</v>
      </c>
      <c r="AN184" s="23" t="n">
        <v>102.25</v>
      </c>
      <c r="AO184" s="24">
        <f>IF(ISNUMBER(AN184),AM184/AN184-1,"")</f>
        <v/>
      </c>
      <c r="AP184" s="29" t="n">
        <v>11</v>
      </c>
      <c r="AQ184" s="24">
        <f>IF(ISNUMBER(AM184),J184/AM184-1,"")</f>
        <v/>
      </c>
      <c r="AR184" s="23" t="n">
        <v>115.78</v>
      </c>
      <c r="AS184" s="24">
        <f>J184/AR184-1</f>
        <v/>
      </c>
      <c r="AT184" s="20" t="inlineStr">
        <is>
          <t>上傾收窄（楔形）</t>
        </is>
      </c>
      <c r="AU184" s="30" t="n">
        <v>0.2035</v>
      </c>
      <c r="AV184" s="30" t="n">
        <v>0.399</v>
      </c>
      <c r="AW184" s="30" t="n">
        <v>0.4529</v>
      </c>
      <c r="AX184" s="30" t="n">
        <v>0.4765</v>
      </c>
      <c r="AY184" s="29" t="n">
        <v>1</v>
      </c>
      <c r="AZ184" s="23" t="n">
        <v>120.76</v>
      </c>
      <c r="BA184" s="23" t="n">
        <v>102.25</v>
      </c>
      <c r="BB184" s="23" t="n">
        <v>110.6335</v>
      </c>
      <c r="BC184" s="30" t="n">
        <v>1.7778</v>
      </c>
      <c r="BD184" s="26">
        <f>IF(M184=N184,0.5,(J184-N184)/(M184-N184))</f>
        <v/>
      </c>
      <c r="BE184" s="31" t="n">
        <v>10.294</v>
      </c>
      <c r="BF184" s="31" t="n">
        <v>5.54</v>
      </c>
      <c r="BG184" s="32">
        <f>100*(0.4*MIN(1,MAX(0,((U184*100)-(0.0))/((2.5)-(0.0))))+0.3*MIN(1,MAX(0,((V184)-(0.6))/((1.0)-(0.6))))+0.3*MIN(1,MAX(0,((BE184)-(0.0))/((15.0)-(0.0)))))</f>
        <v/>
      </c>
      <c r="BH184" s="32">
        <f>100*(0.4*MIN(1,MAX(0,((MIN(ABS(AA184),ABS(AB184)))-(0.75))/((0.0)-(0.75))))+0.3*MIN(1,MAX(0,((BC184)-(1.2))/((0.6)-(1.2))))+0.3*BD184)</f>
        <v/>
      </c>
      <c r="BI184" s="32">
        <f>100*(0.5*MIN(1,MAX(0,((AK184)-(1.0))/((4.0)-(1.0))))+0.3*MIN(1,MAX(0,((IF(ISNUMBER(AO184),AO184,0)*100)-(0.0))/((8.0)-(0.0))))+0.2*MIN(1,MAX(0,((IF(ISNUMBER(AP184),AP184,0))-(25.0))/((5.0)-(25.0)))))</f>
        <v/>
      </c>
      <c r="BJ184" s="32">
        <f>100*(0.35*MIN(1,MAX(0,((ABS(AU184))-(0.3))/((0.05)-(0.3))))+0.3*MIN(1,MAX(0,((AV184)-(0.0))/((0.3)-(0.0))))+0.25*MIN(1,MAX(0,((AW184)-(0.4))/((0.7)-(0.4))))+0.1*IF(AY184&gt;=2,1,0.5))</f>
        <v/>
      </c>
      <c r="BK184" s="33">
        <f>0.25*BG184+0.25*BH184+0.2*BI184+0.3*BJ184</f>
        <v/>
      </c>
      <c r="BL184" s="20" t="inlineStr">
        <is>
          <t>C4 上升三角／重心偏上</t>
        </is>
      </c>
      <c r="BM184" s="20" t="inlineStr"/>
    </row>
    <row r="185">
      <c r="A185" s="20" t="n">
        <v>2</v>
      </c>
      <c r="B185" s="20" t="n">
        <v>84</v>
      </c>
      <c r="C185" s="21" t="inlineStr">
        <is>
          <t>PEB</t>
        </is>
      </c>
      <c r="D185" s="20" t="inlineStr">
        <is>
          <t>Pebblebrook Hotel Trust</t>
        </is>
      </c>
      <c r="E185" s="20" t="inlineStr">
        <is>
          <t>NYSE</t>
        </is>
      </c>
      <c r="F185" s="20" t="inlineStr">
        <is>
          <t>房地產</t>
        </is>
      </c>
      <c r="G185" s="20" t="inlineStr">
        <is>
          <t>Real Estate Investment Trusts</t>
        </is>
      </c>
      <c r="H185" s="22" t="n">
        <v>2.117</v>
      </c>
      <c r="I185" s="20" t="inlineStr">
        <is>
          <t>中型</t>
        </is>
      </c>
      <c r="J185" s="23" t="n">
        <v>18.81</v>
      </c>
      <c r="K185" s="23" t="n">
        <v>18.76</v>
      </c>
      <c r="L185" s="24">
        <f>J185/K185-1</f>
        <v/>
      </c>
      <c r="M185" s="23" t="n">
        <v>18.97</v>
      </c>
      <c r="N185" s="23" t="n">
        <v>18.49</v>
      </c>
      <c r="O185" s="25" t="n">
        <v>2496100</v>
      </c>
      <c r="P185" s="25" t="n">
        <v>2248535</v>
      </c>
      <c r="Q185" s="26">
        <f>O185/P185</f>
        <v/>
      </c>
      <c r="R185" s="23" t="n">
        <v>18.5516</v>
      </c>
      <c r="S185" s="23" t="n">
        <v>18.3675</v>
      </c>
      <c r="T185" s="23" t="n">
        <v>18.1639</v>
      </c>
      <c r="U185" s="24">
        <f>S185/T185-1</f>
        <v/>
      </c>
      <c r="V185" s="27" t="n">
        <v>0.9</v>
      </c>
      <c r="W185" s="24">
        <f>J185/R185-1</f>
        <v/>
      </c>
      <c r="X185" s="24">
        <f>J185/S185-1</f>
        <v/>
      </c>
      <c r="Y185" s="23" t="n">
        <v>0.488</v>
      </c>
      <c r="Z185" s="28">
        <f>Y185/J185</f>
        <v/>
      </c>
      <c r="AA185" s="26">
        <f>(J185-R185)/Y185</f>
        <v/>
      </c>
      <c r="AB185" s="26">
        <f>(J185-S185)/Y185</f>
        <v/>
      </c>
      <c r="AC185" s="20">
        <f>IF(ABS(AA185)&lt;=ABS(AB185),"9EMA","21EMA")</f>
        <v/>
      </c>
      <c r="AD185" s="20" t="inlineStr">
        <is>
          <t>9EMA</t>
        </is>
      </c>
      <c r="AE185" s="19" t="inlineStr">
        <is>
          <t>剛黃金交叉</t>
        </is>
      </c>
      <c r="AF185" s="20" t="inlineStr">
        <is>
          <t>✓</t>
        </is>
      </c>
      <c r="AG185" s="20" t="inlineStr"/>
      <c r="AH185" s="20" t="inlineStr">
        <is>
          <t>✓</t>
        </is>
      </c>
      <c r="AI185" s="20" t="inlineStr">
        <is>
          <t>2026-09-24</t>
        </is>
      </c>
      <c r="AJ185" s="20" t="n">
        <v>5</v>
      </c>
      <c r="AK185" s="29" t="n">
        <v>3</v>
      </c>
      <c r="AL185" s="20" t="inlineStr">
        <is>
          <t>2026-09-16</t>
        </is>
      </c>
      <c r="AM185" s="23" t="n">
        <v>17.49</v>
      </c>
      <c r="AN185" s="23" t="n">
        <v>17.46</v>
      </c>
      <c r="AO185" s="24">
        <f>IF(ISNUMBER(AN185),AM185/AN185-1,"")</f>
        <v/>
      </c>
      <c r="AP185" s="29" t="n">
        <v>11</v>
      </c>
      <c r="AQ185" s="24">
        <f>IF(ISNUMBER(AM185),J185/AM185-1,"")</f>
        <v/>
      </c>
      <c r="AR185" s="23" t="n">
        <v>18.81</v>
      </c>
      <c r="AS185" s="24">
        <f>J185/AR185-1</f>
        <v/>
      </c>
      <c r="AT185" s="20" t="inlineStr">
        <is>
          <t>上升三角（平頂）</t>
        </is>
      </c>
      <c r="AU185" s="30" t="n">
        <v>-0.0584</v>
      </c>
      <c r="AV185" s="30" t="n">
        <v>0.0425</v>
      </c>
      <c r="AW185" s="30" t="n">
        <v>0.484</v>
      </c>
      <c r="AX185" s="30" t="n">
        <v>0.4488</v>
      </c>
      <c r="AY185" s="29" t="n">
        <v>7</v>
      </c>
      <c r="AZ185" s="23" t="n">
        <v>18.97</v>
      </c>
      <c r="BA185" s="23" t="n">
        <v>17.41</v>
      </c>
      <c r="BB185" s="23" t="n">
        <v>18.165</v>
      </c>
      <c r="BC185" s="30" t="n">
        <v>1.2036</v>
      </c>
      <c r="BD185" s="26">
        <f>IF(M185=N185,0.5,(J185-N185)/(M185-N185))</f>
        <v/>
      </c>
      <c r="BE185" s="31" t="n">
        <v>10.786</v>
      </c>
      <c r="BF185" s="31" t="n">
        <v>6.032</v>
      </c>
      <c r="BG185" s="32">
        <f>100*(0.4*MIN(1,MAX(0,((U185*100)-(0.0))/((2.5)-(0.0))))+0.3*MIN(1,MAX(0,((V185)-(0.6))/((1.0)-(0.6))))+0.3*MIN(1,MAX(0,((BE185)-(0.0))/((15.0)-(0.0)))))</f>
        <v/>
      </c>
      <c r="BH185" s="32">
        <f>100*(0.4*MIN(1,MAX(0,((MIN(ABS(AA185),ABS(AB185)))-(0.75))/((0.0)-(0.75))))+0.3*MIN(1,MAX(0,((BC185)-(1.2))/((0.6)-(1.2))))+0.3*BD185)</f>
        <v/>
      </c>
      <c r="BI185" s="32">
        <f>100*(0.5*MIN(1,MAX(0,((AK185)-(1.0))/((4.0)-(1.0))))+0.3*MIN(1,MAX(0,((IF(ISNUMBER(AO185),AO185,0)*100)-(0.0))/((8.0)-(0.0))))+0.2*MIN(1,MAX(0,((IF(ISNUMBER(AP185),AP185,0))-(25.0))/((5.0)-(25.0)))))</f>
        <v/>
      </c>
      <c r="BJ185" s="32">
        <f>100*(0.35*MIN(1,MAX(0,((ABS(AU185))-(0.3))/((0.05)-(0.3))))+0.3*MIN(1,MAX(0,((AV185)-(0.0))/((0.3)-(0.0))))+0.25*MIN(1,MAX(0,((AW185)-(0.4))/((0.7)-(0.4))))+0.1*IF(AY185&gt;=2,1,0.5))</f>
        <v/>
      </c>
      <c r="BK185" s="33">
        <f>0.25*BG185+0.25*BH185+0.2*BI185+0.3*BJ185</f>
        <v/>
      </c>
      <c r="BL185" s="20" t="inlineStr">
        <is>
          <t>C4 上升三角／重心偏上</t>
        </is>
      </c>
      <c r="BM185" s="20" t="inlineStr"/>
    </row>
    <row r="186">
      <c r="A186" s="20" t="n">
        <v>2</v>
      </c>
      <c r="B186" s="20" t="n">
        <v>85</v>
      </c>
      <c r="C186" s="21" t="inlineStr">
        <is>
          <t>CTKB</t>
        </is>
      </c>
      <c r="D186" s="20" t="inlineStr">
        <is>
          <t>Cytek Biosciences Inc.</t>
        </is>
      </c>
      <c r="E186" s="20" t="inlineStr">
        <is>
          <t>NASDAQ</t>
        </is>
      </c>
      <c r="F186" s="20" t="inlineStr">
        <is>
          <t>工業</t>
        </is>
      </c>
      <c r="G186" s="20" t="inlineStr">
        <is>
          <t>Biotechnology: Laboratory Analytical Instruments</t>
        </is>
      </c>
      <c r="H186" s="22" t="n">
        <v>0.775</v>
      </c>
      <c r="I186" s="20" t="inlineStr">
        <is>
          <t>小型</t>
        </is>
      </c>
      <c r="J186" s="23" t="n">
        <v>5.81</v>
      </c>
      <c r="K186" s="23" t="n">
        <v>5.96</v>
      </c>
      <c r="L186" s="24">
        <f>J186/K186-1</f>
        <v/>
      </c>
      <c r="M186" s="23" t="n">
        <v>5.97</v>
      </c>
      <c r="N186" s="23" t="n">
        <v>5.75</v>
      </c>
      <c r="O186" s="25" t="n">
        <v>1571600</v>
      </c>
      <c r="P186" s="25" t="n">
        <v>1406670</v>
      </c>
      <c r="Q186" s="26">
        <f>O186/P186</f>
        <v/>
      </c>
      <c r="R186" s="23" t="n">
        <v>5.6567</v>
      </c>
      <c r="S186" s="23" t="n">
        <v>5.3325</v>
      </c>
      <c r="T186" s="23" t="n">
        <v>5.0508</v>
      </c>
      <c r="U186" s="24">
        <f>S186/T186-1</f>
        <v/>
      </c>
      <c r="V186" s="27" t="n">
        <v>1</v>
      </c>
      <c r="W186" s="24">
        <f>J186/R186-1</f>
        <v/>
      </c>
      <c r="X186" s="24">
        <f>J186/S186-1</f>
        <v/>
      </c>
      <c r="Y186" s="23" t="n">
        <v>0.2479</v>
      </c>
      <c r="Z186" s="28">
        <f>Y186/J186</f>
        <v/>
      </c>
      <c r="AA186" s="26">
        <f>(J186-R186)/Y186</f>
        <v/>
      </c>
      <c r="AB186" s="26">
        <f>(J186-S186)/Y186</f>
        <v/>
      </c>
      <c r="AC186" s="20">
        <f>IF(ABS(AA186)&lt;=ABS(AB186),"9EMA","21EMA")</f>
        <v/>
      </c>
      <c r="AD186" s="20" t="inlineStr">
        <is>
          <t>—</t>
        </is>
      </c>
      <c r="AE186" s="20" t="inlineStr">
        <is>
          <t>持續在上方</t>
        </is>
      </c>
      <c r="AF186" s="20" t="inlineStr"/>
      <c r="AG186" s="20" t="inlineStr"/>
      <c r="AH186" s="20" t="inlineStr">
        <is>
          <t>✓</t>
        </is>
      </c>
      <c r="AI186" s="20" t="inlineStr">
        <is>
          <t>2026-08-11</t>
        </is>
      </c>
      <c r="AJ186" s="20" t="n">
        <v>36</v>
      </c>
      <c r="AK186" s="29" t="n">
        <v>3</v>
      </c>
      <c r="AL186" s="20" t="inlineStr">
        <is>
          <t>2026-09-11</t>
        </is>
      </c>
      <c r="AM186" s="23" t="n">
        <v>4.485</v>
      </c>
      <c r="AN186" s="23" t="n">
        <v>4.48</v>
      </c>
      <c r="AO186" s="24">
        <f>IF(ISNUMBER(AN186),AM186/AN186-1,"")</f>
        <v/>
      </c>
      <c r="AP186" s="29" t="n">
        <v>14</v>
      </c>
      <c r="AQ186" s="24">
        <f>IF(ISNUMBER(AM186),J186/AM186-1,"")</f>
        <v/>
      </c>
      <c r="AR186" s="23" t="n">
        <v>5.96</v>
      </c>
      <c r="AS186" s="24">
        <f>J186/AR186-1</f>
        <v/>
      </c>
      <c r="AT186" s="20" t="inlineStr">
        <is>
          <t>上傾擴張</t>
        </is>
      </c>
      <c r="AU186" s="30" t="n">
        <v>1.1241</v>
      </c>
      <c r="AV186" s="30" t="n">
        <v>0.0108</v>
      </c>
      <c r="AW186" s="30" t="n">
        <v>0.4991</v>
      </c>
      <c r="AX186" s="30" t="n">
        <v>0.4903</v>
      </c>
      <c r="AY186" s="29" t="n">
        <v>2</v>
      </c>
      <c r="AZ186" s="23" t="n">
        <v>5.985</v>
      </c>
      <c r="BA186" s="23" t="n">
        <v>4.48</v>
      </c>
      <c r="BB186" s="23" t="n">
        <v>5.2311</v>
      </c>
      <c r="BC186" s="30" t="n">
        <v>0.7796999999999999</v>
      </c>
      <c r="BD186" s="26">
        <f>IF(M186=N186,0.5,(J186-N186)/(M186-N186))</f>
        <v/>
      </c>
      <c r="BE186" s="31" t="n">
        <v>30.512</v>
      </c>
      <c r="BF186" s="31" t="n">
        <v>25.758</v>
      </c>
      <c r="BG186" s="32">
        <f>100*(0.4*MIN(1,MAX(0,((U186*100)-(0.0))/((2.5)-(0.0))))+0.3*MIN(1,MAX(0,((V186)-(0.6))/((1.0)-(0.6))))+0.3*MIN(1,MAX(0,((BE186)-(0.0))/((15.0)-(0.0)))))</f>
        <v/>
      </c>
      <c r="BH186" s="32">
        <f>100*(0.4*MIN(1,MAX(0,((MIN(ABS(AA186),ABS(AB186)))-(0.75))/((0.0)-(0.75))))+0.3*MIN(1,MAX(0,((BC186)-(1.2))/((0.6)-(1.2))))+0.3*BD186)</f>
        <v/>
      </c>
      <c r="BI186" s="32">
        <f>100*(0.5*MIN(1,MAX(0,((AK186)-(1.0))/((4.0)-(1.0))))+0.3*MIN(1,MAX(0,((IF(ISNUMBER(AO186),AO186,0)*100)-(0.0))/((8.0)-(0.0))))+0.2*MIN(1,MAX(0,((IF(ISNUMBER(AP186),AP186,0))-(25.0))/((5.0)-(25.0)))))</f>
        <v/>
      </c>
      <c r="BJ186" s="32">
        <f>100*(0.35*MIN(1,MAX(0,((ABS(AU186))-(0.3))/((0.05)-(0.3))))+0.3*MIN(1,MAX(0,((AV186)-(0.0))/((0.3)-(0.0))))+0.25*MIN(1,MAX(0,((AW186)-(0.4))/((0.7)-(0.4))))+0.1*IF(AY186&gt;=2,1,0.5))</f>
        <v/>
      </c>
      <c r="BK186" s="33">
        <f>0.25*BG186+0.25*BH186+0.2*BI186+0.3*BJ186</f>
        <v/>
      </c>
      <c r="BL186" s="20" t="inlineStr">
        <is>
          <t>C4 上升三角／重心偏上</t>
        </is>
      </c>
      <c r="BM186" s="20" t="inlineStr"/>
    </row>
    <row r="187">
      <c r="A187" s="20" t="n">
        <v>2</v>
      </c>
      <c r="B187" s="20" t="n">
        <v>86</v>
      </c>
      <c r="C187" s="21" t="inlineStr">
        <is>
          <t>WMK</t>
        </is>
      </c>
      <c r="D187" s="20" t="inlineStr">
        <is>
          <t>Weis Markets Inc.</t>
        </is>
      </c>
      <c r="E187" s="20" t="inlineStr">
        <is>
          <t>NYSE</t>
        </is>
      </c>
      <c r="F187" s="20" t="inlineStr">
        <is>
          <t>必需消費</t>
        </is>
      </c>
      <c r="G187" s="20" t="inlineStr">
        <is>
          <t>Food Chains</t>
        </is>
      </c>
      <c r="H187" s="22" t="n">
        <v>1.806</v>
      </c>
      <c r="I187" s="20" t="inlineStr">
        <is>
          <t>小型</t>
        </is>
      </c>
      <c r="J187" s="23" t="n">
        <v>72.62</v>
      </c>
      <c r="K187" s="23" t="n">
        <v>72.98</v>
      </c>
      <c r="L187" s="24">
        <f>J187/K187-1</f>
        <v/>
      </c>
      <c r="M187" s="23" t="n">
        <v>73.45999999999999</v>
      </c>
      <c r="N187" s="23" t="n">
        <v>72.11</v>
      </c>
      <c r="O187" s="25" t="n">
        <v>164700</v>
      </c>
      <c r="P187" s="25" t="n">
        <v>225200</v>
      </c>
      <c r="Q187" s="26">
        <f>O187/P187</f>
        <v/>
      </c>
      <c r="R187" s="23" t="n">
        <v>72.6032</v>
      </c>
      <c r="S187" s="23" t="n">
        <v>72.3603</v>
      </c>
      <c r="T187" s="23" t="n">
        <v>72.1551</v>
      </c>
      <c r="U187" s="24">
        <f>S187/T187-1</f>
        <v/>
      </c>
      <c r="V187" s="27" t="n">
        <v>0.9</v>
      </c>
      <c r="W187" s="24">
        <f>J187/R187-1</f>
        <v/>
      </c>
      <c r="X187" s="24">
        <f>J187/S187-1</f>
        <v/>
      </c>
      <c r="Y187" s="23" t="n">
        <v>1.604</v>
      </c>
      <c r="Z187" s="28">
        <f>Y187/J187</f>
        <v/>
      </c>
      <c r="AA187" s="26">
        <f>(J187-R187)/Y187</f>
        <v/>
      </c>
      <c r="AB187" s="26">
        <f>(J187-S187)/Y187</f>
        <v/>
      </c>
      <c r="AC187" s="20">
        <f>IF(ABS(AA187)&lt;=ABS(AB187),"9EMA","21EMA")</f>
        <v/>
      </c>
      <c r="AD187" s="20" t="inlineStr">
        <is>
          <t>9+21EMA</t>
        </is>
      </c>
      <c r="AE187" s="20" t="inlineStr">
        <is>
          <t>持續在上方</t>
        </is>
      </c>
      <c r="AF187" s="20" t="inlineStr"/>
      <c r="AG187" s="20" t="inlineStr"/>
      <c r="AH187" s="20" t="inlineStr">
        <is>
          <t>✓</t>
        </is>
      </c>
      <c r="AI187" s="20" t="inlineStr">
        <is>
          <t>2026-09-16</t>
        </is>
      </c>
      <c r="AJ187" s="20" t="n">
        <v>11</v>
      </c>
      <c r="AK187" s="29" t="n">
        <v>4</v>
      </c>
      <c r="AL187" s="20" t="inlineStr">
        <is>
          <t>2026-09-25</t>
        </is>
      </c>
      <c r="AM187" s="23" t="n">
        <v>71.41</v>
      </c>
      <c r="AN187" s="23" t="n">
        <v>69.45999999999999</v>
      </c>
      <c r="AO187" s="24">
        <f>IF(ISNUMBER(AN187),AM187/AN187-1,"")</f>
        <v/>
      </c>
      <c r="AP187" s="29" t="n">
        <v>4</v>
      </c>
      <c r="AQ187" s="24">
        <f>IF(ISNUMBER(AM187),J187/AM187-1,"")</f>
        <v/>
      </c>
      <c r="AR187" s="23" t="n">
        <v>73.04000000000001</v>
      </c>
      <c r="AS187" s="24">
        <f>J187/AR187-1</f>
        <v/>
      </c>
      <c r="AT187" s="20" t="inlineStr">
        <is>
          <t>上傾擴張</t>
        </is>
      </c>
      <c r="AU187" s="30" t="n">
        <v>0.305</v>
      </c>
      <c r="AV187" s="30" t="n">
        <v>0.1482</v>
      </c>
      <c r="AW187" s="30" t="n">
        <v>0.4545</v>
      </c>
      <c r="AX187" s="30" t="n">
        <v>0.6956</v>
      </c>
      <c r="AY187" s="29" t="n">
        <v>1</v>
      </c>
      <c r="AZ187" s="23" t="n">
        <v>75.31999999999999</v>
      </c>
      <c r="BA187" s="23" t="n">
        <v>69.31</v>
      </c>
      <c r="BB187" s="23" t="n">
        <v>72.04170000000001</v>
      </c>
      <c r="BC187" s="30" t="n">
        <v>1.4197</v>
      </c>
      <c r="BD187" s="26">
        <f>IF(M187=N187,0.5,(J187-N187)/(M187-N187))</f>
        <v/>
      </c>
      <c r="BE187" s="31" t="n">
        <v>8.526999999999999</v>
      </c>
      <c r="BF187" s="31" t="n">
        <v>3.773</v>
      </c>
      <c r="BG187" s="32">
        <f>100*(0.4*MIN(1,MAX(0,((U187*100)-(0.0))/((2.5)-(0.0))))+0.3*MIN(1,MAX(0,((V187)-(0.6))/((1.0)-(0.6))))+0.3*MIN(1,MAX(0,((BE187)-(0.0))/((15.0)-(0.0)))))</f>
        <v/>
      </c>
      <c r="BH187" s="32">
        <f>100*(0.4*MIN(1,MAX(0,((MIN(ABS(AA187),ABS(AB187)))-(0.75))/((0.0)-(0.75))))+0.3*MIN(1,MAX(0,((BC187)-(1.2))/((0.6)-(1.2))))+0.3*BD187)</f>
        <v/>
      </c>
      <c r="BI187" s="32">
        <f>100*(0.5*MIN(1,MAX(0,((AK187)-(1.0))/((4.0)-(1.0))))+0.3*MIN(1,MAX(0,((IF(ISNUMBER(AO187),AO187,0)*100)-(0.0))/((8.0)-(0.0))))+0.2*MIN(1,MAX(0,((IF(ISNUMBER(AP187),AP187,0))-(25.0))/((5.0)-(25.0)))))</f>
        <v/>
      </c>
      <c r="BJ187" s="32">
        <f>100*(0.35*MIN(1,MAX(0,((ABS(AU187))-(0.3))/((0.05)-(0.3))))+0.3*MIN(1,MAX(0,((AV187)-(0.0))/((0.3)-(0.0))))+0.25*MIN(1,MAX(0,((AW187)-(0.4))/((0.7)-(0.4))))+0.1*IF(AY187&gt;=2,1,0.5))</f>
        <v/>
      </c>
      <c r="BK187" s="33">
        <f>0.25*BG187+0.25*BH187+0.2*BI187+0.3*BJ187</f>
        <v/>
      </c>
      <c r="BL187" s="20" t="inlineStr">
        <is>
          <t>C4 上升三角／重心偏上</t>
        </is>
      </c>
      <c r="BM187" s="20" t="inlineStr"/>
    </row>
    <row r="188">
      <c r="A188" s="20" t="n">
        <v>2</v>
      </c>
      <c r="B188" s="20" t="n">
        <v>87</v>
      </c>
      <c r="C188" s="21" t="inlineStr">
        <is>
          <t>NTGR</t>
        </is>
      </c>
      <c r="D188" s="20" t="inlineStr">
        <is>
          <t>NETGEAR Inc.</t>
        </is>
      </c>
      <c r="E188" s="20" t="inlineStr">
        <is>
          <t>NASDAQ</t>
        </is>
      </c>
      <c r="F188" s="20" t="inlineStr">
        <is>
          <t>公用事業</t>
        </is>
      </c>
      <c r="G188" s="20" t="inlineStr">
        <is>
          <t>Telecommunications Equipment</t>
        </is>
      </c>
      <c r="H188" s="22" t="n">
        <v>0.604</v>
      </c>
      <c r="I188" s="20" t="inlineStr">
        <is>
          <t>小型</t>
        </is>
      </c>
      <c r="J188" s="23" t="n">
        <v>22.9</v>
      </c>
      <c r="K188" s="23" t="n">
        <v>22.21</v>
      </c>
      <c r="L188" s="24">
        <f>J188/K188-1</f>
        <v/>
      </c>
      <c r="M188" s="23" t="n">
        <v>22.98</v>
      </c>
      <c r="N188" s="23" t="n">
        <v>22.15</v>
      </c>
      <c r="O188" s="25" t="n">
        <v>285100</v>
      </c>
      <c r="P188" s="25" t="n">
        <v>334830</v>
      </c>
      <c r="Q188" s="26">
        <f>O188/P188</f>
        <v/>
      </c>
      <c r="R188" s="23" t="n">
        <v>22.2537</v>
      </c>
      <c r="S188" s="23" t="n">
        <v>22.1023</v>
      </c>
      <c r="T188" s="23" t="n">
        <v>21.9954</v>
      </c>
      <c r="U188" s="24">
        <f>S188/T188-1</f>
        <v/>
      </c>
      <c r="V188" s="27" t="n">
        <v>0.8</v>
      </c>
      <c r="W188" s="24">
        <f>J188/R188-1</f>
        <v/>
      </c>
      <c r="X188" s="24">
        <f>J188/S188-1</f>
        <v/>
      </c>
      <c r="Y188" s="23" t="n">
        <v>0.7669</v>
      </c>
      <c r="Z188" s="28">
        <f>Y188/J188</f>
        <v/>
      </c>
      <c r="AA188" s="26">
        <f>(J188-R188)/Y188</f>
        <v/>
      </c>
      <c r="AB188" s="26">
        <f>(J188-S188)/Y188</f>
        <v/>
      </c>
      <c r="AC188" s="20">
        <f>IF(ABS(AA188)&lt;=ABS(AB188),"9EMA","21EMA")</f>
        <v/>
      </c>
      <c r="AD188" s="20" t="inlineStr">
        <is>
          <t>9+21EMA</t>
        </is>
      </c>
      <c r="AE188" s="20" t="inlineStr">
        <is>
          <t>持續在上方</t>
        </is>
      </c>
      <c r="AF188" s="20" t="inlineStr"/>
      <c r="AG188" s="20" t="inlineStr"/>
      <c r="AH188" s="20" t="inlineStr">
        <is>
          <t>✓</t>
        </is>
      </c>
      <c r="AI188" s="20" t="inlineStr">
        <is>
          <t>2026-09-17</t>
        </is>
      </c>
      <c r="AJ188" s="20" t="n">
        <v>10</v>
      </c>
      <c r="AK188" s="29" t="n">
        <v>4</v>
      </c>
      <c r="AL188" s="20" t="inlineStr">
        <is>
          <t>2026-09-18</t>
        </is>
      </c>
      <c r="AM188" s="23" t="n">
        <v>21.12</v>
      </c>
      <c r="AN188" s="23" t="n">
        <v>20.6</v>
      </c>
      <c r="AO188" s="24">
        <f>IF(ISNUMBER(AN188),AM188/AN188-1,"")</f>
        <v/>
      </c>
      <c r="AP188" s="29" t="n">
        <v>9</v>
      </c>
      <c r="AQ188" s="24">
        <f>IF(ISNUMBER(AM188),J188/AM188-1,"")</f>
        <v/>
      </c>
      <c r="AR188" s="23" t="n">
        <v>22.9</v>
      </c>
      <c r="AS188" s="24">
        <f>J188/AR188-1</f>
        <v/>
      </c>
      <c r="AT188" s="20" t="inlineStr">
        <is>
          <t>上傾擴張</t>
        </is>
      </c>
      <c r="AU188" s="30" t="n">
        <v>0.3556</v>
      </c>
      <c r="AV188" s="30" t="n">
        <v>0.249</v>
      </c>
      <c r="AW188" s="30" t="n">
        <v>0.4714</v>
      </c>
      <c r="AX188" s="30" t="n">
        <v>0.4742</v>
      </c>
      <c r="AY188" s="29" t="n">
        <v>2</v>
      </c>
      <c r="AZ188" s="23" t="n">
        <v>23.35</v>
      </c>
      <c r="BA188" s="23" t="n">
        <v>20.45</v>
      </c>
      <c r="BB188" s="23" t="n">
        <v>21.817</v>
      </c>
      <c r="BC188" s="30" t="n">
        <v>1.3695</v>
      </c>
      <c r="BD188" s="26">
        <f>IF(M188=N188,0.5,(J188-N188)/(M188-N188))</f>
        <v/>
      </c>
      <c r="BE188" s="31" t="n">
        <v>14.481</v>
      </c>
      <c r="BF188" s="31" t="n">
        <v>9.727</v>
      </c>
      <c r="BG188" s="32">
        <f>100*(0.4*MIN(1,MAX(0,((U188*100)-(0.0))/((2.5)-(0.0))))+0.3*MIN(1,MAX(0,((V188)-(0.6))/((1.0)-(0.6))))+0.3*MIN(1,MAX(0,((BE188)-(0.0))/((15.0)-(0.0)))))</f>
        <v/>
      </c>
      <c r="BH188" s="32">
        <f>100*(0.4*MIN(1,MAX(0,((MIN(ABS(AA188),ABS(AB188)))-(0.75))/((0.0)-(0.75))))+0.3*MIN(1,MAX(0,((BC188)-(1.2))/((0.6)-(1.2))))+0.3*BD188)</f>
        <v/>
      </c>
      <c r="BI188" s="32">
        <f>100*(0.5*MIN(1,MAX(0,((AK188)-(1.0))/((4.0)-(1.0))))+0.3*MIN(1,MAX(0,((IF(ISNUMBER(AO188),AO188,0)*100)-(0.0))/((8.0)-(0.0))))+0.2*MIN(1,MAX(0,((IF(ISNUMBER(AP188),AP188,0))-(25.0))/((5.0)-(25.0)))))</f>
        <v/>
      </c>
      <c r="BJ188" s="32">
        <f>100*(0.35*MIN(1,MAX(0,((ABS(AU188))-(0.3))/((0.05)-(0.3))))+0.3*MIN(1,MAX(0,((AV188)-(0.0))/((0.3)-(0.0))))+0.25*MIN(1,MAX(0,((AW188)-(0.4))/((0.7)-(0.4))))+0.1*IF(AY188&gt;=2,1,0.5))</f>
        <v/>
      </c>
      <c r="BK188" s="33">
        <f>0.25*BG188+0.25*BH188+0.2*BI188+0.3*BJ188</f>
        <v/>
      </c>
      <c r="BL188" s="20" t="inlineStr">
        <is>
          <t>C4 上升三角／重心偏上</t>
        </is>
      </c>
      <c r="BM188" s="20" t="inlineStr"/>
    </row>
    <row r="189">
      <c r="A189" s="20" t="n">
        <v>2</v>
      </c>
      <c r="B189" s="20" t="n">
        <v>88</v>
      </c>
      <c r="C189" s="21" t="inlineStr">
        <is>
          <t>IMKTA</t>
        </is>
      </c>
      <c r="D189" s="20" t="inlineStr">
        <is>
          <t>Ingles Markets Incorporated</t>
        </is>
      </c>
      <c r="E189" s="20" t="inlineStr">
        <is>
          <t>NASDAQ</t>
        </is>
      </c>
      <c r="F189" s="20" t="inlineStr">
        <is>
          <t>必需消費</t>
        </is>
      </c>
      <c r="G189" s="20" t="inlineStr">
        <is>
          <t>Food Chains</t>
        </is>
      </c>
      <c r="H189" s="22" t="n">
        <v>1.611</v>
      </c>
      <c r="I189" s="20" t="inlineStr">
        <is>
          <t>小型</t>
        </is>
      </c>
      <c r="J189" s="23" t="n">
        <v>84.72</v>
      </c>
      <c r="K189" s="23" t="n">
        <v>84.81999999999999</v>
      </c>
      <c r="L189" s="24">
        <f>J189/K189-1</f>
        <v/>
      </c>
      <c r="M189" s="23" t="n">
        <v>86.13</v>
      </c>
      <c r="N189" s="23" t="n">
        <v>83.55</v>
      </c>
      <c r="O189" s="25" t="n">
        <v>94200</v>
      </c>
      <c r="P189" s="25" t="n">
        <v>110315</v>
      </c>
      <c r="Q189" s="26">
        <f>O189/P189</f>
        <v/>
      </c>
      <c r="R189" s="23" t="n">
        <v>84.2372</v>
      </c>
      <c r="S189" s="23" t="n">
        <v>83.89960000000001</v>
      </c>
      <c r="T189" s="23" t="n">
        <v>83.41070000000001</v>
      </c>
      <c r="U189" s="24">
        <f>S189/T189-1</f>
        <v/>
      </c>
      <c r="V189" s="27" t="n">
        <v>0.7</v>
      </c>
      <c r="W189" s="24">
        <f>J189/R189-1</f>
        <v/>
      </c>
      <c r="X189" s="24">
        <f>J189/S189-1</f>
        <v/>
      </c>
      <c r="Y189" s="23" t="n">
        <v>1.862</v>
      </c>
      <c r="Z189" s="28">
        <f>Y189/J189</f>
        <v/>
      </c>
      <c r="AA189" s="26">
        <f>(J189-R189)/Y189</f>
        <v/>
      </c>
      <c r="AB189" s="26">
        <f>(J189-S189)/Y189</f>
        <v/>
      </c>
      <c r="AC189" s="20">
        <f>IF(ABS(AA189)&lt;=ABS(AB189),"9EMA","21EMA")</f>
        <v/>
      </c>
      <c r="AD189" s="20" t="inlineStr">
        <is>
          <t>9+21EMA</t>
        </is>
      </c>
      <c r="AE189" s="19" t="inlineStr">
        <is>
          <t>剛黃金交叉</t>
        </is>
      </c>
      <c r="AF189" s="20" t="inlineStr">
        <is>
          <t>✓</t>
        </is>
      </c>
      <c r="AG189" s="20" t="inlineStr"/>
      <c r="AH189" s="20" t="inlineStr">
        <is>
          <t>✓</t>
        </is>
      </c>
      <c r="AI189" s="20" t="inlineStr">
        <is>
          <t>2026-09-28</t>
        </is>
      </c>
      <c r="AJ189" s="20" t="n">
        <v>3</v>
      </c>
      <c r="AK189" s="29" t="n">
        <v>3</v>
      </c>
      <c r="AL189" s="20" t="inlineStr">
        <is>
          <t>2026-09-18</t>
        </is>
      </c>
      <c r="AM189" s="23" t="n">
        <v>81.69</v>
      </c>
      <c r="AN189" s="23" t="n">
        <v>80.68000000000001</v>
      </c>
      <c r="AO189" s="24">
        <f>IF(ISNUMBER(AN189),AM189/AN189-1,"")</f>
        <v/>
      </c>
      <c r="AP189" s="29" t="n">
        <v>9</v>
      </c>
      <c r="AQ189" s="24">
        <f>IF(ISNUMBER(AM189),J189/AM189-1,"")</f>
        <v/>
      </c>
      <c r="AR189" s="23" t="n">
        <v>85.09</v>
      </c>
      <c r="AS189" s="24">
        <f>J189/AR189-1</f>
        <v/>
      </c>
      <c r="AT189" s="20" t="inlineStr">
        <is>
          <t>上傾收窄（楔形）</t>
        </is>
      </c>
      <c r="AU189" s="30" t="n">
        <v>0.1086</v>
      </c>
      <c r="AV189" s="30" t="n">
        <v>0.1495</v>
      </c>
      <c r="AW189" s="30" t="n">
        <v>0.4642</v>
      </c>
      <c r="AX189" s="30" t="n">
        <v>0.5215</v>
      </c>
      <c r="AY189" s="29" t="n">
        <v>4</v>
      </c>
      <c r="AZ189" s="23" t="n">
        <v>86.13</v>
      </c>
      <c r="BA189" s="23" t="n">
        <v>80.17</v>
      </c>
      <c r="BB189" s="23" t="n">
        <v>82.9366</v>
      </c>
      <c r="BC189" s="30" t="n">
        <v>1.6571</v>
      </c>
      <c r="BD189" s="26">
        <f>IF(M189=N189,0.5,(J189-N189)/(M189-N189))</f>
        <v/>
      </c>
      <c r="BE189" s="31" t="n">
        <v>9.879</v>
      </c>
      <c r="BF189" s="31" t="n">
        <v>5.125</v>
      </c>
      <c r="BG189" s="32">
        <f>100*(0.4*MIN(1,MAX(0,((U189*100)-(0.0))/((2.5)-(0.0))))+0.3*MIN(1,MAX(0,((V189)-(0.6))/((1.0)-(0.6))))+0.3*MIN(1,MAX(0,((BE189)-(0.0))/((15.0)-(0.0)))))</f>
        <v/>
      </c>
      <c r="BH189" s="32">
        <f>100*(0.4*MIN(1,MAX(0,((MIN(ABS(AA189),ABS(AB189)))-(0.75))/((0.0)-(0.75))))+0.3*MIN(1,MAX(0,((BC189)-(1.2))/((0.6)-(1.2))))+0.3*BD189)</f>
        <v/>
      </c>
      <c r="BI189" s="32">
        <f>100*(0.5*MIN(1,MAX(0,((AK189)-(1.0))/((4.0)-(1.0))))+0.3*MIN(1,MAX(0,((IF(ISNUMBER(AO189),AO189,0)*100)-(0.0))/((8.0)-(0.0))))+0.2*MIN(1,MAX(0,((IF(ISNUMBER(AP189),AP189,0))-(25.0))/((5.0)-(25.0)))))</f>
        <v/>
      </c>
      <c r="BJ189" s="32">
        <f>100*(0.35*MIN(1,MAX(0,((ABS(AU189))-(0.3))/((0.05)-(0.3))))+0.3*MIN(1,MAX(0,((AV189)-(0.0))/((0.3)-(0.0))))+0.25*MIN(1,MAX(0,((AW189)-(0.4))/((0.7)-(0.4))))+0.1*IF(AY189&gt;=2,1,0.5))</f>
        <v/>
      </c>
      <c r="BK189" s="33">
        <f>0.25*BG189+0.25*BH189+0.2*BI189+0.3*BJ189</f>
        <v/>
      </c>
      <c r="BL189" s="20" t="inlineStr">
        <is>
          <t>C4 上升三角／重心偏上</t>
        </is>
      </c>
      <c r="BM189" s="20" t="inlineStr"/>
    </row>
    <row r="190">
      <c r="A190" s="20" t="n">
        <v>2</v>
      </c>
      <c r="B190" s="20" t="n">
        <v>89</v>
      </c>
      <c r="C190" s="21" t="inlineStr">
        <is>
          <t>EBF</t>
        </is>
      </c>
      <c r="D190" s="20" t="inlineStr">
        <is>
          <t>Ennis Inc.</t>
        </is>
      </c>
      <c r="E190" s="20" t="inlineStr">
        <is>
          <t>NYSE</t>
        </is>
      </c>
      <c r="F190" s="20" t="inlineStr">
        <is>
          <t>非必需消費</t>
        </is>
      </c>
      <c r="G190" s="20" t="inlineStr">
        <is>
          <t>Office Equipment/Supplies/Services</t>
        </is>
      </c>
      <c r="H190" s="22" t="n">
        <v>0.569</v>
      </c>
      <c r="I190" s="20" t="inlineStr">
        <is>
          <t>小型</t>
        </is>
      </c>
      <c r="J190" s="23" t="n">
        <v>22.55</v>
      </c>
      <c r="K190" s="23" t="n">
        <v>22.51</v>
      </c>
      <c r="L190" s="24">
        <f>J190/K190-1</f>
        <v/>
      </c>
      <c r="M190" s="23" t="n">
        <v>22.6</v>
      </c>
      <c r="N190" s="23" t="n">
        <v>22.04</v>
      </c>
      <c r="O190" s="25" t="n">
        <v>166000</v>
      </c>
      <c r="P190" s="25" t="n">
        <v>176385</v>
      </c>
      <c r="Q190" s="26">
        <f>O190/P190</f>
        <v/>
      </c>
      <c r="R190" s="23" t="n">
        <v>22.2251</v>
      </c>
      <c r="S190" s="23" t="n">
        <v>21.9239</v>
      </c>
      <c r="T190" s="23" t="n">
        <v>21.6152</v>
      </c>
      <c r="U190" s="24">
        <f>S190/T190-1</f>
        <v/>
      </c>
      <c r="V190" s="27" t="n">
        <v>0.9</v>
      </c>
      <c r="W190" s="24">
        <f>J190/R190-1</f>
        <v/>
      </c>
      <c r="X190" s="24">
        <f>J190/S190-1</f>
        <v/>
      </c>
      <c r="Y190" s="23" t="n">
        <v>0.4248</v>
      </c>
      <c r="Z190" s="28">
        <f>Y190/J190</f>
        <v/>
      </c>
      <c r="AA190" s="26">
        <f>(J190-R190)/Y190</f>
        <v/>
      </c>
      <c r="AB190" s="26">
        <f>(J190-S190)/Y190</f>
        <v/>
      </c>
      <c r="AC190" s="20">
        <f>IF(ABS(AA190)&lt;=ABS(AB190),"9EMA","21EMA")</f>
        <v/>
      </c>
      <c r="AD190" s="20" t="inlineStr">
        <is>
          <t>9EMA</t>
        </is>
      </c>
      <c r="AE190" s="20" t="inlineStr">
        <is>
          <t>持續在上方</t>
        </is>
      </c>
      <c r="AF190" s="20" t="inlineStr"/>
      <c r="AG190" s="20" t="inlineStr"/>
      <c r="AH190" s="20" t="inlineStr">
        <is>
          <t>✓</t>
        </is>
      </c>
      <c r="AI190" s="20" t="inlineStr">
        <is>
          <t>2026-09-22</t>
        </is>
      </c>
      <c r="AJ190" s="20" t="n">
        <v>7</v>
      </c>
      <c r="AK190" s="29" t="n">
        <v>2</v>
      </c>
      <c r="AL190" s="20" t="inlineStr">
        <is>
          <t>2026-09-21</t>
        </is>
      </c>
      <c r="AM190" s="23" t="n">
        <v>21.1</v>
      </c>
      <c r="AN190" s="23" t="n">
        <v>20.84</v>
      </c>
      <c r="AO190" s="24">
        <f>IF(ISNUMBER(AN190),AM190/AN190-1,"")</f>
        <v/>
      </c>
      <c r="AP190" s="29" t="n">
        <v>8</v>
      </c>
      <c r="AQ190" s="24">
        <f>IF(ISNUMBER(AM190),J190/AM190-1,"")</f>
        <v/>
      </c>
      <c r="AR190" s="23" t="n">
        <v>22.55</v>
      </c>
      <c r="AS190" s="24">
        <f>J190/AR190-1</f>
        <v/>
      </c>
      <c r="AT190" s="20" t="inlineStr">
        <is>
          <t>對稱三角</t>
        </is>
      </c>
      <c r="AU190" s="30" t="n">
        <v>-0.1153</v>
      </c>
      <c r="AV190" s="30" t="n">
        <v>0.09370000000000001</v>
      </c>
      <c r="AW190" s="30" t="n">
        <v>0.4619</v>
      </c>
      <c r="AX190" s="30" t="n">
        <v>0.4109</v>
      </c>
      <c r="AY190" s="29" t="n">
        <v>5</v>
      </c>
      <c r="AZ190" s="23" t="n">
        <v>22.68</v>
      </c>
      <c r="BA190" s="23" t="n">
        <v>20.84</v>
      </c>
      <c r="BB190" s="23" t="n">
        <v>21.6899</v>
      </c>
      <c r="BC190" s="30" t="n">
        <v>1.5538</v>
      </c>
      <c r="BD190" s="26">
        <f>IF(M190=N190,0.5,(J190-N190)/(M190-N190))</f>
        <v/>
      </c>
      <c r="BE190" s="31" t="n">
        <v>11.677</v>
      </c>
      <c r="BF190" s="31" t="n">
        <v>6.923</v>
      </c>
      <c r="BG190" s="32">
        <f>100*(0.4*MIN(1,MAX(0,((U190*100)-(0.0))/((2.5)-(0.0))))+0.3*MIN(1,MAX(0,((V190)-(0.6))/((1.0)-(0.6))))+0.3*MIN(1,MAX(0,((BE190)-(0.0))/((15.0)-(0.0)))))</f>
        <v/>
      </c>
      <c r="BH190" s="32">
        <f>100*(0.4*MIN(1,MAX(0,((MIN(ABS(AA190),ABS(AB190)))-(0.75))/((0.0)-(0.75))))+0.3*MIN(1,MAX(0,((BC190)-(1.2))/((0.6)-(1.2))))+0.3*BD190)</f>
        <v/>
      </c>
      <c r="BI190" s="32">
        <f>100*(0.5*MIN(1,MAX(0,((AK190)-(1.0))/((4.0)-(1.0))))+0.3*MIN(1,MAX(0,((IF(ISNUMBER(AO190),AO190,0)*100)-(0.0))/((8.0)-(0.0))))+0.2*MIN(1,MAX(0,((IF(ISNUMBER(AP190),AP190,0))-(25.0))/((5.0)-(25.0)))))</f>
        <v/>
      </c>
      <c r="BJ190" s="32">
        <f>100*(0.35*MIN(1,MAX(0,((ABS(AU190))-(0.3))/((0.05)-(0.3))))+0.3*MIN(1,MAX(0,((AV190)-(0.0))/((0.3)-(0.0))))+0.25*MIN(1,MAX(0,((AW190)-(0.4))/((0.7)-(0.4))))+0.1*IF(AY190&gt;=2,1,0.5))</f>
        <v/>
      </c>
      <c r="BK190" s="33">
        <f>0.25*BG190+0.25*BH190+0.2*BI190+0.3*BJ190</f>
        <v/>
      </c>
      <c r="BL190" s="20" t="inlineStr">
        <is>
          <t>C4 上升三角／重心偏上</t>
        </is>
      </c>
      <c r="BM190" s="20" t="inlineStr"/>
    </row>
    <row r="191">
      <c r="A191" s="20" t="n">
        <v>2</v>
      </c>
      <c r="B191" s="20" t="n">
        <v>90</v>
      </c>
      <c r="C191" s="21" t="inlineStr">
        <is>
          <t>AES</t>
        </is>
      </c>
      <c r="D191" s="20" t="inlineStr">
        <is>
          <t>The AES Corporation</t>
        </is>
      </c>
      <c r="E191" s="20" t="inlineStr">
        <is>
          <t>NYSE</t>
        </is>
      </c>
      <c r="F191" s="20" t="inlineStr">
        <is>
          <t>工業</t>
        </is>
      </c>
      <c r="G191" s="20" t="inlineStr">
        <is>
          <t>Electric Utilities: Central</t>
        </is>
      </c>
      <c r="H191" s="22" t="n">
        <v>10.63</v>
      </c>
      <c r="I191" s="20" t="inlineStr">
        <is>
          <t>大型</t>
        </is>
      </c>
      <c r="J191" s="23" t="n">
        <v>14.92</v>
      </c>
      <c r="K191" s="23" t="n">
        <v>14.9</v>
      </c>
      <c r="L191" s="24">
        <f>J191/K191-1</f>
        <v/>
      </c>
      <c r="M191" s="23" t="n">
        <v>14.94</v>
      </c>
      <c r="N191" s="23" t="n">
        <v>14.89</v>
      </c>
      <c r="O191" s="25" t="n">
        <v>9167700</v>
      </c>
      <c r="P191" s="25" t="n">
        <v>8183460</v>
      </c>
      <c r="Q191" s="26">
        <f>O191/P191</f>
        <v/>
      </c>
      <c r="R191" s="23" t="n">
        <v>14.8678</v>
      </c>
      <c r="S191" s="23" t="n">
        <v>14.834</v>
      </c>
      <c r="T191" s="23" t="n">
        <v>14.802</v>
      </c>
      <c r="U191" s="24">
        <f>S191/T191-1</f>
        <v/>
      </c>
      <c r="V191" s="27" t="n">
        <v>1</v>
      </c>
      <c r="W191" s="24">
        <f>J191/R191-1</f>
        <v/>
      </c>
      <c r="X191" s="24">
        <f>J191/S191-1</f>
        <v/>
      </c>
      <c r="Y191" s="23" t="n">
        <v>0.048</v>
      </c>
      <c r="Z191" s="28">
        <f>Y191/J191</f>
        <v/>
      </c>
      <c r="AA191" s="26">
        <f>(J191-R191)/Y191</f>
        <v/>
      </c>
      <c r="AB191" s="26">
        <f>(J191-S191)/Y191</f>
        <v/>
      </c>
      <c r="AC191" s="20">
        <f>IF(ABS(AA191)&lt;=ABS(AB191),"9EMA","21EMA")</f>
        <v/>
      </c>
      <c r="AD191" s="20" t="inlineStr">
        <is>
          <t>9+21EMA</t>
        </is>
      </c>
      <c r="AE191" s="20" t="inlineStr">
        <is>
          <t>持續在上方</t>
        </is>
      </c>
      <c r="AF191" s="20" t="inlineStr"/>
      <c r="AG191" s="20" t="inlineStr"/>
      <c r="AH191" s="20" t="inlineStr">
        <is>
          <t>✓</t>
        </is>
      </c>
      <c r="AI191" s="20" t="inlineStr">
        <is>
          <t>2026-09-01</t>
        </is>
      </c>
      <c r="AJ191" s="20" t="n">
        <v>21</v>
      </c>
      <c r="AK191" s="29" t="n">
        <v>5</v>
      </c>
      <c r="AL191" s="20" t="inlineStr">
        <is>
          <t>2026-09-23</t>
        </is>
      </c>
      <c r="AM191" s="23" t="n">
        <v>14.8</v>
      </c>
      <c r="AN191" s="23" t="n">
        <v>14.78</v>
      </c>
      <c r="AO191" s="24">
        <f>IF(ISNUMBER(AN191),AM191/AN191-1,"")</f>
        <v/>
      </c>
      <c r="AP191" s="29" t="n">
        <v>6</v>
      </c>
      <c r="AQ191" s="24">
        <f>IF(ISNUMBER(AM191),J191/AM191-1,"")</f>
        <v/>
      </c>
      <c r="AR191" s="23" t="n">
        <v>14.92</v>
      </c>
      <c r="AS191" s="24">
        <f>J191/AR191-1</f>
        <v/>
      </c>
      <c r="AT191" s="20" t="inlineStr">
        <is>
          <t>上升三角（平頂）</t>
        </is>
      </c>
      <c r="AU191" s="30" t="n">
        <v>0.0231</v>
      </c>
      <c r="AV191" s="30" t="n">
        <v>0.0341</v>
      </c>
      <c r="AW191" s="30" t="n">
        <v>0.478</v>
      </c>
      <c r="AX191" s="30" t="n">
        <v>0.4734</v>
      </c>
      <c r="AY191" s="29" t="n">
        <v>25</v>
      </c>
      <c r="AZ191" s="23" t="n">
        <v>14.94</v>
      </c>
      <c r="BA191" s="23" t="n">
        <v>14.71</v>
      </c>
      <c r="BB191" s="23" t="n">
        <v>14.8199</v>
      </c>
      <c r="BC191" s="30" t="n">
        <v>1.4816</v>
      </c>
      <c r="BD191" s="26">
        <f>IF(M191=N191,0.5,(J191-N191)/(M191-N191))</f>
        <v/>
      </c>
      <c r="BE191" s="31" t="n">
        <v>5.77</v>
      </c>
      <c r="BF191" s="31" t="n">
        <v>1.016</v>
      </c>
      <c r="BG191" s="32">
        <f>100*(0.4*MIN(1,MAX(0,((U191*100)-(0.0))/((2.5)-(0.0))))+0.3*MIN(1,MAX(0,((V191)-(0.6))/((1.0)-(0.6))))+0.3*MIN(1,MAX(0,((BE191)-(0.0))/((15.0)-(0.0)))))</f>
        <v/>
      </c>
      <c r="BH191" s="32">
        <f>100*(0.4*MIN(1,MAX(0,((MIN(ABS(AA191),ABS(AB191)))-(0.75))/((0.0)-(0.75))))+0.3*MIN(1,MAX(0,((BC191)-(1.2))/((0.6)-(1.2))))+0.3*BD191)</f>
        <v/>
      </c>
      <c r="BI191" s="32">
        <f>100*(0.5*MIN(1,MAX(0,((AK191)-(1.0))/((4.0)-(1.0))))+0.3*MIN(1,MAX(0,((IF(ISNUMBER(AO191),AO191,0)*100)-(0.0))/((8.0)-(0.0))))+0.2*MIN(1,MAX(0,((IF(ISNUMBER(AP191),AP191,0))-(25.0))/((5.0)-(25.0)))))</f>
        <v/>
      </c>
      <c r="BJ191" s="32">
        <f>100*(0.35*MIN(1,MAX(0,((ABS(AU191))-(0.3))/((0.05)-(0.3))))+0.3*MIN(1,MAX(0,((AV191)-(0.0))/((0.3)-(0.0))))+0.25*MIN(1,MAX(0,((AW191)-(0.4))/((0.7)-(0.4))))+0.1*IF(AY191&gt;=2,1,0.5))</f>
        <v/>
      </c>
      <c r="BK191" s="33">
        <f>0.25*BG191+0.25*BH191+0.2*BI191+0.3*BJ191</f>
        <v/>
      </c>
      <c r="BL191" s="20" t="inlineStr">
        <is>
          <t>C4 上升三角／重心偏上</t>
        </is>
      </c>
      <c r="BM191" s="20" t="inlineStr"/>
    </row>
    <row r="192">
      <c r="A192" s="20" t="n">
        <v>2</v>
      </c>
      <c r="B192" s="20" t="n">
        <v>91</v>
      </c>
      <c r="C192" s="21" t="inlineStr">
        <is>
          <t>JAKK</t>
        </is>
      </c>
      <c r="D192" s="20" t="inlineStr">
        <is>
          <t>JAKKS Pacific Inc.</t>
        </is>
      </c>
      <c r="E192" s="20" t="inlineStr">
        <is>
          <t>NASDAQ</t>
        </is>
      </c>
      <c r="F192" s="20" t="inlineStr">
        <is>
          <t>非必需消費</t>
        </is>
      </c>
      <c r="G192" s="20" t="inlineStr">
        <is>
          <t>Recreational Games/Products/Toys</t>
        </is>
      </c>
      <c r="H192" s="22" t="n">
        <v>0.288</v>
      </c>
      <c r="I192" s="20" t="inlineStr">
        <is>
          <t>小型</t>
        </is>
      </c>
      <c r="J192" s="23" t="n">
        <v>25.5</v>
      </c>
      <c r="K192" s="23" t="n">
        <v>25.13</v>
      </c>
      <c r="L192" s="24">
        <f>J192/K192-1</f>
        <v/>
      </c>
      <c r="M192" s="23" t="n">
        <v>26.38</v>
      </c>
      <c r="N192" s="23" t="n">
        <v>24.89</v>
      </c>
      <c r="O192" s="25" t="n">
        <v>296600</v>
      </c>
      <c r="P192" s="25" t="n">
        <v>63055</v>
      </c>
      <c r="Q192" s="26">
        <f>O192/P192</f>
        <v/>
      </c>
      <c r="R192" s="23" t="n">
        <v>25.0224</v>
      </c>
      <c r="S192" s="23" t="n">
        <v>24.837</v>
      </c>
      <c r="T192" s="23" t="n">
        <v>24.5535</v>
      </c>
      <c r="U192" s="24">
        <f>S192/T192-1</f>
        <v/>
      </c>
      <c r="V192" s="27" t="n">
        <v>0.6</v>
      </c>
      <c r="W192" s="24">
        <f>J192/R192-1</f>
        <v/>
      </c>
      <c r="X192" s="24">
        <f>J192/S192-1</f>
        <v/>
      </c>
      <c r="Y192" s="23" t="n">
        <v>0.7645999999999999</v>
      </c>
      <c r="Z192" s="28">
        <f>Y192/J192</f>
        <v/>
      </c>
      <c r="AA192" s="26">
        <f>(J192-R192)/Y192</f>
        <v/>
      </c>
      <c r="AB192" s="26">
        <f>(J192-S192)/Y192</f>
        <v/>
      </c>
      <c r="AC192" s="20">
        <f>IF(ABS(AA192)&lt;=ABS(AB192),"9EMA","21EMA")</f>
        <v/>
      </c>
      <c r="AD192" s="20" t="inlineStr">
        <is>
          <t>9+21EMA</t>
        </is>
      </c>
      <c r="AE192" s="19" t="inlineStr">
        <is>
          <t>剛黃金交叉</t>
        </is>
      </c>
      <c r="AF192" s="20" t="inlineStr">
        <is>
          <t>✓</t>
        </is>
      </c>
      <c r="AG192" s="20" t="inlineStr"/>
      <c r="AH192" s="20" t="inlineStr">
        <is>
          <t>✓</t>
        </is>
      </c>
      <c r="AI192" s="20" t="inlineStr">
        <is>
          <t>2026-09-28</t>
        </is>
      </c>
      <c r="AJ192" s="20" t="n">
        <v>3</v>
      </c>
      <c r="AK192" s="29" t="n">
        <v>2</v>
      </c>
      <c r="AL192" s="20" t="inlineStr">
        <is>
          <t>2026-09-18</t>
        </is>
      </c>
      <c r="AM192" s="23" t="n">
        <v>23.82</v>
      </c>
      <c r="AN192" s="23" t="n">
        <v>23.48</v>
      </c>
      <c r="AO192" s="24">
        <f>IF(ISNUMBER(AN192),AM192/AN192-1,"")</f>
        <v/>
      </c>
      <c r="AP192" s="29" t="n">
        <v>9</v>
      </c>
      <c r="AQ192" s="24">
        <f>IF(ISNUMBER(AM192),J192/AM192-1,"")</f>
        <v/>
      </c>
      <c r="AR192" s="23" t="n">
        <v>25.5</v>
      </c>
      <c r="AS192" s="24">
        <f>J192/AR192-1</f>
        <v/>
      </c>
      <c r="AT192" s="20" t="inlineStr">
        <is>
          <t>上升三角（平頂）</t>
        </is>
      </c>
      <c r="AU192" s="30" t="n">
        <v>0.0456</v>
      </c>
      <c r="AV192" s="30" t="n">
        <v>0.1905</v>
      </c>
      <c r="AW192" s="30" t="n">
        <v>0.4608</v>
      </c>
      <c r="AX192" s="30" t="n">
        <v>0.5669999999999999</v>
      </c>
      <c r="AY192" s="29" t="n">
        <v>1</v>
      </c>
      <c r="AZ192" s="23" t="n">
        <v>26.38</v>
      </c>
      <c r="BA192" s="23" t="n">
        <v>23.48</v>
      </c>
      <c r="BB192" s="23" t="n">
        <v>24.8164</v>
      </c>
      <c r="BC192" s="30" t="n">
        <v>0.7642</v>
      </c>
      <c r="BD192" s="26">
        <f>IF(M192=N192,0.5,(J192-N192)/(M192-N192))</f>
        <v/>
      </c>
      <c r="BE192" s="31" t="n">
        <v>7.951</v>
      </c>
      <c r="BF192" s="31" t="n">
        <v>3.197</v>
      </c>
      <c r="BG192" s="32">
        <f>100*(0.4*MIN(1,MAX(0,((U192*100)-(0.0))/((2.5)-(0.0))))+0.3*MIN(1,MAX(0,((V192)-(0.6))/((1.0)-(0.6))))+0.3*MIN(1,MAX(0,((BE192)-(0.0))/((15.0)-(0.0)))))</f>
        <v/>
      </c>
      <c r="BH192" s="32">
        <f>100*(0.4*MIN(1,MAX(0,((MIN(ABS(AA192),ABS(AB192)))-(0.75))/((0.0)-(0.75))))+0.3*MIN(1,MAX(0,((BC192)-(1.2))/((0.6)-(1.2))))+0.3*BD192)</f>
        <v/>
      </c>
      <c r="BI192" s="32">
        <f>100*(0.5*MIN(1,MAX(0,((AK192)-(1.0))/((4.0)-(1.0))))+0.3*MIN(1,MAX(0,((IF(ISNUMBER(AO192),AO192,0)*100)-(0.0))/((8.0)-(0.0))))+0.2*MIN(1,MAX(0,((IF(ISNUMBER(AP192),AP192,0))-(25.0))/((5.0)-(25.0)))))</f>
        <v/>
      </c>
      <c r="BJ192" s="32">
        <f>100*(0.35*MIN(1,MAX(0,((ABS(AU192))-(0.3))/((0.05)-(0.3))))+0.3*MIN(1,MAX(0,((AV192)-(0.0))/((0.3)-(0.0))))+0.25*MIN(1,MAX(0,((AW192)-(0.4))/((0.7)-(0.4))))+0.1*IF(AY192&gt;=2,1,0.5))</f>
        <v/>
      </c>
      <c r="BK192" s="33">
        <f>0.25*BG192+0.25*BH192+0.2*BI192+0.3*BJ192</f>
        <v/>
      </c>
      <c r="BL192" s="20" t="inlineStr">
        <is>
          <t>C4 上升三角／重心偏上</t>
        </is>
      </c>
      <c r="BM192" s="20" t="inlineStr"/>
    </row>
    <row r="193">
      <c r="A193" s="20" t="n">
        <v>2</v>
      </c>
      <c r="B193" s="20" t="n">
        <v>92</v>
      </c>
      <c r="C193" s="21" t="inlineStr">
        <is>
          <t>HSTM</t>
        </is>
      </c>
      <c r="D193" s="20" t="inlineStr">
        <is>
          <t>HealthStream Inc.</t>
        </is>
      </c>
      <c r="E193" s="20" t="inlineStr">
        <is>
          <t>NASDAQ</t>
        </is>
      </c>
      <c r="F193" s="20" t="inlineStr">
        <is>
          <t>科技</t>
        </is>
      </c>
      <c r="G193" s="20" t="inlineStr">
        <is>
          <t>Computer Software: Programming Data Processing</t>
        </is>
      </c>
      <c r="H193" s="22" t="n">
        <v>0.909</v>
      </c>
      <c r="I193" s="20" t="inlineStr">
        <is>
          <t>小型</t>
        </is>
      </c>
      <c r="J193" s="23" t="n">
        <v>30.36</v>
      </c>
      <c r="K193" s="23" t="n">
        <v>29.71</v>
      </c>
      <c r="L193" s="24">
        <f>J193/K193-1</f>
        <v/>
      </c>
      <c r="M193" s="23" t="n">
        <v>30.53</v>
      </c>
      <c r="N193" s="23" t="n">
        <v>29.74</v>
      </c>
      <c r="O193" s="25" t="n">
        <v>191700</v>
      </c>
      <c r="P193" s="25" t="n">
        <v>197420</v>
      </c>
      <c r="Q193" s="26">
        <f>O193/P193</f>
        <v/>
      </c>
      <c r="R193" s="23" t="n">
        <v>29.5203</v>
      </c>
      <c r="S193" s="23" t="n">
        <v>29.2834</v>
      </c>
      <c r="T193" s="23" t="n">
        <v>29.0479</v>
      </c>
      <c r="U193" s="24">
        <f>S193/T193-1</f>
        <v/>
      </c>
      <c r="V193" s="27" t="n">
        <v>0.6</v>
      </c>
      <c r="W193" s="24">
        <f>J193/R193-1</f>
        <v/>
      </c>
      <c r="X193" s="24">
        <f>J193/S193-1</f>
        <v/>
      </c>
      <c r="Y193" s="23" t="n">
        <v>0.7482</v>
      </c>
      <c r="Z193" s="28">
        <f>Y193/J193</f>
        <v/>
      </c>
      <c r="AA193" s="26">
        <f>(J193-R193)/Y193</f>
        <v/>
      </c>
      <c r="AB193" s="26">
        <f>(J193-S193)/Y193</f>
        <v/>
      </c>
      <c r="AC193" s="20">
        <f>IF(ABS(AA193)&lt;=ABS(AB193),"9EMA","21EMA")</f>
        <v/>
      </c>
      <c r="AD193" s="20" t="inlineStr">
        <is>
          <t>9+21EMA</t>
        </is>
      </c>
      <c r="AE193" s="20" t="inlineStr">
        <is>
          <t>持續在上方</t>
        </is>
      </c>
      <c r="AF193" s="20" t="inlineStr"/>
      <c r="AG193" s="20" t="inlineStr"/>
      <c r="AH193" s="20" t="inlineStr">
        <is>
          <t>✓</t>
        </is>
      </c>
      <c r="AI193" s="20" t="inlineStr">
        <is>
          <t>2026-04-17</t>
        </is>
      </c>
      <c r="AJ193" s="20" t="n">
        <v>115</v>
      </c>
      <c r="AK193" s="29" t="n">
        <v>6</v>
      </c>
      <c r="AL193" s="20" t="inlineStr">
        <is>
          <t>2026-09-25</t>
        </is>
      </c>
      <c r="AM193" s="23" t="n">
        <v>28.56</v>
      </c>
      <c r="AN193" s="23" t="n">
        <v>28.55</v>
      </c>
      <c r="AO193" s="24">
        <f>IF(ISNUMBER(AN193),AM193/AN193-1,"")</f>
        <v/>
      </c>
      <c r="AP193" s="29" t="n">
        <v>4</v>
      </c>
      <c r="AQ193" s="24">
        <f>IF(ISNUMBER(AM193),J193/AM193-1,"")</f>
        <v/>
      </c>
      <c r="AR193" s="23" t="n">
        <v>30.36</v>
      </c>
      <c r="AS193" s="24">
        <f>J193/AR193-1</f>
        <v/>
      </c>
      <c r="AT193" s="20" t="inlineStr">
        <is>
          <t>對稱三角</t>
        </is>
      </c>
      <c r="AU193" s="30" t="n">
        <v>-0.1694</v>
      </c>
      <c r="AV193" s="30" t="n">
        <v>0.1174</v>
      </c>
      <c r="AW193" s="30" t="n">
        <v>0.4775</v>
      </c>
      <c r="AX193" s="30" t="n">
        <v>0.3648</v>
      </c>
      <c r="AY193" s="29" t="n">
        <v>3</v>
      </c>
      <c r="AZ193" s="23" t="n">
        <v>30.53</v>
      </c>
      <c r="BA193" s="23" t="n">
        <v>28.15</v>
      </c>
      <c r="BB193" s="23" t="n">
        <v>29.2864</v>
      </c>
      <c r="BC193" s="30" t="n">
        <v>0.8094</v>
      </c>
      <c r="BD193" s="26">
        <f>IF(M193=N193,0.5,(J193-N193)/(M193-N193))</f>
        <v/>
      </c>
      <c r="BE193" s="31" t="n">
        <v>7.08</v>
      </c>
      <c r="BF193" s="31" t="n">
        <v>2.326</v>
      </c>
      <c r="BG193" s="32">
        <f>100*(0.4*MIN(1,MAX(0,((U193*100)-(0.0))/((2.5)-(0.0))))+0.3*MIN(1,MAX(0,((V193)-(0.6))/((1.0)-(0.6))))+0.3*MIN(1,MAX(0,((BE193)-(0.0))/((15.0)-(0.0)))))</f>
        <v/>
      </c>
      <c r="BH193" s="32">
        <f>100*(0.4*MIN(1,MAX(0,((MIN(ABS(AA193),ABS(AB193)))-(0.75))/((0.0)-(0.75))))+0.3*MIN(1,MAX(0,((BC193)-(1.2))/((0.6)-(1.2))))+0.3*BD193)</f>
        <v/>
      </c>
      <c r="BI193" s="32">
        <f>100*(0.5*MIN(1,MAX(0,((AK193)-(1.0))/((4.0)-(1.0))))+0.3*MIN(1,MAX(0,((IF(ISNUMBER(AO193),AO193,0)*100)-(0.0))/((8.0)-(0.0))))+0.2*MIN(1,MAX(0,((IF(ISNUMBER(AP193),AP193,0))-(25.0))/((5.0)-(25.0)))))</f>
        <v/>
      </c>
      <c r="BJ193" s="32">
        <f>100*(0.35*MIN(1,MAX(0,((ABS(AU193))-(0.3))/((0.05)-(0.3))))+0.3*MIN(1,MAX(0,((AV193)-(0.0))/((0.3)-(0.0))))+0.25*MIN(1,MAX(0,((AW193)-(0.4))/((0.7)-(0.4))))+0.1*IF(AY193&gt;=2,1,0.5))</f>
        <v/>
      </c>
      <c r="BK193" s="33">
        <f>0.25*BG193+0.25*BH193+0.2*BI193+0.3*BJ193</f>
        <v/>
      </c>
      <c r="BL193" s="20" t="inlineStr">
        <is>
          <t>C4 上升三角／重心偏上</t>
        </is>
      </c>
      <c r="BM193" s="20" t="inlineStr"/>
    </row>
    <row r="194">
      <c r="A194" s="20" t="n">
        <v>2</v>
      </c>
      <c r="B194" s="20" t="n">
        <v>93</v>
      </c>
      <c r="C194" s="21" t="inlineStr">
        <is>
          <t>WCC</t>
        </is>
      </c>
      <c r="D194" s="20" t="inlineStr">
        <is>
          <t>WESCO International Inc.</t>
        </is>
      </c>
      <c r="E194" s="20" t="inlineStr">
        <is>
          <t>NYSE</t>
        </is>
      </c>
      <c r="F194" s="20" t="inlineStr">
        <is>
          <t>非必需消費</t>
        </is>
      </c>
      <c r="G194" s="20" t="inlineStr">
        <is>
          <t>Telecommunications Equipment</t>
        </is>
      </c>
      <c r="H194" s="22" t="n">
        <v>17.524</v>
      </c>
      <c r="I194" s="20" t="inlineStr">
        <is>
          <t>大型</t>
        </is>
      </c>
      <c r="J194" s="23" t="n">
        <v>371.28</v>
      </c>
      <c r="K194" s="23" t="n">
        <v>359.59</v>
      </c>
      <c r="L194" s="24">
        <f>J194/K194-1</f>
        <v/>
      </c>
      <c r="M194" s="23" t="n">
        <v>376.6</v>
      </c>
      <c r="N194" s="23" t="n">
        <v>355.41</v>
      </c>
      <c r="O194" s="25" t="n">
        <v>531100</v>
      </c>
      <c r="P194" s="25" t="n">
        <v>488345</v>
      </c>
      <c r="Q194" s="26">
        <f>O194/P194</f>
        <v/>
      </c>
      <c r="R194" s="23" t="n">
        <v>361.859</v>
      </c>
      <c r="S194" s="23" t="n">
        <v>355.7098</v>
      </c>
      <c r="T194" s="23" t="n">
        <v>349.6237</v>
      </c>
      <c r="U194" s="24">
        <f>S194/T194-1</f>
        <v/>
      </c>
      <c r="V194" s="27" t="n">
        <v>0.9</v>
      </c>
      <c r="W194" s="24">
        <f>J194/R194-1</f>
        <v/>
      </c>
      <c r="X194" s="24">
        <f>J194/S194-1</f>
        <v/>
      </c>
      <c r="Y194" s="23" t="n">
        <v>12.1438</v>
      </c>
      <c r="Z194" s="28">
        <f>Y194/J194</f>
        <v/>
      </c>
      <c r="AA194" s="26">
        <f>(J194-R194)/Y194</f>
        <v/>
      </c>
      <c r="AB194" s="26">
        <f>(J194-S194)/Y194</f>
        <v/>
      </c>
      <c r="AC194" s="20">
        <f>IF(ABS(AA194)&lt;=ABS(AB194),"9EMA","21EMA")</f>
        <v/>
      </c>
      <c r="AD194" s="20" t="inlineStr">
        <is>
          <t>9+21EMA</t>
        </is>
      </c>
      <c r="AE194" s="20" t="inlineStr">
        <is>
          <t>持續在上方</t>
        </is>
      </c>
      <c r="AF194" s="20" t="inlineStr"/>
      <c r="AG194" s="20" t="inlineStr"/>
      <c r="AH194" s="20" t="inlineStr">
        <is>
          <t>✓</t>
        </is>
      </c>
      <c r="AI194" s="20" t="inlineStr">
        <is>
          <t>2026-09-22</t>
        </is>
      </c>
      <c r="AJ194" s="20" t="n">
        <v>7</v>
      </c>
      <c r="AK194" s="29" t="n">
        <v>2</v>
      </c>
      <c r="AL194" s="20" t="inlineStr">
        <is>
          <t>2026-09-15</t>
        </is>
      </c>
      <c r="AM194" s="23" t="n">
        <v>330.39</v>
      </c>
      <c r="AN194" s="23" t="n">
        <v>327.84</v>
      </c>
      <c r="AO194" s="24">
        <f>IF(ISNUMBER(AN194),AM194/AN194-1,"")</f>
        <v/>
      </c>
      <c r="AP194" s="29" t="n">
        <v>12</v>
      </c>
      <c r="AQ194" s="24">
        <f>IF(ISNUMBER(AM194),J194/AM194-1,"")</f>
        <v/>
      </c>
      <c r="AR194" s="23" t="n">
        <v>371.28</v>
      </c>
      <c r="AS194" s="24">
        <f>J194/AR194-1</f>
        <v/>
      </c>
      <c r="AT194" s="20" t="inlineStr">
        <is>
          <t>上傾擴張</t>
        </is>
      </c>
      <c r="AU194" s="30" t="n">
        <v>0.2251</v>
      </c>
      <c r="AV194" s="30" t="n">
        <v>0.0859</v>
      </c>
      <c r="AW194" s="30" t="n">
        <v>0.4598</v>
      </c>
      <c r="AX194" s="30" t="n">
        <v>0.4649</v>
      </c>
      <c r="AY194" s="29" t="n">
        <v>3</v>
      </c>
      <c r="AZ194" s="23" t="n">
        <v>376.6</v>
      </c>
      <c r="BA194" s="23" t="n">
        <v>327.84</v>
      </c>
      <c r="BB194" s="23" t="n">
        <v>350.2619</v>
      </c>
      <c r="BC194" s="30" t="n">
        <v>0.967</v>
      </c>
      <c r="BD194" s="26">
        <f>IF(M194=N194,0.5,(J194-N194)/(M194-N194))</f>
        <v/>
      </c>
      <c r="BE194" s="31" t="n">
        <v>16.585</v>
      </c>
      <c r="BF194" s="31" t="n">
        <v>11.831</v>
      </c>
      <c r="BG194" s="32">
        <f>100*(0.4*MIN(1,MAX(0,((U194*100)-(0.0))/((2.5)-(0.0))))+0.3*MIN(1,MAX(0,((V194)-(0.6))/((1.0)-(0.6))))+0.3*MIN(1,MAX(0,((BE194)-(0.0))/((15.0)-(0.0)))))</f>
        <v/>
      </c>
      <c r="BH194" s="32">
        <f>100*(0.4*MIN(1,MAX(0,((MIN(ABS(AA194),ABS(AB194)))-(0.75))/((0.0)-(0.75))))+0.3*MIN(1,MAX(0,((BC194)-(1.2))/((0.6)-(1.2))))+0.3*BD194)</f>
        <v/>
      </c>
      <c r="BI194" s="32">
        <f>100*(0.5*MIN(1,MAX(0,((AK194)-(1.0))/((4.0)-(1.0))))+0.3*MIN(1,MAX(0,((IF(ISNUMBER(AO194),AO194,0)*100)-(0.0))/((8.0)-(0.0))))+0.2*MIN(1,MAX(0,((IF(ISNUMBER(AP194),AP194,0))-(25.0))/((5.0)-(25.0)))))</f>
        <v/>
      </c>
      <c r="BJ194" s="32">
        <f>100*(0.35*MIN(1,MAX(0,((ABS(AU194))-(0.3))/((0.05)-(0.3))))+0.3*MIN(1,MAX(0,((AV194)-(0.0))/((0.3)-(0.0))))+0.25*MIN(1,MAX(0,((AW194)-(0.4))/((0.7)-(0.4))))+0.1*IF(AY194&gt;=2,1,0.5))</f>
        <v/>
      </c>
      <c r="BK194" s="33">
        <f>0.25*BG194+0.25*BH194+0.2*BI194+0.3*BJ194</f>
        <v/>
      </c>
      <c r="BL194" s="20" t="inlineStr">
        <is>
          <t>C4 上升三角／重心偏上</t>
        </is>
      </c>
      <c r="BM194" s="20" t="inlineStr"/>
    </row>
    <row r="195">
      <c r="A195" s="20" t="n">
        <v>2</v>
      </c>
      <c r="B195" s="20" t="n">
        <v>94</v>
      </c>
      <c r="C195" s="21" t="inlineStr">
        <is>
          <t>RLGT</t>
        </is>
      </c>
      <c r="D195" s="20" t="inlineStr">
        <is>
          <t>Radiant Logistics Inc.</t>
        </is>
      </c>
      <c r="E195" s="20" t="inlineStr">
        <is>
          <t>AMEX</t>
        </is>
      </c>
      <c r="F195" s="20" t="inlineStr">
        <is>
          <t>工業</t>
        </is>
      </c>
      <c r="G195" s="20" t="inlineStr">
        <is>
          <t>Integrated Freight &amp; Logistics</t>
        </is>
      </c>
      <c r="H195" s="22" t="n">
        <v>0.408</v>
      </c>
      <c r="I195" s="20" t="inlineStr">
        <is>
          <t>小型</t>
        </is>
      </c>
      <c r="J195" s="23" t="n">
        <v>9.01</v>
      </c>
      <c r="K195" s="23" t="n">
        <v>8.69</v>
      </c>
      <c r="L195" s="24">
        <f>J195/K195-1</f>
        <v/>
      </c>
      <c r="M195" s="23" t="n">
        <v>9.02</v>
      </c>
      <c r="N195" s="23" t="n">
        <v>8.619999999999999</v>
      </c>
      <c r="O195" s="25" t="n">
        <v>163300</v>
      </c>
      <c r="P195" s="25" t="n">
        <v>409370</v>
      </c>
      <c r="Q195" s="26">
        <f>O195/P195</f>
        <v/>
      </c>
      <c r="R195" s="23" t="n">
        <v>8.754200000000001</v>
      </c>
      <c r="S195" s="23" t="n">
        <v>8.6836</v>
      </c>
      <c r="T195" s="23" t="n">
        <v>8.6264</v>
      </c>
      <c r="U195" s="24">
        <f>S195/T195-1</f>
        <v/>
      </c>
      <c r="V195" s="27" t="n">
        <v>0.7</v>
      </c>
      <c r="W195" s="24">
        <f>J195/R195-1</f>
        <v/>
      </c>
      <c r="X195" s="24">
        <f>J195/S195-1</f>
        <v/>
      </c>
      <c r="Y195" s="23" t="n">
        <v>0.3219</v>
      </c>
      <c r="Z195" s="28">
        <f>Y195/J195</f>
        <v/>
      </c>
      <c r="AA195" s="26">
        <f>(J195-R195)/Y195</f>
        <v/>
      </c>
      <c r="AB195" s="26">
        <f>(J195-S195)/Y195</f>
        <v/>
      </c>
      <c r="AC195" s="20">
        <f>IF(ABS(AA195)&lt;=ABS(AB195),"9EMA","21EMA")</f>
        <v/>
      </c>
      <c r="AD195" s="20" t="inlineStr">
        <is>
          <t>9+21EMA</t>
        </is>
      </c>
      <c r="AE195" s="20" t="inlineStr">
        <is>
          <t>持續在上方</t>
        </is>
      </c>
      <c r="AF195" s="20" t="inlineStr"/>
      <c r="AG195" s="20" t="inlineStr"/>
      <c r="AH195" s="20" t="inlineStr">
        <is>
          <t>✓</t>
        </is>
      </c>
      <c r="AI195" s="20" t="inlineStr">
        <is>
          <t>2026-09-15</t>
        </is>
      </c>
      <c r="AJ195" s="20" t="n">
        <v>12</v>
      </c>
      <c r="AK195" s="29" t="n">
        <v>4</v>
      </c>
      <c r="AL195" s="20" t="inlineStr">
        <is>
          <t>2026-09-28</t>
        </is>
      </c>
      <c r="AM195" s="23" t="n">
        <v>8.49</v>
      </c>
      <c r="AN195" s="23" t="n">
        <v>8.44</v>
      </c>
      <c r="AO195" s="24">
        <f>IF(ISNUMBER(AN195),AM195/AN195-1,"")</f>
        <v/>
      </c>
      <c r="AP195" s="29" t="n">
        <v>3</v>
      </c>
      <c r="AQ195" s="24">
        <f>IF(ISNUMBER(AM195),J195/AM195-1,"")</f>
        <v/>
      </c>
      <c r="AR195" s="23" t="n">
        <v>9.81</v>
      </c>
      <c r="AS195" s="24">
        <f>J195/AR195-1</f>
        <v/>
      </c>
      <c r="AT195" s="20" t="inlineStr">
        <is>
          <t>上傾擴張</t>
        </is>
      </c>
      <c r="AU195" s="30" t="n">
        <v>1.0636</v>
      </c>
      <c r="AV195" s="30" t="n">
        <v>0.3517</v>
      </c>
      <c r="AW195" s="30" t="n">
        <v>0.4513</v>
      </c>
      <c r="AX195" s="30" t="n">
        <v>0.5299</v>
      </c>
      <c r="AY195" s="29" t="n">
        <v>1</v>
      </c>
      <c r="AZ195" s="23" t="n">
        <v>10.2</v>
      </c>
      <c r="BA195" s="23" t="n">
        <v>8.050000000000001</v>
      </c>
      <c r="BB195" s="23" t="n">
        <v>9.020300000000001</v>
      </c>
      <c r="BC195" s="30" t="n">
        <v>1.5821</v>
      </c>
      <c r="BD195" s="26">
        <f>IF(M195=N195,0.5,(J195-N195)/(M195-N195))</f>
        <v/>
      </c>
      <c r="BE195" s="31" t="n">
        <v>13.439</v>
      </c>
      <c r="BF195" s="31" t="n">
        <v>8.685</v>
      </c>
      <c r="BG195" s="32">
        <f>100*(0.4*MIN(1,MAX(0,((U195*100)-(0.0))/((2.5)-(0.0))))+0.3*MIN(1,MAX(0,((V195)-(0.6))/((1.0)-(0.6))))+0.3*MIN(1,MAX(0,((BE195)-(0.0))/((15.0)-(0.0)))))</f>
        <v/>
      </c>
      <c r="BH195" s="32">
        <f>100*(0.4*MIN(1,MAX(0,((MIN(ABS(AA195),ABS(AB195)))-(0.75))/((0.0)-(0.75))))+0.3*MIN(1,MAX(0,((BC195)-(1.2))/((0.6)-(1.2))))+0.3*BD195)</f>
        <v/>
      </c>
      <c r="BI195" s="32">
        <f>100*(0.5*MIN(1,MAX(0,((AK195)-(1.0))/((4.0)-(1.0))))+0.3*MIN(1,MAX(0,((IF(ISNUMBER(AO195),AO195,0)*100)-(0.0))/((8.0)-(0.0))))+0.2*MIN(1,MAX(0,((IF(ISNUMBER(AP195),AP195,0))-(25.0))/((5.0)-(25.0)))))</f>
        <v/>
      </c>
      <c r="BJ195" s="32">
        <f>100*(0.35*MIN(1,MAX(0,((ABS(AU195))-(0.3))/((0.05)-(0.3))))+0.3*MIN(1,MAX(0,((AV195)-(0.0))/((0.3)-(0.0))))+0.25*MIN(1,MAX(0,((AW195)-(0.4))/((0.7)-(0.4))))+0.1*IF(AY195&gt;=2,1,0.5))</f>
        <v/>
      </c>
      <c r="BK195" s="33">
        <f>0.25*BG195+0.25*BH195+0.2*BI195+0.3*BJ195</f>
        <v/>
      </c>
      <c r="BL195" s="20" t="inlineStr">
        <is>
          <t>C4 上升三角／重心偏上</t>
        </is>
      </c>
      <c r="BM195" s="20" t="inlineStr"/>
    </row>
    <row r="196">
      <c r="A196" s="20" t="n">
        <v>2</v>
      </c>
      <c r="B196" s="20" t="n">
        <v>95</v>
      </c>
      <c r="C196" s="21" t="inlineStr">
        <is>
          <t>IT</t>
        </is>
      </c>
      <c r="D196" s="20" t="inlineStr">
        <is>
          <t>Gartner Inc.</t>
        </is>
      </c>
      <c r="E196" s="20" t="inlineStr">
        <is>
          <t>NYSE</t>
        </is>
      </c>
      <c r="F196" s="20" t="inlineStr">
        <is>
          <t>非必需消費</t>
        </is>
      </c>
      <c r="G196" s="20" t="inlineStr">
        <is>
          <t>Other Consumer Services</t>
        </is>
      </c>
      <c r="H196" s="22" t="n">
        <v>11.78</v>
      </c>
      <c r="I196" s="20" t="inlineStr">
        <is>
          <t>大型</t>
        </is>
      </c>
      <c r="J196" s="23" t="n">
        <v>192.8</v>
      </c>
      <c r="K196" s="23" t="n">
        <v>186.54</v>
      </c>
      <c r="L196" s="24">
        <f>J196/K196-1</f>
        <v/>
      </c>
      <c r="M196" s="23" t="n">
        <v>204.29</v>
      </c>
      <c r="N196" s="23" t="n">
        <v>192.42</v>
      </c>
      <c r="O196" s="25" t="n">
        <v>1093600</v>
      </c>
      <c r="P196" s="25" t="n">
        <v>1090695</v>
      </c>
      <c r="Q196" s="26">
        <f>O196/P196</f>
        <v/>
      </c>
      <c r="R196" s="23" t="n">
        <v>186.4982</v>
      </c>
      <c r="S196" s="23" t="n">
        <v>185.4117</v>
      </c>
      <c r="T196" s="23" t="n">
        <v>183.8429</v>
      </c>
      <c r="U196" s="24">
        <f>S196/T196-1</f>
        <v/>
      </c>
      <c r="V196" s="27" t="n">
        <v>0.6</v>
      </c>
      <c r="W196" s="24">
        <f>J196/R196-1</f>
        <v/>
      </c>
      <c r="X196" s="24">
        <f>J196/S196-1</f>
        <v/>
      </c>
      <c r="Y196" s="23" t="n">
        <v>8.7392</v>
      </c>
      <c r="Z196" s="28">
        <f>Y196/J196</f>
        <v/>
      </c>
      <c r="AA196" s="26">
        <f>(J196-R196)/Y196</f>
        <v/>
      </c>
      <c r="AB196" s="26">
        <f>(J196-S196)/Y196</f>
        <v/>
      </c>
      <c r="AC196" s="20">
        <f>IF(ABS(AA196)&lt;=ABS(AB196),"9EMA","21EMA")</f>
        <v/>
      </c>
      <c r="AD196" s="20" t="inlineStr">
        <is>
          <t>9+21EMA</t>
        </is>
      </c>
      <c r="AE196" s="19" t="inlineStr">
        <is>
          <t>剛黃金交叉</t>
        </is>
      </c>
      <c r="AF196" s="20" t="inlineStr">
        <is>
          <t>✓</t>
        </is>
      </c>
      <c r="AG196" s="20" t="inlineStr"/>
      <c r="AH196" s="20" t="inlineStr"/>
      <c r="AI196" s="20" t="inlineStr">
        <is>
          <t>2026-09-29</t>
        </is>
      </c>
      <c r="AJ196" s="20" t="n">
        <v>2</v>
      </c>
      <c r="AK196" s="29" t="n">
        <v>2</v>
      </c>
      <c r="AL196" s="20" t="inlineStr">
        <is>
          <t>2026-09-24</t>
        </is>
      </c>
      <c r="AM196" s="23" t="n">
        <v>176.04</v>
      </c>
      <c r="AN196" s="23" t="n">
        <v>166.01</v>
      </c>
      <c r="AO196" s="24">
        <f>IF(ISNUMBER(AN196),AM196/AN196-1,"")</f>
        <v/>
      </c>
      <c r="AP196" s="29" t="n">
        <v>5</v>
      </c>
      <c r="AQ196" s="24">
        <f>IF(ISNUMBER(AM196),J196/AM196-1,"")</f>
        <v/>
      </c>
      <c r="AR196" s="23" t="n">
        <v>197.07</v>
      </c>
      <c r="AS196" s="24">
        <f>J196/AR196-1</f>
        <v/>
      </c>
      <c r="AT196" s="20" t="inlineStr">
        <is>
          <t>對稱三角</t>
        </is>
      </c>
      <c r="AU196" s="30" t="n">
        <v>-0.125</v>
      </c>
      <c r="AV196" s="30" t="n">
        <v>0.4729</v>
      </c>
      <c r="AW196" s="30" t="n">
        <v>0.5306</v>
      </c>
      <c r="AX196" s="30" t="n">
        <v>0.5795</v>
      </c>
      <c r="AY196" s="29" t="n">
        <v>2</v>
      </c>
      <c r="AZ196" s="23" t="n">
        <v>204.29</v>
      </c>
      <c r="BA196" s="23" t="n">
        <v>166.01</v>
      </c>
      <c r="BB196" s="23" t="n">
        <v>186.323</v>
      </c>
      <c r="BC196" s="30" t="n">
        <v>1.3286</v>
      </c>
      <c r="BD196" s="26">
        <f>IF(M196=N196,0.5,(J196-N196)/(M196-N196))</f>
        <v/>
      </c>
      <c r="BE196" s="31" t="n">
        <v>6.265</v>
      </c>
      <c r="BF196" s="31" t="n">
        <v>1.511</v>
      </c>
      <c r="BG196" s="32">
        <f>100*(0.4*MIN(1,MAX(0,((U196*100)-(0.0))/((2.5)-(0.0))))+0.3*MIN(1,MAX(0,((V196)-(0.6))/((1.0)-(0.6))))+0.3*MIN(1,MAX(0,((BE196)-(0.0))/((15.0)-(0.0)))))</f>
        <v/>
      </c>
      <c r="BH196" s="32">
        <f>100*(0.4*MIN(1,MAX(0,((MIN(ABS(AA196),ABS(AB196)))-(0.75))/((0.0)-(0.75))))+0.3*MIN(1,MAX(0,((BC196)-(1.2))/((0.6)-(1.2))))+0.3*BD196)</f>
        <v/>
      </c>
      <c r="BI196" s="32">
        <f>100*(0.5*MIN(1,MAX(0,((AK196)-(1.0))/((4.0)-(1.0))))+0.3*MIN(1,MAX(0,((IF(ISNUMBER(AO196),AO196,0)*100)-(0.0))/((8.0)-(0.0))))+0.2*MIN(1,MAX(0,((IF(ISNUMBER(AP196),AP196,0))-(25.0))/((5.0)-(25.0)))))</f>
        <v/>
      </c>
      <c r="BJ196" s="32">
        <f>100*(0.35*MIN(1,MAX(0,((ABS(AU196))-(0.3))/((0.05)-(0.3))))+0.3*MIN(1,MAX(0,((AV196)-(0.0))/((0.3)-(0.0))))+0.25*MIN(1,MAX(0,((AW196)-(0.4))/((0.7)-(0.4))))+0.1*IF(AY196&gt;=2,1,0.5))</f>
        <v/>
      </c>
      <c r="BK196" s="33">
        <f>0.25*BG196+0.25*BH196+0.2*BI196+0.3*BJ196</f>
        <v/>
      </c>
      <c r="BL196" s="20" t="inlineStr">
        <is>
          <t>C4 上升三角／重心偏上</t>
        </is>
      </c>
      <c r="BM196" s="20" t="inlineStr"/>
    </row>
    <row r="197">
      <c r="A197" s="20" t="n">
        <v>2</v>
      </c>
      <c r="B197" s="20" t="n">
        <v>96</v>
      </c>
      <c r="C197" s="21" t="inlineStr">
        <is>
          <t>KR</t>
        </is>
      </c>
      <c r="D197" s="20" t="inlineStr">
        <is>
          <t>Kroger Company (The)</t>
        </is>
      </c>
      <c r="E197" s="20" t="inlineStr">
        <is>
          <t>NYSE</t>
        </is>
      </c>
      <c r="F197" s="20" t="inlineStr">
        <is>
          <t>必需消費</t>
        </is>
      </c>
      <c r="G197" s="20" t="inlineStr">
        <is>
          <t>Food Chains</t>
        </is>
      </c>
      <c r="H197" s="22" t="n">
        <v>34.62</v>
      </c>
      <c r="I197" s="20" t="inlineStr">
        <is>
          <t>大型</t>
        </is>
      </c>
      <c r="J197" s="23" t="n">
        <v>59.48</v>
      </c>
      <c r="K197" s="23" t="n">
        <v>58.62</v>
      </c>
      <c r="L197" s="24">
        <f>J197/K197-1</f>
        <v/>
      </c>
      <c r="M197" s="23" t="n">
        <v>60.29</v>
      </c>
      <c r="N197" s="23" t="n">
        <v>58.3</v>
      </c>
      <c r="O197" s="25" t="n">
        <v>7946800</v>
      </c>
      <c r="P197" s="25" t="n">
        <v>8391190</v>
      </c>
      <c r="Q197" s="26">
        <f>O197/P197</f>
        <v/>
      </c>
      <c r="R197" s="23" t="n">
        <v>59.3501</v>
      </c>
      <c r="S197" s="23" t="n">
        <v>59.0628</v>
      </c>
      <c r="T197" s="23" t="n">
        <v>58.815</v>
      </c>
      <c r="U197" s="24">
        <f>S197/T197-1</f>
        <v/>
      </c>
      <c r="V197" s="27" t="n">
        <v>0.6</v>
      </c>
      <c r="W197" s="24">
        <f>J197/R197-1</f>
        <v/>
      </c>
      <c r="X197" s="24">
        <f>J197/S197-1</f>
        <v/>
      </c>
      <c r="Y197" s="23" t="n">
        <v>1.6212</v>
      </c>
      <c r="Z197" s="28">
        <f>Y197/J197</f>
        <v/>
      </c>
      <c r="AA197" s="26">
        <f>(J197-R197)/Y197</f>
        <v/>
      </c>
      <c r="AB197" s="26">
        <f>(J197-S197)/Y197</f>
        <v/>
      </c>
      <c r="AC197" s="20">
        <f>IF(ABS(AA197)&lt;=ABS(AB197),"9EMA","21EMA")</f>
        <v/>
      </c>
      <c r="AD197" s="20" t="inlineStr">
        <is>
          <t>9+21EMA</t>
        </is>
      </c>
      <c r="AE197" s="20" t="inlineStr">
        <is>
          <t>持續在上方</t>
        </is>
      </c>
      <c r="AF197" s="20" t="inlineStr"/>
      <c r="AG197" s="20" t="inlineStr"/>
      <c r="AH197" s="20" t="inlineStr">
        <is>
          <t>✓</t>
        </is>
      </c>
      <c r="AI197" s="20" t="inlineStr">
        <is>
          <t>2026-09-11</t>
        </is>
      </c>
      <c r="AJ197" s="20" t="n">
        <v>14</v>
      </c>
      <c r="AK197" s="29" t="n">
        <v>2</v>
      </c>
      <c r="AL197" s="20" t="inlineStr">
        <is>
          <t>2026-09-23</t>
        </is>
      </c>
      <c r="AM197" s="23" t="n">
        <v>57.56</v>
      </c>
      <c r="AN197" s="23" t="n">
        <v>55.65</v>
      </c>
      <c r="AO197" s="24">
        <f>IF(ISNUMBER(AN197),AM197/AN197-1,"")</f>
        <v/>
      </c>
      <c r="AP197" s="29" t="n">
        <v>6</v>
      </c>
      <c r="AQ197" s="24">
        <f>IF(ISNUMBER(AM197),J197/AM197-1,"")</f>
        <v/>
      </c>
      <c r="AR197" s="23" t="n">
        <v>62.25</v>
      </c>
      <c r="AS197" s="24">
        <f>J197/AR197-1</f>
        <v/>
      </c>
      <c r="AT197" s="20" t="inlineStr">
        <is>
          <t>上傾擴張</t>
        </is>
      </c>
      <c r="AU197" s="30" t="n">
        <v>0.8214</v>
      </c>
      <c r="AV197" s="30" t="n">
        <v>0.1025</v>
      </c>
      <c r="AW197" s="30" t="n">
        <v>0.4979</v>
      </c>
      <c r="AX197" s="30" t="n">
        <v>0.4553</v>
      </c>
      <c r="AY197" s="29" t="n">
        <v>2</v>
      </c>
      <c r="AZ197" s="23" t="n">
        <v>62.55</v>
      </c>
      <c r="BA197" s="23" t="n">
        <v>55.65</v>
      </c>
      <c r="BB197" s="23" t="n">
        <v>59.0856</v>
      </c>
      <c r="BC197" s="30" t="n">
        <v>0.8621</v>
      </c>
      <c r="BD197" s="26">
        <f>IF(M197=N197,0.5,(J197-N197)/(M197-N197))</f>
        <v/>
      </c>
      <c r="BE197" s="31" t="n">
        <v>7.412</v>
      </c>
      <c r="BF197" s="31" t="n">
        <v>2.658</v>
      </c>
      <c r="BG197" s="32">
        <f>100*(0.4*MIN(1,MAX(0,((U197*100)-(0.0))/((2.5)-(0.0))))+0.3*MIN(1,MAX(0,((V197)-(0.6))/((1.0)-(0.6))))+0.3*MIN(1,MAX(0,((BE197)-(0.0))/((15.0)-(0.0)))))</f>
        <v/>
      </c>
      <c r="BH197" s="32">
        <f>100*(0.4*MIN(1,MAX(0,((MIN(ABS(AA197),ABS(AB197)))-(0.75))/((0.0)-(0.75))))+0.3*MIN(1,MAX(0,((BC197)-(1.2))/((0.6)-(1.2))))+0.3*BD197)</f>
        <v/>
      </c>
      <c r="BI197" s="32">
        <f>100*(0.5*MIN(1,MAX(0,((AK197)-(1.0))/((4.0)-(1.0))))+0.3*MIN(1,MAX(0,((IF(ISNUMBER(AO197),AO197,0)*100)-(0.0))/((8.0)-(0.0))))+0.2*MIN(1,MAX(0,((IF(ISNUMBER(AP197),AP197,0))-(25.0))/((5.0)-(25.0)))))</f>
        <v/>
      </c>
      <c r="BJ197" s="32">
        <f>100*(0.35*MIN(1,MAX(0,((ABS(AU197))-(0.3))/((0.05)-(0.3))))+0.3*MIN(1,MAX(0,((AV197)-(0.0))/((0.3)-(0.0))))+0.25*MIN(1,MAX(0,((AW197)-(0.4))/((0.7)-(0.4))))+0.1*IF(AY197&gt;=2,1,0.5))</f>
        <v/>
      </c>
      <c r="BK197" s="33">
        <f>0.25*BG197+0.25*BH197+0.2*BI197+0.3*BJ197</f>
        <v/>
      </c>
      <c r="BL197" s="20" t="inlineStr">
        <is>
          <t>C4 上升三角／重心偏上</t>
        </is>
      </c>
      <c r="BM197" s="20" t="inlineStr"/>
    </row>
    <row r="198">
      <c r="A198" s="20" t="n">
        <v>2</v>
      </c>
      <c r="B198" s="20" t="n">
        <v>97</v>
      </c>
      <c r="C198" s="21" t="inlineStr">
        <is>
          <t>MGNI</t>
        </is>
      </c>
      <c r="D198" s="20" t="inlineStr">
        <is>
          <t>Magnite Inc.</t>
        </is>
      </c>
      <c r="E198" s="20" t="inlineStr">
        <is>
          <t>NASDAQ</t>
        </is>
      </c>
      <c r="F198" s="20" t="inlineStr">
        <is>
          <t>科技</t>
        </is>
      </c>
      <c r="G198" s="20" t="inlineStr">
        <is>
          <t>Computer Software: Programming Data Processing</t>
        </is>
      </c>
      <c r="H198" s="22" t="n">
        <v>3.623</v>
      </c>
      <c r="I198" s="20" t="inlineStr">
        <is>
          <t>中型</t>
        </is>
      </c>
      <c r="J198" s="23" t="n">
        <v>25.44</v>
      </c>
      <c r="K198" s="23" t="n">
        <v>25.26</v>
      </c>
      <c r="L198" s="24">
        <f>J198/K198-1</f>
        <v/>
      </c>
      <c r="M198" s="23" t="n">
        <v>25.74</v>
      </c>
      <c r="N198" s="23" t="n">
        <v>24.94</v>
      </c>
      <c r="O198" s="25" t="n">
        <v>1742600</v>
      </c>
      <c r="P198" s="25" t="n">
        <v>2306750</v>
      </c>
      <c r="Q198" s="26">
        <f>O198/P198</f>
        <v/>
      </c>
      <c r="R198" s="23" t="n">
        <v>24.7714</v>
      </c>
      <c r="S198" s="23" t="n">
        <v>24.3615</v>
      </c>
      <c r="T198" s="23" t="n">
        <v>24.0707</v>
      </c>
      <c r="U198" s="24">
        <f>S198/T198-1</f>
        <v/>
      </c>
      <c r="V198" s="27" t="n">
        <v>0.6</v>
      </c>
      <c r="W198" s="24">
        <f>J198/R198-1</f>
        <v/>
      </c>
      <c r="X198" s="24">
        <f>J198/S198-1</f>
        <v/>
      </c>
      <c r="Y198" s="23" t="n">
        <v>1.0913</v>
      </c>
      <c r="Z198" s="28">
        <f>Y198/J198</f>
        <v/>
      </c>
      <c r="AA198" s="26">
        <f>(J198-R198)/Y198</f>
        <v/>
      </c>
      <c r="AB198" s="26">
        <f>(J198-S198)/Y198</f>
        <v/>
      </c>
      <c r="AC198" s="20">
        <f>IF(ABS(AA198)&lt;=ABS(AB198),"9EMA","21EMA")</f>
        <v/>
      </c>
      <c r="AD198" s="20" t="inlineStr">
        <is>
          <t>9+21EMA</t>
        </is>
      </c>
      <c r="AE198" s="20" t="inlineStr">
        <is>
          <t>持續在上方</t>
        </is>
      </c>
      <c r="AF198" s="20" t="inlineStr"/>
      <c r="AG198" s="20" t="inlineStr"/>
      <c r="AH198" s="20" t="inlineStr">
        <is>
          <t>✓</t>
        </is>
      </c>
      <c r="AI198" s="20" t="inlineStr">
        <is>
          <t>2026-04-15</t>
        </is>
      </c>
      <c r="AJ198" s="20" t="n">
        <v>117</v>
      </c>
      <c r="AK198" s="29" t="n">
        <v>3</v>
      </c>
      <c r="AL198" s="20" t="inlineStr">
        <is>
          <t>2026-09-28</t>
        </is>
      </c>
      <c r="AM198" s="23" t="n">
        <v>23.09</v>
      </c>
      <c r="AN198" s="23" t="n">
        <v>23.05</v>
      </c>
      <c r="AO198" s="24">
        <f>IF(ISNUMBER(AN198),AM198/AN198-1,"")</f>
        <v/>
      </c>
      <c r="AP198" s="29" t="n">
        <v>3</v>
      </c>
      <c r="AQ198" s="24">
        <f>IF(ISNUMBER(AM198),J198/AM198-1,"")</f>
        <v/>
      </c>
      <c r="AR198" s="23" t="n">
        <v>25.67</v>
      </c>
      <c r="AS198" s="24">
        <f>J198/AR198-1</f>
        <v/>
      </c>
      <c r="AT198" s="20" t="inlineStr">
        <is>
          <t>上傾擴張</t>
        </is>
      </c>
      <c r="AU198" s="30" t="n">
        <v>0.4586</v>
      </c>
      <c r="AV198" s="30" t="n">
        <v>0.1162</v>
      </c>
      <c r="AW198" s="30" t="n">
        <v>0.4695</v>
      </c>
      <c r="AX198" s="30" t="n">
        <v>0.5812</v>
      </c>
      <c r="AY198" s="29" t="n">
        <v>1</v>
      </c>
      <c r="AZ198" s="23" t="n">
        <v>26.84</v>
      </c>
      <c r="BA198" s="23" t="n">
        <v>22.44</v>
      </c>
      <c r="BB198" s="23" t="n">
        <v>24.5058</v>
      </c>
      <c r="BC198" s="30" t="n">
        <v>0.9481000000000001</v>
      </c>
      <c r="BD198" s="26">
        <f>IF(M198=N198,0.5,(J198-N198)/(M198-N198))</f>
        <v/>
      </c>
      <c r="BE198" s="31" t="n">
        <v>15.894</v>
      </c>
      <c r="BF198" s="31" t="n">
        <v>11.14</v>
      </c>
      <c r="BG198" s="32">
        <f>100*(0.4*MIN(1,MAX(0,((U198*100)-(0.0))/((2.5)-(0.0))))+0.3*MIN(1,MAX(0,((V198)-(0.6))/((1.0)-(0.6))))+0.3*MIN(1,MAX(0,((BE198)-(0.0))/((15.0)-(0.0)))))</f>
        <v/>
      </c>
      <c r="BH198" s="32">
        <f>100*(0.4*MIN(1,MAX(0,((MIN(ABS(AA198),ABS(AB198)))-(0.75))/((0.0)-(0.75))))+0.3*MIN(1,MAX(0,((BC198)-(1.2))/((0.6)-(1.2))))+0.3*BD198)</f>
        <v/>
      </c>
      <c r="BI198" s="32">
        <f>100*(0.5*MIN(1,MAX(0,((AK198)-(1.0))/((4.0)-(1.0))))+0.3*MIN(1,MAX(0,((IF(ISNUMBER(AO198),AO198,0)*100)-(0.0))/((8.0)-(0.0))))+0.2*MIN(1,MAX(0,((IF(ISNUMBER(AP198),AP198,0))-(25.0))/((5.0)-(25.0)))))</f>
        <v/>
      </c>
      <c r="BJ198" s="32">
        <f>100*(0.35*MIN(1,MAX(0,((ABS(AU198))-(0.3))/((0.05)-(0.3))))+0.3*MIN(1,MAX(0,((AV198)-(0.0))/((0.3)-(0.0))))+0.25*MIN(1,MAX(0,((AW198)-(0.4))/((0.7)-(0.4))))+0.1*IF(AY198&gt;=2,1,0.5))</f>
        <v/>
      </c>
      <c r="BK198" s="33">
        <f>0.25*BG198+0.25*BH198+0.2*BI198+0.3*BJ198</f>
        <v/>
      </c>
      <c r="BL198" s="20" t="inlineStr">
        <is>
          <t>C4 上升三角／重心偏上</t>
        </is>
      </c>
      <c r="BM198" s="20" t="inlineStr"/>
    </row>
    <row r="199">
      <c r="A199" s="20" t="n">
        <v>2</v>
      </c>
      <c r="B199" s="20" t="n">
        <v>98</v>
      </c>
      <c r="C199" s="21" t="inlineStr">
        <is>
          <t>CVCO</t>
        </is>
      </c>
      <c r="D199" s="20" t="inlineStr">
        <is>
          <t>Cavco Industries Inc.</t>
        </is>
      </c>
      <c r="E199" s="20" t="inlineStr">
        <is>
          <t>NASDAQ</t>
        </is>
      </c>
      <c r="F199" s="20" t="inlineStr">
        <is>
          <t>非必需消費</t>
        </is>
      </c>
      <c r="G199" s="20" t="inlineStr">
        <is>
          <t>Homebuilding</t>
        </is>
      </c>
      <c r="H199" s="22" t="n">
        <v>4.308</v>
      </c>
      <c r="I199" s="20" t="inlineStr">
        <is>
          <t>中型</t>
        </is>
      </c>
      <c r="J199" s="23" t="n">
        <v>577.2</v>
      </c>
      <c r="K199" s="23" t="n">
        <v>560.26</v>
      </c>
      <c r="L199" s="24">
        <f>J199/K199-1</f>
        <v/>
      </c>
      <c r="M199" s="23" t="n">
        <v>580.5700000000001</v>
      </c>
      <c r="N199" s="23" t="n">
        <v>551.65</v>
      </c>
      <c r="O199" s="25" t="n">
        <v>86500</v>
      </c>
      <c r="P199" s="25" t="n">
        <v>105300</v>
      </c>
      <c r="Q199" s="26">
        <f>O199/P199</f>
        <v/>
      </c>
      <c r="R199" s="23" t="n">
        <v>556.9864</v>
      </c>
      <c r="S199" s="23" t="n">
        <v>554.5722</v>
      </c>
      <c r="T199" s="23" t="n">
        <v>549.7188</v>
      </c>
      <c r="U199" s="24">
        <f>S199/T199-1</f>
        <v/>
      </c>
      <c r="V199" s="27" t="n">
        <v>0.6</v>
      </c>
      <c r="W199" s="24">
        <f>J199/R199-1</f>
        <v/>
      </c>
      <c r="X199" s="24">
        <f>J199/S199-1</f>
        <v/>
      </c>
      <c r="Y199" s="23" t="n">
        <v>17.9545</v>
      </c>
      <c r="Z199" s="28">
        <f>Y199/J199</f>
        <v/>
      </c>
      <c r="AA199" s="26">
        <f>(J199-R199)/Y199</f>
        <v/>
      </c>
      <c r="AB199" s="26">
        <f>(J199-S199)/Y199</f>
        <v/>
      </c>
      <c r="AC199" s="20">
        <f>IF(ABS(AA199)&lt;=ABS(AB199),"9EMA","21EMA")</f>
        <v/>
      </c>
      <c r="AD199" s="20" t="inlineStr">
        <is>
          <t>9+21EMA</t>
        </is>
      </c>
      <c r="AE199" s="19" t="inlineStr">
        <is>
          <t>剛黃金交叉</t>
        </is>
      </c>
      <c r="AF199" s="20" t="inlineStr">
        <is>
          <t>✓</t>
        </is>
      </c>
      <c r="AG199" s="20" t="inlineStr"/>
      <c r="AH199" s="20" t="inlineStr"/>
      <c r="AI199" s="20" t="inlineStr">
        <is>
          <t>2026-10-01</t>
        </is>
      </c>
      <c r="AJ199" s="20" t="n">
        <v>0</v>
      </c>
      <c r="AK199" s="29" t="n">
        <v>2</v>
      </c>
      <c r="AL199" s="20" t="inlineStr">
        <is>
          <t>2026-09-18</t>
        </is>
      </c>
      <c r="AM199" s="23" t="n">
        <v>520.5599999999999</v>
      </c>
      <c r="AN199" s="23" t="n">
        <v>515.6799999999999</v>
      </c>
      <c r="AO199" s="24">
        <f>IF(ISNUMBER(AN199),AM199/AN199-1,"")</f>
        <v/>
      </c>
      <c r="AP199" s="29" t="n">
        <v>9</v>
      </c>
      <c r="AQ199" s="24">
        <f>IF(ISNUMBER(AM199),J199/AM199-1,"")</f>
        <v/>
      </c>
      <c r="AR199" s="23" t="n">
        <v>577.2</v>
      </c>
      <c r="AS199" s="24">
        <f>J199/AR199-1</f>
        <v/>
      </c>
      <c r="AT199" s="20" t="inlineStr">
        <is>
          <t>對稱三角</t>
        </is>
      </c>
      <c r="AU199" s="30" t="n">
        <v>-0.1829</v>
      </c>
      <c r="AV199" s="30" t="n">
        <v>0.1409</v>
      </c>
      <c r="AW199" s="30" t="n">
        <v>0.5182</v>
      </c>
      <c r="AX199" s="30" t="n">
        <v>0.4897</v>
      </c>
      <c r="AY199" s="29" t="n">
        <v>4</v>
      </c>
      <c r="AZ199" s="23" t="n">
        <v>581.37</v>
      </c>
      <c r="BA199" s="23" t="n">
        <v>515.6799999999999</v>
      </c>
      <c r="BB199" s="23" t="n">
        <v>549.7209</v>
      </c>
      <c r="BC199" s="30" t="n">
        <v>1.0944</v>
      </c>
      <c r="BD199" s="26">
        <f>IF(M199=N199,0.5,(J199-N199)/(M199-N199))</f>
        <v/>
      </c>
      <c r="BE199" s="31" t="n">
        <v>9.159000000000001</v>
      </c>
      <c r="BF199" s="31" t="n">
        <v>4.404</v>
      </c>
      <c r="BG199" s="32">
        <f>100*(0.4*MIN(1,MAX(0,((U199*100)-(0.0))/((2.5)-(0.0))))+0.3*MIN(1,MAX(0,((V199)-(0.6))/((1.0)-(0.6))))+0.3*MIN(1,MAX(0,((BE199)-(0.0))/((15.0)-(0.0)))))</f>
        <v/>
      </c>
      <c r="BH199" s="32">
        <f>100*(0.4*MIN(1,MAX(0,((MIN(ABS(AA199),ABS(AB199)))-(0.75))/((0.0)-(0.75))))+0.3*MIN(1,MAX(0,((BC199)-(1.2))/((0.6)-(1.2))))+0.3*BD199)</f>
        <v/>
      </c>
      <c r="BI199" s="32">
        <f>100*(0.5*MIN(1,MAX(0,((AK199)-(1.0))/((4.0)-(1.0))))+0.3*MIN(1,MAX(0,((IF(ISNUMBER(AO199),AO199,0)*100)-(0.0))/((8.0)-(0.0))))+0.2*MIN(1,MAX(0,((IF(ISNUMBER(AP199),AP199,0))-(25.0))/((5.0)-(25.0)))))</f>
        <v/>
      </c>
      <c r="BJ199" s="32">
        <f>100*(0.35*MIN(1,MAX(0,((ABS(AU199))-(0.3))/((0.05)-(0.3))))+0.3*MIN(1,MAX(0,((AV199)-(0.0))/((0.3)-(0.0))))+0.25*MIN(1,MAX(0,((AW199)-(0.4))/((0.7)-(0.4))))+0.1*IF(AY199&gt;=2,1,0.5))</f>
        <v/>
      </c>
      <c r="BK199" s="33">
        <f>0.25*BG199+0.25*BH199+0.2*BI199+0.3*BJ199</f>
        <v/>
      </c>
      <c r="BL199" s="20" t="inlineStr">
        <is>
          <t>C4 上升三角／重心偏上</t>
        </is>
      </c>
      <c r="BM199" s="20" t="inlineStr"/>
    </row>
    <row r="200">
      <c r="A200" s="20" t="n">
        <v>2</v>
      </c>
      <c r="B200" s="20" t="n">
        <v>99</v>
      </c>
      <c r="C200" s="21" t="inlineStr">
        <is>
          <t>BJ</t>
        </is>
      </c>
      <c r="D200" s="20" t="inlineStr">
        <is>
          <t>BJ's Wholesale Club Holdings Inc.</t>
        </is>
      </c>
      <c r="E200" s="20" t="inlineStr">
        <is>
          <t>NYSE</t>
        </is>
      </c>
      <c r="F200" s="20" t="inlineStr">
        <is>
          <t>非必需消費</t>
        </is>
      </c>
      <c r="G200" s="20" t="inlineStr">
        <is>
          <t>Department/Specialty Retail Stores</t>
        </is>
      </c>
      <c r="H200" s="22" t="n">
        <v>11.621</v>
      </c>
      <c r="I200" s="20" t="inlineStr">
        <is>
          <t>大型</t>
        </is>
      </c>
      <c r="J200" s="23" t="n">
        <v>94.36</v>
      </c>
      <c r="K200" s="23" t="n">
        <v>92</v>
      </c>
      <c r="L200" s="24">
        <f>J200/K200-1</f>
        <v/>
      </c>
      <c r="M200" s="23" t="n">
        <v>95.40000000000001</v>
      </c>
      <c r="N200" s="23" t="n">
        <v>91.63</v>
      </c>
      <c r="O200" s="25" t="n">
        <v>3640000</v>
      </c>
      <c r="P200" s="25" t="n">
        <v>1775970</v>
      </c>
      <c r="Q200" s="26">
        <f>O200/P200</f>
        <v/>
      </c>
      <c r="R200" s="23" t="n">
        <v>93.4958</v>
      </c>
      <c r="S200" s="23" t="n">
        <v>93.06059999999999</v>
      </c>
      <c r="T200" s="23" t="n">
        <v>92.2321</v>
      </c>
      <c r="U200" s="24">
        <f>S200/T200-1</f>
        <v/>
      </c>
      <c r="V200" s="27" t="n">
        <v>0.4</v>
      </c>
      <c r="W200" s="24">
        <f>J200/R200-1</f>
        <v/>
      </c>
      <c r="X200" s="24">
        <f>J200/S200-1</f>
        <v/>
      </c>
      <c r="Y200" s="23" t="n">
        <v>2.7928</v>
      </c>
      <c r="Z200" s="28">
        <f>Y200/J200</f>
        <v/>
      </c>
      <c r="AA200" s="26">
        <f>(J200-R200)/Y200</f>
        <v/>
      </c>
      <c r="AB200" s="26">
        <f>(J200-S200)/Y200</f>
        <v/>
      </c>
      <c r="AC200" s="20">
        <f>IF(ABS(AA200)&lt;=ABS(AB200),"9EMA","21EMA")</f>
        <v/>
      </c>
      <c r="AD200" s="20" t="inlineStr">
        <is>
          <t>9+21EMA</t>
        </is>
      </c>
      <c r="AE200" s="19" t="inlineStr">
        <is>
          <t>剛黃金交叉</t>
        </is>
      </c>
      <c r="AF200" s="20" t="inlineStr">
        <is>
          <t>✓</t>
        </is>
      </c>
      <c r="AG200" s="20" t="inlineStr"/>
      <c r="AH200" s="20" t="inlineStr">
        <is>
          <t>✓</t>
        </is>
      </c>
      <c r="AI200" s="20" t="inlineStr">
        <is>
          <t>2026-09-28</t>
        </is>
      </c>
      <c r="AJ200" s="20" t="n">
        <v>3</v>
      </c>
      <c r="AK200" s="29" t="n">
        <v>2</v>
      </c>
      <c r="AL200" s="20" t="inlineStr">
        <is>
          <t>2026-09-23</t>
        </is>
      </c>
      <c r="AM200" s="23" t="n">
        <v>89.89</v>
      </c>
      <c r="AN200" s="23" t="n">
        <v>87.72</v>
      </c>
      <c r="AO200" s="24">
        <f>IF(ISNUMBER(AN200),AM200/AN200-1,"")</f>
        <v/>
      </c>
      <c r="AP200" s="29" t="n">
        <v>6</v>
      </c>
      <c r="AQ200" s="24">
        <f>IF(ISNUMBER(AM200),J200/AM200-1,"")</f>
        <v/>
      </c>
      <c r="AR200" s="23" t="n">
        <v>96.81</v>
      </c>
      <c r="AS200" s="24">
        <f>J200/AR200-1</f>
        <v/>
      </c>
      <c r="AT200" s="20" t="inlineStr">
        <is>
          <t>上傾擴張</t>
        </is>
      </c>
      <c r="AU200" s="30" t="n">
        <v>0.2405</v>
      </c>
      <c r="AV200" s="30" t="n">
        <v>0.003</v>
      </c>
      <c r="AW200" s="30" t="n">
        <v>0.4911</v>
      </c>
      <c r="AX200" s="30" t="n">
        <v>0.4717</v>
      </c>
      <c r="AY200" s="29" t="n">
        <v>3</v>
      </c>
      <c r="AZ200" s="23" t="n">
        <v>97.3</v>
      </c>
      <c r="BA200" s="23" t="n">
        <v>87.72</v>
      </c>
      <c r="BB200" s="23" t="n">
        <v>92.42489999999999</v>
      </c>
      <c r="BC200" s="30" t="n">
        <v>1.047</v>
      </c>
      <c r="BD200" s="26">
        <f>IF(M200=N200,0.5,(J200-N200)/(M200-N200))</f>
        <v/>
      </c>
      <c r="BE200" s="31" t="n">
        <v>7.902</v>
      </c>
      <c r="BF200" s="31" t="n">
        <v>3.148</v>
      </c>
      <c r="BG200" s="32">
        <f>100*(0.4*MIN(1,MAX(0,((U200*100)-(0.0))/((2.5)-(0.0))))+0.3*MIN(1,MAX(0,((V200)-(0.6))/((1.0)-(0.6))))+0.3*MIN(1,MAX(0,((BE200)-(0.0))/((15.0)-(0.0)))))</f>
        <v/>
      </c>
      <c r="BH200" s="32">
        <f>100*(0.4*MIN(1,MAX(0,((MIN(ABS(AA200),ABS(AB200)))-(0.75))/((0.0)-(0.75))))+0.3*MIN(1,MAX(0,((BC200)-(1.2))/((0.6)-(1.2))))+0.3*BD200)</f>
        <v/>
      </c>
      <c r="BI200" s="32">
        <f>100*(0.5*MIN(1,MAX(0,((AK200)-(1.0))/((4.0)-(1.0))))+0.3*MIN(1,MAX(0,((IF(ISNUMBER(AO200),AO200,0)*100)-(0.0))/((8.0)-(0.0))))+0.2*MIN(1,MAX(0,((IF(ISNUMBER(AP200),AP200,0))-(25.0))/((5.0)-(25.0)))))</f>
        <v/>
      </c>
      <c r="BJ200" s="32">
        <f>100*(0.35*MIN(1,MAX(0,((ABS(AU200))-(0.3))/((0.05)-(0.3))))+0.3*MIN(1,MAX(0,((AV200)-(0.0))/((0.3)-(0.0))))+0.25*MIN(1,MAX(0,((AW200)-(0.4))/((0.7)-(0.4))))+0.1*IF(AY200&gt;=2,1,0.5))</f>
        <v/>
      </c>
      <c r="BK200" s="33">
        <f>0.25*BG200+0.25*BH200+0.2*BI200+0.3*BJ200</f>
        <v/>
      </c>
      <c r="BL200" s="20" t="inlineStr">
        <is>
          <t>C4 上升三角／重心偏上</t>
        </is>
      </c>
      <c r="BM200" s="20" t="inlineStr"/>
    </row>
    <row r="202" ht="28" customHeight="1">
      <c r="A202" s="34" t="inlineStr">
        <is>
          <t>全表統計</t>
        </is>
      </c>
      <c r="B202" s="35" t="inlineStr">
        <is>
          <t>第一梯隊</t>
        </is>
      </c>
      <c r="C202" s="35" t="inlineStr">
        <is>
          <t>第二梯隊</t>
        </is>
      </c>
      <c r="D202" s="35" t="inlineStr">
        <is>
          <t>剛黃金交叉</t>
        </is>
      </c>
      <c r="E202" s="35" t="inlineStr">
        <is>
          <t>b 回到21EMA</t>
        </is>
      </c>
      <c r="F202" s="35" t="inlineStr">
        <is>
          <t>c 回到9EMA</t>
        </is>
      </c>
      <c r="G202" s="35" t="inlineStr">
        <is>
          <t>上升三角（平頂）</t>
        </is>
      </c>
      <c r="H202" s="35" t="inlineStr">
        <is>
          <t>當日中位%</t>
        </is>
      </c>
      <c r="I202" s="35" t="inlineStr">
        <is>
          <t>距EMA9 中位%</t>
        </is>
      </c>
      <c r="J202" s="35" t="inlineStr">
        <is>
          <t>距EMA21 中位%</t>
        </is>
      </c>
      <c r="K202" s="35" t="inlineStr">
        <is>
          <t>低過EMA9 行數</t>
        </is>
      </c>
      <c r="L202" s="35" t="inlineStr">
        <is>
          <t>綜合分數 中位</t>
        </is>
      </c>
      <c r="M202" s="35" t="inlineStr">
        <is>
          <t>RS21 中位%</t>
        </is>
      </c>
      <c r="N202" s="35" t="inlineStr">
        <is>
          <t>大型股</t>
        </is>
      </c>
      <c r="O202" s="35" t="inlineStr">
        <is>
          <t>中型股</t>
        </is>
      </c>
      <c r="P202" s="35" t="inlineStr">
        <is>
          <t>小型股</t>
        </is>
      </c>
    </row>
    <row r="203">
      <c r="B203" s="36">
        <f>COUNTIF(A2:A200,1)</f>
        <v/>
      </c>
      <c r="C203" s="36">
        <f>COUNTIF(A2:A200,2)</f>
        <v/>
      </c>
      <c r="D203" s="36">
        <f>COUNTIF(AE2:AE200,"剛黃金交叉")</f>
        <v/>
      </c>
      <c r="E203" s="36">
        <f>COUNTIFS(A2:A200,1,AG2:AG200,"✓")</f>
        <v/>
      </c>
      <c r="F203" s="36">
        <f>COUNTIFS(A2:A200,1,AH2:AH200,"✓")</f>
        <v/>
      </c>
      <c r="G203" s="36">
        <f>COUNTIF(AT2:AT200,"上升三角（平頂）")</f>
        <v/>
      </c>
      <c r="H203" s="37">
        <f>MEDIAN(L2:L101)</f>
        <v/>
      </c>
      <c r="I203" s="37">
        <f>MEDIAN(W2:W101)</f>
        <v/>
      </c>
      <c r="J203" s="37">
        <f>MEDIAN(X2:X101)</f>
        <v/>
      </c>
      <c r="K203" s="36">
        <f>COUNTIF(W2:W101,"&lt;0")</f>
        <v/>
      </c>
      <c r="L203" s="38">
        <f>MEDIAN(BK2:BK101)</f>
        <v/>
      </c>
      <c r="M203" s="38">
        <f>MEDIAN(BE2:BE101)</f>
        <v/>
      </c>
      <c r="N203" s="36">
        <f>COUNTIFS(A2:A200,1,I2:I200,"大型")</f>
        <v/>
      </c>
      <c r="O203" s="36">
        <f>COUNTIFS(A2:A200,1,I2:I200,"中型")</f>
        <v/>
      </c>
      <c r="P203" s="36">
        <f>COUNTIFS(A2:A200,1,I2:I200,"小型")</f>
        <v/>
      </c>
    </row>
    <row r="205">
      <c r="A205" s="39" t="inlineStr">
        <is>
          <t>口徑：以 2026-10-01 收市嘅 Yahoo 日線計；EMA 用標準指數平滑（α=2/(N+1)），ATR14 用 Wilder 平滑。藍字＝量度值（輸入），黑字＝公式；當日%、量比、EMA21 斜率、距 EMA／底／15 日高、ATR 倍數、收市區間位置、四個分數同綜合分數全部係公式，改動輸入會自動重算。灰底＝第二梯隊（只差一項，「唔過嘅條件」格嘅註解列明量度值同門檻）；綠底狀態＝9EMA 喺 5 日內剛黃金交叉 21EMA。a／b／c 三欄 ✓ ＝ 該股喺對應分頁（b 同 c 互斥：離兩條 EMA 都近就歸較近嗰條）。RS21 同全池中位數 21 日回報（-4.75%）比較。</t>
        </is>
      </c>
    </row>
  </sheetData>
  <autoFilter ref="A1:BM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24" customWidth="1" min="5" max="5"/>
    <col width="6" customWidth="1" min="6" max="6"/>
    <col width="9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7" customWidth="1" min="17" max="17"/>
    <col width="9" customWidth="1" min="18" max="18"/>
    <col width="10" customWidth="1" min="19" max="19"/>
    <col width="6" customWidth="1" min="20" max="20"/>
    <col width="6" customWidth="1" min="21" max="21"/>
    <col width="10" customWidth="1" min="22" max="22"/>
    <col width="7" customWidth="1" min="23" max="23"/>
    <col width="7" customWidth="1" min="24" max="24"/>
    <col width="13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6" customWidth="1" min="33" max="33"/>
  </cols>
  <sheetData>
    <row r="1" ht="42" customHeight="1">
      <c r="A1" s="4" t="inlineStr">
        <is>
          <t>頁內排名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市值組</t>
        </is>
      </c>
      <c r="G1" s="4" t="inlineStr">
        <is>
          <t>市值(十億美元)</t>
        </is>
      </c>
      <c r="H1" s="4" t="inlineStr">
        <is>
          <t>收市價</t>
        </is>
      </c>
      <c r="I1" s="4" t="inlineStr">
        <is>
          <t>當日%</t>
        </is>
      </c>
      <c r="J1" s="4" t="inlineStr">
        <is>
          <t>EMA9</t>
        </is>
      </c>
      <c r="K1" s="4" t="inlineStr">
        <is>
          <t>EMA21</t>
        </is>
      </c>
      <c r="L1" s="4" t="inlineStr">
        <is>
          <t>距EMA9%</t>
        </is>
      </c>
      <c r="M1" s="4" t="inlineStr">
        <is>
          <t>距EMA21%</t>
        </is>
      </c>
      <c r="N1" s="4" t="inlineStr">
        <is>
          <t>距EMA9（ATR倍）</t>
        </is>
      </c>
      <c r="O1" s="4" t="inlineStr">
        <is>
          <t>距EMA21（ATR倍）</t>
        </is>
      </c>
      <c r="P1" s="4" t="inlineStr">
        <is>
          <t>近3日低位觸及</t>
        </is>
      </c>
      <c r="Q1" s="4" t="inlineStr">
        <is>
          <t>EMA21 5日斜率%</t>
        </is>
      </c>
      <c r="R1" s="4" t="inlineStr">
        <is>
          <t>9/21狀態</t>
        </is>
      </c>
      <c r="S1" s="4" t="inlineStr">
        <is>
          <t>金叉日期</t>
        </is>
      </c>
      <c r="T1" s="4" t="inlineStr">
        <is>
          <t>金叉後日數</t>
        </is>
      </c>
      <c r="U1" s="4" t="inlineStr">
        <is>
          <t>連續上升底數目</t>
        </is>
      </c>
      <c r="V1" s="4" t="inlineStr">
        <is>
          <t>最後一底日期</t>
        </is>
      </c>
      <c r="W1" s="4" t="inlineStr">
        <is>
          <t>距最後一底%</t>
        </is>
      </c>
      <c r="X1" s="4" t="inlineStr">
        <is>
          <t>距15日高%</t>
        </is>
      </c>
      <c r="Y1" s="4" t="inlineStr">
        <is>
          <t>形態（25日）</t>
        </is>
      </c>
      <c r="Z1" s="4" t="inlineStr">
        <is>
          <t>重心</t>
        </is>
      </c>
      <c r="AA1" s="4" t="inlineStr">
        <is>
          <t>RS21%</t>
        </is>
      </c>
      <c r="AB1" s="4" t="inlineStr">
        <is>
          <t>趨勢分數</t>
        </is>
      </c>
      <c r="AC1" s="4" t="inlineStr">
        <is>
          <t>回調質素</t>
        </is>
      </c>
      <c r="AD1" s="4" t="inlineStr">
        <is>
          <t>底部結構</t>
        </is>
      </c>
      <c r="AE1" s="4" t="inlineStr">
        <is>
          <t>三角形分數</t>
        </is>
      </c>
      <c r="AF1" s="4" t="inlineStr">
        <is>
          <t>綜合分數</t>
        </is>
      </c>
      <c r="AG1" s="4" t="inlineStr">
        <is>
          <t>總表排名</t>
        </is>
      </c>
    </row>
    <row r="2">
      <c r="A2" s="5" t="n">
        <v>1</v>
      </c>
      <c r="B2" s="6" t="inlineStr">
        <is>
          <t>UCTT</t>
        </is>
      </c>
      <c r="C2" s="5">
        <f>'總表'!D33</f>
        <v/>
      </c>
      <c r="D2" s="5">
        <f>'總表'!F33</f>
        <v/>
      </c>
      <c r="E2" s="5">
        <f>'總表'!G33</f>
        <v/>
      </c>
      <c r="F2" s="5">
        <f>'總表'!I33</f>
        <v/>
      </c>
      <c r="G2" s="40">
        <f>'總表'!H33</f>
        <v/>
      </c>
      <c r="H2" s="41">
        <f>'總表'!J33</f>
        <v/>
      </c>
      <c r="I2" s="9">
        <f>'總表'!L33</f>
        <v/>
      </c>
      <c r="J2" s="41">
        <f>'總表'!R33</f>
        <v/>
      </c>
      <c r="K2" s="41">
        <f>'總表'!S33</f>
        <v/>
      </c>
      <c r="L2" s="9">
        <f>'總表'!W33</f>
        <v/>
      </c>
      <c r="M2" s="9">
        <f>'總表'!X33</f>
        <v/>
      </c>
      <c r="N2" s="11">
        <f>'總表'!AA33</f>
        <v/>
      </c>
      <c r="O2" s="11">
        <f>'總表'!AB33</f>
        <v/>
      </c>
      <c r="P2" s="5">
        <f>'總表'!AD33</f>
        <v/>
      </c>
      <c r="Q2" s="9">
        <f>'總表'!U33</f>
        <v/>
      </c>
      <c r="R2" s="19">
        <f>'總表'!AE33</f>
        <v/>
      </c>
      <c r="S2" s="5">
        <f>'總表'!AI33</f>
        <v/>
      </c>
      <c r="T2" s="5">
        <f>'總表'!AJ33</f>
        <v/>
      </c>
      <c r="U2" s="5">
        <f>'總表'!AK33</f>
        <v/>
      </c>
      <c r="V2" s="5">
        <f>'總表'!AL33</f>
        <v/>
      </c>
      <c r="W2" s="9">
        <f>'總表'!AQ33</f>
        <v/>
      </c>
      <c r="X2" s="9">
        <f>'總表'!AS33</f>
        <v/>
      </c>
      <c r="Y2" s="5">
        <f>'總表'!AT33</f>
        <v/>
      </c>
      <c r="Z2" s="11">
        <f>'總表'!AW33</f>
        <v/>
      </c>
      <c r="AA2" s="17">
        <f>'總表'!BE33</f>
        <v/>
      </c>
      <c r="AB2" s="17">
        <f>'總表'!BG33</f>
        <v/>
      </c>
      <c r="AC2" s="17">
        <f>'總表'!BH33</f>
        <v/>
      </c>
      <c r="AD2" s="17">
        <f>'總表'!BI33</f>
        <v/>
      </c>
      <c r="AE2" s="17">
        <f>'總表'!BJ33</f>
        <v/>
      </c>
      <c r="AF2" s="18">
        <f>'總表'!BK33</f>
        <v/>
      </c>
      <c r="AG2" s="5">
        <f>'總表'!B33</f>
        <v/>
      </c>
    </row>
    <row r="3">
      <c r="A3" s="5" t="n">
        <v>2</v>
      </c>
      <c r="B3" s="6" t="inlineStr">
        <is>
          <t>MAZE</t>
        </is>
      </c>
      <c r="C3" s="5">
        <f>'總表'!D51</f>
        <v/>
      </c>
      <c r="D3" s="5">
        <f>'總表'!F51</f>
        <v/>
      </c>
      <c r="E3" s="5">
        <f>'總表'!G51</f>
        <v/>
      </c>
      <c r="F3" s="5">
        <f>'總表'!I51</f>
        <v/>
      </c>
      <c r="G3" s="40">
        <f>'總表'!H51</f>
        <v/>
      </c>
      <c r="H3" s="41">
        <f>'總表'!J51</f>
        <v/>
      </c>
      <c r="I3" s="9">
        <f>'總表'!L51</f>
        <v/>
      </c>
      <c r="J3" s="41">
        <f>'總表'!R51</f>
        <v/>
      </c>
      <c r="K3" s="41">
        <f>'總表'!S51</f>
        <v/>
      </c>
      <c r="L3" s="9">
        <f>'總表'!W51</f>
        <v/>
      </c>
      <c r="M3" s="9">
        <f>'總表'!X51</f>
        <v/>
      </c>
      <c r="N3" s="11">
        <f>'總表'!AA51</f>
        <v/>
      </c>
      <c r="O3" s="11">
        <f>'總表'!AB51</f>
        <v/>
      </c>
      <c r="P3" s="5">
        <f>'總表'!AD51</f>
        <v/>
      </c>
      <c r="Q3" s="9">
        <f>'總表'!U51</f>
        <v/>
      </c>
      <c r="R3" s="19">
        <f>'總表'!AE51</f>
        <v/>
      </c>
      <c r="S3" s="5">
        <f>'總表'!AI51</f>
        <v/>
      </c>
      <c r="T3" s="5">
        <f>'總表'!AJ51</f>
        <v/>
      </c>
      <c r="U3" s="5">
        <f>'總表'!AK51</f>
        <v/>
      </c>
      <c r="V3" s="5">
        <f>'總表'!AL51</f>
        <v/>
      </c>
      <c r="W3" s="9">
        <f>'總表'!AQ51</f>
        <v/>
      </c>
      <c r="X3" s="9">
        <f>'總表'!AS51</f>
        <v/>
      </c>
      <c r="Y3" s="5">
        <f>'總表'!AT51</f>
        <v/>
      </c>
      <c r="Z3" s="11">
        <f>'總表'!AW51</f>
        <v/>
      </c>
      <c r="AA3" s="17">
        <f>'總表'!BE51</f>
        <v/>
      </c>
      <c r="AB3" s="17">
        <f>'總表'!BG51</f>
        <v/>
      </c>
      <c r="AC3" s="17">
        <f>'總表'!BH51</f>
        <v/>
      </c>
      <c r="AD3" s="17">
        <f>'總表'!BI51</f>
        <v/>
      </c>
      <c r="AE3" s="17">
        <f>'總表'!BJ51</f>
        <v/>
      </c>
      <c r="AF3" s="18">
        <f>'總表'!BK51</f>
        <v/>
      </c>
      <c r="AG3" s="5">
        <f>'總表'!B51</f>
        <v/>
      </c>
    </row>
    <row r="4">
      <c r="A4" s="5" t="n">
        <v>3</v>
      </c>
      <c r="B4" s="6" t="inlineStr">
        <is>
          <t>NEU</t>
        </is>
      </c>
      <c r="C4" s="5">
        <f>'總表'!D53</f>
        <v/>
      </c>
      <c r="D4" s="5">
        <f>'總表'!F53</f>
        <v/>
      </c>
      <c r="E4" s="5">
        <f>'總表'!G53</f>
        <v/>
      </c>
      <c r="F4" s="5">
        <f>'總表'!I53</f>
        <v/>
      </c>
      <c r="G4" s="40">
        <f>'總表'!H53</f>
        <v/>
      </c>
      <c r="H4" s="41">
        <f>'總表'!J53</f>
        <v/>
      </c>
      <c r="I4" s="9">
        <f>'總表'!L53</f>
        <v/>
      </c>
      <c r="J4" s="41">
        <f>'總表'!R53</f>
        <v/>
      </c>
      <c r="K4" s="41">
        <f>'總表'!S53</f>
        <v/>
      </c>
      <c r="L4" s="9">
        <f>'總表'!W53</f>
        <v/>
      </c>
      <c r="M4" s="9">
        <f>'總表'!X53</f>
        <v/>
      </c>
      <c r="N4" s="11">
        <f>'總表'!AA53</f>
        <v/>
      </c>
      <c r="O4" s="11">
        <f>'總表'!AB53</f>
        <v/>
      </c>
      <c r="P4" s="5">
        <f>'總表'!AD53</f>
        <v/>
      </c>
      <c r="Q4" s="9">
        <f>'總表'!U53</f>
        <v/>
      </c>
      <c r="R4" s="19">
        <f>'總表'!AE53</f>
        <v/>
      </c>
      <c r="S4" s="5">
        <f>'總表'!AI53</f>
        <v/>
      </c>
      <c r="T4" s="5">
        <f>'總表'!AJ53</f>
        <v/>
      </c>
      <c r="U4" s="5">
        <f>'總表'!AK53</f>
        <v/>
      </c>
      <c r="V4" s="5">
        <f>'總表'!AL53</f>
        <v/>
      </c>
      <c r="W4" s="9">
        <f>'總表'!AQ53</f>
        <v/>
      </c>
      <c r="X4" s="9">
        <f>'總表'!AS53</f>
        <v/>
      </c>
      <c r="Y4" s="5">
        <f>'總表'!AT53</f>
        <v/>
      </c>
      <c r="Z4" s="11">
        <f>'總表'!AW53</f>
        <v/>
      </c>
      <c r="AA4" s="17">
        <f>'總表'!BE53</f>
        <v/>
      </c>
      <c r="AB4" s="17">
        <f>'總表'!BG53</f>
        <v/>
      </c>
      <c r="AC4" s="17">
        <f>'總表'!BH53</f>
        <v/>
      </c>
      <c r="AD4" s="17">
        <f>'總表'!BI53</f>
        <v/>
      </c>
      <c r="AE4" s="17">
        <f>'總表'!BJ53</f>
        <v/>
      </c>
      <c r="AF4" s="18">
        <f>'總表'!BK53</f>
        <v/>
      </c>
      <c r="AG4" s="5">
        <f>'總表'!B53</f>
        <v/>
      </c>
    </row>
    <row r="5">
      <c r="A5" s="5" t="n">
        <v>4</v>
      </c>
      <c r="B5" s="6" t="inlineStr">
        <is>
          <t>HWKN</t>
        </is>
      </c>
      <c r="C5" s="5">
        <f>'總表'!D59</f>
        <v/>
      </c>
      <c r="D5" s="5">
        <f>'總表'!F59</f>
        <v/>
      </c>
      <c r="E5" s="5">
        <f>'總表'!G59</f>
        <v/>
      </c>
      <c r="F5" s="5">
        <f>'總表'!I59</f>
        <v/>
      </c>
      <c r="G5" s="40">
        <f>'總表'!H59</f>
        <v/>
      </c>
      <c r="H5" s="41">
        <f>'總表'!J59</f>
        <v/>
      </c>
      <c r="I5" s="9">
        <f>'總表'!L59</f>
        <v/>
      </c>
      <c r="J5" s="41">
        <f>'總表'!R59</f>
        <v/>
      </c>
      <c r="K5" s="41">
        <f>'總表'!S59</f>
        <v/>
      </c>
      <c r="L5" s="9">
        <f>'總表'!W59</f>
        <v/>
      </c>
      <c r="M5" s="9">
        <f>'總表'!X59</f>
        <v/>
      </c>
      <c r="N5" s="11">
        <f>'總表'!AA59</f>
        <v/>
      </c>
      <c r="O5" s="11">
        <f>'總表'!AB59</f>
        <v/>
      </c>
      <c r="P5" s="5">
        <f>'總表'!AD59</f>
        <v/>
      </c>
      <c r="Q5" s="9">
        <f>'總表'!U59</f>
        <v/>
      </c>
      <c r="R5" s="19">
        <f>'總表'!AE59</f>
        <v/>
      </c>
      <c r="S5" s="5">
        <f>'總表'!AI59</f>
        <v/>
      </c>
      <c r="T5" s="5">
        <f>'總表'!AJ59</f>
        <v/>
      </c>
      <c r="U5" s="5">
        <f>'總表'!AK59</f>
        <v/>
      </c>
      <c r="V5" s="5">
        <f>'總表'!AL59</f>
        <v/>
      </c>
      <c r="W5" s="9">
        <f>'總表'!AQ59</f>
        <v/>
      </c>
      <c r="X5" s="9">
        <f>'總表'!AS59</f>
        <v/>
      </c>
      <c r="Y5" s="5">
        <f>'總表'!AT59</f>
        <v/>
      </c>
      <c r="Z5" s="11">
        <f>'總表'!AW59</f>
        <v/>
      </c>
      <c r="AA5" s="17">
        <f>'總表'!BE59</f>
        <v/>
      </c>
      <c r="AB5" s="17">
        <f>'總表'!BG59</f>
        <v/>
      </c>
      <c r="AC5" s="17">
        <f>'總表'!BH59</f>
        <v/>
      </c>
      <c r="AD5" s="17">
        <f>'總表'!BI59</f>
        <v/>
      </c>
      <c r="AE5" s="17">
        <f>'總表'!BJ59</f>
        <v/>
      </c>
      <c r="AF5" s="18">
        <f>'總表'!BK59</f>
        <v/>
      </c>
      <c r="AG5" s="5">
        <f>'總表'!B59</f>
        <v/>
      </c>
    </row>
    <row r="6">
      <c r="A6" s="5" t="n">
        <v>5</v>
      </c>
      <c r="B6" s="6" t="inlineStr">
        <is>
          <t>GFS</t>
        </is>
      </c>
      <c r="C6" s="5">
        <f>'總表'!D63</f>
        <v/>
      </c>
      <c r="D6" s="5">
        <f>'總表'!F63</f>
        <v/>
      </c>
      <c r="E6" s="5">
        <f>'總表'!G63</f>
        <v/>
      </c>
      <c r="F6" s="5">
        <f>'總表'!I63</f>
        <v/>
      </c>
      <c r="G6" s="40">
        <f>'總表'!H63</f>
        <v/>
      </c>
      <c r="H6" s="41">
        <f>'總表'!J63</f>
        <v/>
      </c>
      <c r="I6" s="9">
        <f>'總表'!L63</f>
        <v/>
      </c>
      <c r="J6" s="41">
        <f>'總表'!R63</f>
        <v/>
      </c>
      <c r="K6" s="41">
        <f>'總表'!S63</f>
        <v/>
      </c>
      <c r="L6" s="9">
        <f>'總表'!W63</f>
        <v/>
      </c>
      <c r="M6" s="9">
        <f>'總表'!X63</f>
        <v/>
      </c>
      <c r="N6" s="11">
        <f>'總表'!AA63</f>
        <v/>
      </c>
      <c r="O6" s="11">
        <f>'總表'!AB63</f>
        <v/>
      </c>
      <c r="P6" s="5">
        <f>'總表'!AD63</f>
        <v/>
      </c>
      <c r="Q6" s="9">
        <f>'總表'!U63</f>
        <v/>
      </c>
      <c r="R6" s="19">
        <f>'總表'!AE63</f>
        <v/>
      </c>
      <c r="S6" s="5">
        <f>'總表'!AI63</f>
        <v/>
      </c>
      <c r="T6" s="5">
        <f>'總表'!AJ63</f>
        <v/>
      </c>
      <c r="U6" s="5">
        <f>'總表'!AK63</f>
        <v/>
      </c>
      <c r="V6" s="5">
        <f>'總表'!AL63</f>
        <v/>
      </c>
      <c r="W6" s="9">
        <f>'總表'!AQ63</f>
        <v/>
      </c>
      <c r="X6" s="9">
        <f>'總表'!AS63</f>
        <v/>
      </c>
      <c r="Y6" s="5">
        <f>'總表'!AT63</f>
        <v/>
      </c>
      <c r="Z6" s="11">
        <f>'總表'!AW63</f>
        <v/>
      </c>
      <c r="AA6" s="17">
        <f>'總表'!BE63</f>
        <v/>
      </c>
      <c r="AB6" s="17">
        <f>'總表'!BG63</f>
        <v/>
      </c>
      <c r="AC6" s="17">
        <f>'總表'!BH63</f>
        <v/>
      </c>
      <c r="AD6" s="17">
        <f>'總表'!BI63</f>
        <v/>
      </c>
      <c r="AE6" s="17">
        <f>'總表'!BJ63</f>
        <v/>
      </c>
      <c r="AF6" s="18">
        <f>'總表'!BK63</f>
        <v/>
      </c>
      <c r="AG6" s="5">
        <f>'總表'!B63</f>
        <v/>
      </c>
    </row>
    <row r="7">
      <c r="A7" s="5" t="n">
        <v>6</v>
      </c>
      <c r="B7" s="6" t="inlineStr">
        <is>
          <t>CAT</t>
        </is>
      </c>
      <c r="C7" s="5">
        <f>'總表'!D69</f>
        <v/>
      </c>
      <c r="D7" s="5">
        <f>'總表'!F69</f>
        <v/>
      </c>
      <c r="E7" s="5">
        <f>'總表'!G69</f>
        <v/>
      </c>
      <c r="F7" s="5">
        <f>'總表'!I69</f>
        <v/>
      </c>
      <c r="G7" s="40">
        <f>'總表'!H69</f>
        <v/>
      </c>
      <c r="H7" s="41">
        <f>'總表'!J69</f>
        <v/>
      </c>
      <c r="I7" s="9">
        <f>'總表'!L69</f>
        <v/>
      </c>
      <c r="J7" s="41">
        <f>'總表'!R69</f>
        <v/>
      </c>
      <c r="K7" s="41">
        <f>'總表'!S69</f>
        <v/>
      </c>
      <c r="L7" s="9">
        <f>'總表'!W69</f>
        <v/>
      </c>
      <c r="M7" s="9">
        <f>'總表'!X69</f>
        <v/>
      </c>
      <c r="N7" s="11">
        <f>'總表'!AA69</f>
        <v/>
      </c>
      <c r="O7" s="11">
        <f>'總表'!AB69</f>
        <v/>
      </c>
      <c r="P7" s="5">
        <f>'總表'!AD69</f>
        <v/>
      </c>
      <c r="Q7" s="9">
        <f>'總表'!U69</f>
        <v/>
      </c>
      <c r="R7" s="19">
        <f>'總表'!AE69</f>
        <v/>
      </c>
      <c r="S7" s="5">
        <f>'總表'!AI69</f>
        <v/>
      </c>
      <c r="T7" s="5">
        <f>'總表'!AJ69</f>
        <v/>
      </c>
      <c r="U7" s="5">
        <f>'總表'!AK69</f>
        <v/>
      </c>
      <c r="V7" s="5">
        <f>'總表'!AL69</f>
        <v/>
      </c>
      <c r="W7" s="9">
        <f>'總表'!AQ69</f>
        <v/>
      </c>
      <c r="X7" s="9">
        <f>'總表'!AS69</f>
        <v/>
      </c>
      <c r="Y7" s="5">
        <f>'總表'!AT69</f>
        <v/>
      </c>
      <c r="Z7" s="11">
        <f>'總表'!AW69</f>
        <v/>
      </c>
      <c r="AA7" s="17">
        <f>'總表'!BE69</f>
        <v/>
      </c>
      <c r="AB7" s="17">
        <f>'總表'!BG69</f>
        <v/>
      </c>
      <c r="AC7" s="17">
        <f>'總表'!BH69</f>
        <v/>
      </c>
      <c r="AD7" s="17">
        <f>'總表'!BI69</f>
        <v/>
      </c>
      <c r="AE7" s="17">
        <f>'總表'!BJ69</f>
        <v/>
      </c>
      <c r="AF7" s="18">
        <f>'總表'!BK69</f>
        <v/>
      </c>
      <c r="AG7" s="5">
        <f>'總表'!B69</f>
        <v/>
      </c>
    </row>
    <row r="8">
      <c r="A8" s="5" t="n">
        <v>7</v>
      </c>
      <c r="B8" s="6" t="inlineStr">
        <is>
          <t>PWR</t>
        </is>
      </c>
      <c r="C8" s="5">
        <f>'總表'!D73</f>
        <v/>
      </c>
      <c r="D8" s="5">
        <f>'總表'!F73</f>
        <v/>
      </c>
      <c r="E8" s="5">
        <f>'總表'!G73</f>
        <v/>
      </c>
      <c r="F8" s="5">
        <f>'總表'!I73</f>
        <v/>
      </c>
      <c r="G8" s="40">
        <f>'總表'!H73</f>
        <v/>
      </c>
      <c r="H8" s="41">
        <f>'總表'!J73</f>
        <v/>
      </c>
      <c r="I8" s="9">
        <f>'總表'!L73</f>
        <v/>
      </c>
      <c r="J8" s="41">
        <f>'總表'!R73</f>
        <v/>
      </c>
      <c r="K8" s="41">
        <f>'總表'!S73</f>
        <v/>
      </c>
      <c r="L8" s="9">
        <f>'總表'!W73</f>
        <v/>
      </c>
      <c r="M8" s="9">
        <f>'總表'!X73</f>
        <v/>
      </c>
      <c r="N8" s="11">
        <f>'總表'!AA73</f>
        <v/>
      </c>
      <c r="O8" s="11">
        <f>'總表'!AB73</f>
        <v/>
      </c>
      <c r="P8" s="5">
        <f>'總表'!AD73</f>
        <v/>
      </c>
      <c r="Q8" s="9">
        <f>'總表'!U73</f>
        <v/>
      </c>
      <c r="R8" s="19">
        <f>'總表'!AE73</f>
        <v/>
      </c>
      <c r="S8" s="5">
        <f>'總表'!AI73</f>
        <v/>
      </c>
      <c r="T8" s="5">
        <f>'總表'!AJ73</f>
        <v/>
      </c>
      <c r="U8" s="5">
        <f>'總表'!AK73</f>
        <v/>
      </c>
      <c r="V8" s="5">
        <f>'總表'!AL73</f>
        <v/>
      </c>
      <c r="W8" s="9">
        <f>'總表'!AQ73</f>
        <v/>
      </c>
      <c r="X8" s="9">
        <f>'總表'!AS73</f>
        <v/>
      </c>
      <c r="Y8" s="5">
        <f>'總表'!AT73</f>
        <v/>
      </c>
      <c r="Z8" s="11">
        <f>'總表'!AW73</f>
        <v/>
      </c>
      <c r="AA8" s="17">
        <f>'總表'!BE73</f>
        <v/>
      </c>
      <c r="AB8" s="17">
        <f>'總表'!BG73</f>
        <v/>
      </c>
      <c r="AC8" s="17">
        <f>'總表'!BH73</f>
        <v/>
      </c>
      <c r="AD8" s="17">
        <f>'總表'!BI73</f>
        <v/>
      </c>
      <c r="AE8" s="17">
        <f>'總表'!BJ73</f>
        <v/>
      </c>
      <c r="AF8" s="18">
        <f>'總表'!BK73</f>
        <v/>
      </c>
      <c r="AG8" s="5">
        <f>'總表'!B73</f>
        <v/>
      </c>
    </row>
    <row r="9">
      <c r="A9" s="5" t="n">
        <v>8</v>
      </c>
      <c r="B9" s="6" t="inlineStr">
        <is>
          <t>M</t>
        </is>
      </c>
      <c r="C9" s="5">
        <f>'總表'!D74</f>
        <v/>
      </c>
      <c r="D9" s="5">
        <f>'總表'!F74</f>
        <v/>
      </c>
      <c r="E9" s="5">
        <f>'總表'!G74</f>
        <v/>
      </c>
      <c r="F9" s="5">
        <f>'總表'!I74</f>
        <v/>
      </c>
      <c r="G9" s="40">
        <f>'總表'!H74</f>
        <v/>
      </c>
      <c r="H9" s="41">
        <f>'總表'!J74</f>
        <v/>
      </c>
      <c r="I9" s="9">
        <f>'總表'!L74</f>
        <v/>
      </c>
      <c r="J9" s="41">
        <f>'總表'!R74</f>
        <v/>
      </c>
      <c r="K9" s="41">
        <f>'總表'!S74</f>
        <v/>
      </c>
      <c r="L9" s="9">
        <f>'總表'!W74</f>
        <v/>
      </c>
      <c r="M9" s="9">
        <f>'總表'!X74</f>
        <v/>
      </c>
      <c r="N9" s="11">
        <f>'總表'!AA74</f>
        <v/>
      </c>
      <c r="O9" s="11">
        <f>'總表'!AB74</f>
        <v/>
      </c>
      <c r="P9" s="5">
        <f>'總表'!AD74</f>
        <v/>
      </c>
      <c r="Q9" s="9">
        <f>'總表'!U74</f>
        <v/>
      </c>
      <c r="R9" s="19">
        <f>'總表'!AE74</f>
        <v/>
      </c>
      <c r="S9" s="5">
        <f>'總表'!AI74</f>
        <v/>
      </c>
      <c r="T9" s="5">
        <f>'總表'!AJ74</f>
        <v/>
      </c>
      <c r="U9" s="5">
        <f>'總表'!AK74</f>
        <v/>
      </c>
      <c r="V9" s="5">
        <f>'總表'!AL74</f>
        <v/>
      </c>
      <c r="W9" s="9">
        <f>'總表'!AQ74</f>
        <v/>
      </c>
      <c r="X9" s="9">
        <f>'總表'!AS74</f>
        <v/>
      </c>
      <c r="Y9" s="5">
        <f>'總表'!AT74</f>
        <v/>
      </c>
      <c r="Z9" s="11">
        <f>'總表'!AW74</f>
        <v/>
      </c>
      <c r="AA9" s="17">
        <f>'總表'!BE74</f>
        <v/>
      </c>
      <c r="AB9" s="17">
        <f>'總表'!BG74</f>
        <v/>
      </c>
      <c r="AC9" s="17">
        <f>'總表'!BH74</f>
        <v/>
      </c>
      <c r="AD9" s="17">
        <f>'總表'!BI74</f>
        <v/>
      </c>
      <c r="AE9" s="17">
        <f>'總表'!BJ74</f>
        <v/>
      </c>
      <c r="AF9" s="18">
        <f>'總表'!BK74</f>
        <v/>
      </c>
      <c r="AG9" s="5">
        <f>'總表'!B74</f>
        <v/>
      </c>
    </row>
    <row r="10">
      <c r="A10" s="5" t="n">
        <v>9</v>
      </c>
      <c r="B10" s="6" t="inlineStr">
        <is>
          <t>CLDT</t>
        </is>
      </c>
      <c r="C10" s="5">
        <f>'總表'!D78</f>
        <v/>
      </c>
      <c r="D10" s="5">
        <f>'總表'!F78</f>
        <v/>
      </c>
      <c r="E10" s="5">
        <f>'總表'!G78</f>
        <v/>
      </c>
      <c r="F10" s="5">
        <f>'總表'!I78</f>
        <v/>
      </c>
      <c r="G10" s="40">
        <f>'總表'!H78</f>
        <v/>
      </c>
      <c r="H10" s="41">
        <f>'總表'!J78</f>
        <v/>
      </c>
      <c r="I10" s="9">
        <f>'總表'!L78</f>
        <v/>
      </c>
      <c r="J10" s="41">
        <f>'總表'!R78</f>
        <v/>
      </c>
      <c r="K10" s="41">
        <f>'總表'!S78</f>
        <v/>
      </c>
      <c r="L10" s="9">
        <f>'總表'!W78</f>
        <v/>
      </c>
      <c r="M10" s="9">
        <f>'總表'!X78</f>
        <v/>
      </c>
      <c r="N10" s="11">
        <f>'總表'!AA78</f>
        <v/>
      </c>
      <c r="O10" s="11">
        <f>'總表'!AB78</f>
        <v/>
      </c>
      <c r="P10" s="5">
        <f>'總表'!AD78</f>
        <v/>
      </c>
      <c r="Q10" s="9">
        <f>'總表'!U78</f>
        <v/>
      </c>
      <c r="R10" s="19">
        <f>'總表'!AE78</f>
        <v/>
      </c>
      <c r="S10" s="5">
        <f>'總表'!AI78</f>
        <v/>
      </c>
      <c r="T10" s="5">
        <f>'總表'!AJ78</f>
        <v/>
      </c>
      <c r="U10" s="5">
        <f>'總表'!AK78</f>
        <v/>
      </c>
      <c r="V10" s="5">
        <f>'總表'!AL78</f>
        <v/>
      </c>
      <c r="W10" s="9">
        <f>'總表'!AQ78</f>
        <v/>
      </c>
      <c r="X10" s="9">
        <f>'總表'!AS78</f>
        <v/>
      </c>
      <c r="Y10" s="5">
        <f>'總表'!AT78</f>
        <v/>
      </c>
      <c r="Z10" s="11">
        <f>'總表'!AW78</f>
        <v/>
      </c>
      <c r="AA10" s="17">
        <f>'總表'!BE78</f>
        <v/>
      </c>
      <c r="AB10" s="17">
        <f>'總表'!BG78</f>
        <v/>
      </c>
      <c r="AC10" s="17">
        <f>'總表'!BH78</f>
        <v/>
      </c>
      <c r="AD10" s="17">
        <f>'總表'!BI78</f>
        <v/>
      </c>
      <c r="AE10" s="17">
        <f>'總表'!BJ78</f>
        <v/>
      </c>
      <c r="AF10" s="18">
        <f>'總表'!BK78</f>
        <v/>
      </c>
      <c r="AG10" s="5">
        <f>'總表'!B78</f>
        <v/>
      </c>
    </row>
    <row r="11">
      <c r="A11" s="5" t="n">
        <v>10</v>
      </c>
      <c r="B11" s="6" t="inlineStr">
        <is>
          <t>AMBA</t>
        </is>
      </c>
      <c r="C11" s="5">
        <f>'總表'!D79</f>
        <v/>
      </c>
      <c r="D11" s="5">
        <f>'總表'!F79</f>
        <v/>
      </c>
      <c r="E11" s="5">
        <f>'總表'!G79</f>
        <v/>
      </c>
      <c r="F11" s="5">
        <f>'總表'!I79</f>
        <v/>
      </c>
      <c r="G11" s="40">
        <f>'總表'!H79</f>
        <v/>
      </c>
      <c r="H11" s="41">
        <f>'總表'!J79</f>
        <v/>
      </c>
      <c r="I11" s="9">
        <f>'總表'!L79</f>
        <v/>
      </c>
      <c r="J11" s="41">
        <f>'總表'!R79</f>
        <v/>
      </c>
      <c r="K11" s="41">
        <f>'總表'!S79</f>
        <v/>
      </c>
      <c r="L11" s="9">
        <f>'總表'!W79</f>
        <v/>
      </c>
      <c r="M11" s="9">
        <f>'總表'!X79</f>
        <v/>
      </c>
      <c r="N11" s="11">
        <f>'總表'!AA79</f>
        <v/>
      </c>
      <c r="O11" s="11">
        <f>'總表'!AB79</f>
        <v/>
      </c>
      <c r="P11" s="5">
        <f>'總表'!AD79</f>
        <v/>
      </c>
      <c r="Q11" s="9">
        <f>'總表'!U79</f>
        <v/>
      </c>
      <c r="R11" s="19">
        <f>'總表'!AE79</f>
        <v/>
      </c>
      <c r="S11" s="5">
        <f>'總表'!AI79</f>
        <v/>
      </c>
      <c r="T11" s="5">
        <f>'總表'!AJ79</f>
        <v/>
      </c>
      <c r="U11" s="5">
        <f>'總表'!AK79</f>
        <v/>
      </c>
      <c r="V11" s="5">
        <f>'總表'!AL79</f>
        <v/>
      </c>
      <c r="W11" s="9">
        <f>'總表'!AQ79</f>
        <v/>
      </c>
      <c r="X11" s="9">
        <f>'總表'!AS79</f>
        <v/>
      </c>
      <c r="Y11" s="5">
        <f>'總表'!AT79</f>
        <v/>
      </c>
      <c r="Z11" s="11">
        <f>'總表'!AW79</f>
        <v/>
      </c>
      <c r="AA11" s="17">
        <f>'總表'!BE79</f>
        <v/>
      </c>
      <c r="AB11" s="17">
        <f>'總表'!BG79</f>
        <v/>
      </c>
      <c r="AC11" s="17">
        <f>'總表'!BH79</f>
        <v/>
      </c>
      <c r="AD11" s="17">
        <f>'總表'!BI79</f>
        <v/>
      </c>
      <c r="AE11" s="17">
        <f>'總表'!BJ79</f>
        <v/>
      </c>
      <c r="AF11" s="18">
        <f>'總表'!BK79</f>
        <v/>
      </c>
      <c r="AG11" s="5">
        <f>'總表'!B79</f>
        <v/>
      </c>
    </row>
    <row r="12">
      <c r="A12" s="5" t="n">
        <v>11</v>
      </c>
      <c r="B12" s="6" t="inlineStr">
        <is>
          <t>AIP</t>
        </is>
      </c>
      <c r="C12" s="5">
        <f>'總表'!D86</f>
        <v/>
      </c>
      <c r="D12" s="5">
        <f>'總表'!F86</f>
        <v/>
      </c>
      <c r="E12" s="5">
        <f>'總表'!G86</f>
        <v/>
      </c>
      <c r="F12" s="5">
        <f>'總表'!I86</f>
        <v/>
      </c>
      <c r="G12" s="40">
        <f>'總表'!H86</f>
        <v/>
      </c>
      <c r="H12" s="41">
        <f>'總表'!J86</f>
        <v/>
      </c>
      <c r="I12" s="9">
        <f>'總表'!L86</f>
        <v/>
      </c>
      <c r="J12" s="41">
        <f>'總表'!R86</f>
        <v/>
      </c>
      <c r="K12" s="41">
        <f>'總表'!S86</f>
        <v/>
      </c>
      <c r="L12" s="9">
        <f>'總表'!W86</f>
        <v/>
      </c>
      <c r="M12" s="9">
        <f>'總表'!X86</f>
        <v/>
      </c>
      <c r="N12" s="11">
        <f>'總表'!AA86</f>
        <v/>
      </c>
      <c r="O12" s="11">
        <f>'總表'!AB86</f>
        <v/>
      </c>
      <c r="P12" s="5">
        <f>'總表'!AD86</f>
        <v/>
      </c>
      <c r="Q12" s="9">
        <f>'總表'!U86</f>
        <v/>
      </c>
      <c r="R12" s="19">
        <f>'總表'!AE86</f>
        <v/>
      </c>
      <c r="S12" s="5">
        <f>'總表'!AI86</f>
        <v/>
      </c>
      <c r="T12" s="5">
        <f>'總表'!AJ86</f>
        <v/>
      </c>
      <c r="U12" s="5">
        <f>'總表'!AK86</f>
        <v/>
      </c>
      <c r="V12" s="5">
        <f>'總表'!AL86</f>
        <v/>
      </c>
      <c r="W12" s="9">
        <f>'總表'!AQ86</f>
        <v/>
      </c>
      <c r="X12" s="9">
        <f>'總表'!AS86</f>
        <v/>
      </c>
      <c r="Y12" s="5">
        <f>'總表'!AT86</f>
        <v/>
      </c>
      <c r="Z12" s="11">
        <f>'總表'!AW86</f>
        <v/>
      </c>
      <c r="AA12" s="17">
        <f>'總表'!BE86</f>
        <v/>
      </c>
      <c r="AB12" s="17">
        <f>'總表'!BG86</f>
        <v/>
      </c>
      <c r="AC12" s="17">
        <f>'總表'!BH86</f>
        <v/>
      </c>
      <c r="AD12" s="17">
        <f>'總表'!BI86</f>
        <v/>
      </c>
      <c r="AE12" s="17">
        <f>'總表'!BJ86</f>
        <v/>
      </c>
      <c r="AF12" s="18">
        <f>'總表'!BK86</f>
        <v/>
      </c>
      <c r="AG12" s="5">
        <f>'總表'!B86</f>
        <v/>
      </c>
    </row>
    <row r="13">
      <c r="A13" s="5" t="n">
        <v>12</v>
      </c>
      <c r="B13" s="6" t="inlineStr">
        <is>
          <t>AMG</t>
        </is>
      </c>
      <c r="C13" s="5">
        <f>'總表'!D88</f>
        <v/>
      </c>
      <c r="D13" s="5">
        <f>'總表'!F88</f>
        <v/>
      </c>
      <c r="E13" s="5">
        <f>'總表'!G88</f>
        <v/>
      </c>
      <c r="F13" s="5">
        <f>'總表'!I88</f>
        <v/>
      </c>
      <c r="G13" s="40">
        <f>'總表'!H88</f>
        <v/>
      </c>
      <c r="H13" s="41">
        <f>'總表'!J88</f>
        <v/>
      </c>
      <c r="I13" s="9">
        <f>'總表'!L88</f>
        <v/>
      </c>
      <c r="J13" s="41">
        <f>'總表'!R88</f>
        <v/>
      </c>
      <c r="K13" s="41">
        <f>'總表'!S88</f>
        <v/>
      </c>
      <c r="L13" s="9">
        <f>'總表'!W88</f>
        <v/>
      </c>
      <c r="M13" s="9">
        <f>'總表'!X88</f>
        <v/>
      </c>
      <c r="N13" s="11">
        <f>'總表'!AA88</f>
        <v/>
      </c>
      <c r="O13" s="11">
        <f>'總表'!AB88</f>
        <v/>
      </c>
      <c r="P13" s="5">
        <f>'總表'!AD88</f>
        <v/>
      </c>
      <c r="Q13" s="9">
        <f>'總表'!U88</f>
        <v/>
      </c>
      <c r="R13" s="19">
        <f>'總表'!AE88</f>
        <v/>
      </c>
      <c r="S13" s="5">
        <f>'總表'!AI88</f>
        <v/>
      </c>
      <c r="T13" s="5">
        <f>'總表'!AJ88</f>
        <v/>
      </c>
      <c r="U13" s="5">
        <f>'總表'!AK88</f>
        <v/>
      </c>
      <c r="V13" s="5">
        <f>'總表'!AL88</f>
        <v/>
      </c>
      <c r="W13" s="9">
        <f>'總表'!AQ88</f>
        <v/>
      </c>
      <c r="X13" s="9">
        <f>'總表'!AS88</f>
        <v/>
      </c>
      <c r="Y13" s="5">
        <f>'總表'!AT88</f>
        <v/>
      </c>
      <c r="Z13" s="11">
        <f>'總表'!AW88</f>
        <v/>
      </c>
      <c r="AA13" s="17">
        <f>'總表'!BE88</f>
        <v/>
      </c>
      <c r="AB13" s="17">
        <f>'總表'!BG88</f>
        <v/>
      </c>
      <c r="AC13" s="17">
        <f>'總表'!BH88</f>
        <v/>
      </c>
      <c r="AD13" s="17">
        <f>'總表'!BI88</f>
        <v/>
      </c>
      <c r="AE13" s="17">
        <f>'總表'!BJ88</f>
        <v/>
      </c>
      <c r="AF13" s="18">
        <f>'總表'!BK88</f>
        <v/>
      </c>
      <c r="AG13" s="5">
        <f>'總表'!B88</f>
        <v/>
      </c>
    </row>
    <row r="14">
      <c r="A14" s="5" t="n">
        <v>13</v>
      </c>
      <c r="B14" s="6" t="inlineStr">
        <is>
          <t>FNRN</t>
        </is>
      </c>
      <c r="C14" s="5">
        <f>'總表'!D89</f>
        <v/>
      </c>
      <c r="D14" s="5">
        <f>'總表'!F89</f>
        <v/>
      </c>
      <c r="E14" s="5">
        <f>'總表'!G89</f>
        <v/>
      </c>
      <c r="F14" s="5">
        <f>'總表'!I89</f>
        <v/>
      </c>
      <c r="G14" s="40">
        <f>'總表'!H89</f>
        <v/>
      </c>
      <c r="H14" s="41">
        <f>'總表'!J89</f>
        <v/>
      </c>
      <c r="I14" s="9">
        <f>'總表'!L89</f>
        <v/>
      </c>
      <c r="J14" s="41">
        <f>'總表'!R89</f>
        <v/>
      </c>
      <c r="K14" s="41">
        <f>'總表'!S89</f>
        <v/>
      </c>
      <c r="L14" s="9">
        <f>'總表'!W89</f>
        <v/>
      </c>
      <c r="M14" s="9">
        <f>'總表'!X89</f>
        <v/>
      </c>
      <c r="N14" s="11">
        <f>'總表'!AA89</f>
        <v/>
      </c>
      <c r="O14" s="11">
        <f>'總表'!AB89</f>
        <v/>
      </c>
      <c r="P14" s="5">
        <f>'總表'!AD89</f>
        <v/>
      </c>
      <c r="Q14" s="9">
        <f>'總表'!U89</f>
        <v/>
      </c>
      <c r="R14" s="19">
        <f>'總表'!AE89</f>
        <v/>
      </c>
      <c r="S14" s="5">
        <f>'總表'!AI89</f>
        <v/>
      </c>
      <c r="T14" s="5">
        <f>'總表'!AJ89</f>
        <v/>
      </c>
      <c r="U14" s="5">
        <f>'總表'!AK89</f>
        <v/>
      </c>
      <c r="V14" s="5">
        <f>'總表'!AL89</f>
        <v/>
      </c>
      <c r="W14" s="9">
        <f>'總表'!AQ89</f>
        <v/>
      </c>
      <c r="X14" s="9">
        <f>'總表'!AS89</f>
        <v/>
      </c>
      <c r="Y14" s="5">
        <f>'總表'!AT89</f>
        <v/>
      </c>
      <c r="Z14" s="11">
        <f>'總表'!AW89</f>
        <v/>
      </c>
      <c r="AA14" s="17">
        <f>'總表'!BE89</f>
        <v/>
      </c>
      <c r="AB14" s="17">
        <f>'總表'!BG89</f>
        <v/>
      </c>
      <c r="AC14" s="17">
        <f>'總表'!BH89</f>
        <v/>
      </c>
      <c r="AD14" s="17">
        <f>'總表'!BI89</f>
        <v/>
      </c>
      <c r="AE14" s="17">
        <f>'總表'!BJ89</f>
        <v/>
      </c>
      <c r="AF14" s="18">
        <f>'總表'!BK89</f>
        <v/>
      </c>
      <c r="AG14" s="5">
        <f>'總表'!B89</f>
        <v/>
      </c>
    </row>
    <row r="15">
      <c r="A15" s="5" t="n">
        <v>14</v>
      </c>
      <c r="B15" s="6" t="inlineStr">
        <is>
          <t>COLM</t>
        </is>
      </c>
      <c r="C15" s="5">
        <f>'總表'!D96</f>
        <v/>
      </c>
      <c r="D15" s="5">
        <f>'總表'!F96</f>
        <v/>
      </c>
      <c r="E15" s="5">
        <f>'總表'!G96</f>
        <v/>
      </c>
      <c r="F15" s="5">
        <f>'總表'!I96</f>
        <v/>
      </c>
      <c r="G15" s="40">
        <f>'總表'!H96</f>
        <v/>
      </c>
      <c r="H15" s="41">
        <f>'總表'!J96</f>
        <v/>
      </c>
      <c r="I15" s="9">
        <f>'總表'!L96</f>
        <v/>
      </c>
      <c r="J15" s="41">
        <f>'總表'!R96</f>
        <v/>
      </c>
      <c r="K15" s="41">
        <f>'總表'!S96</f>
        <v/>
      </c>
      <c r="L15" s="9">
        <f>'總表'!W96</f>
        <v/>
      </c>
      <c r="M15" s="9">
        <f>'總表'!X96</f>
        <v/>
      </c>
      <c r="N15" s="11">
        <f>'總表'!AA96</f>
        <v/>
      </c>
      <c r="O15" s="11">
        <f>'總表'!AB96</f>
        <v/>
      </c>
      <c r="P15" s="5">
        <f>'總表'!AD96</f>
        <v/>
      </c>
      <c r="Q15" s="9">
        <f>'總表'!U96</f>
        <v/>
      </c>
      <c r="R15" s="19">
        <f>'總表'!AE96</f>
        <v/>
      </c>
      <c r="S15" s="5">
        <f>'總表'!AI96</f>
        <v/>
      </c>
      <c r="T15" s="5">
        <f>'總表'!AJ96</f>
        <v/>
      </c>
      <c r="U15" s="5">
        <f>'總表'!AK96</f>
        <v/>
      </c>
      <c r="V15" s="5">
        <f>'總表'!AL96</f>
        <v/>
      </c>
      <c r="W15" s="9">
        <f>'總表'!AQ96</f>
        <v/>
      </c>
      <c r="X15" s="9">
        <f>'總表'!AS96</f>
        <v/>
      </c>
      <c r="Y15" s="5">
        <f>'總表'!AT96</f>
        <v/>
      </c>
      <c r="Z15" s="11">
        <f>'總表'!AW96</f>
        <v/>
      </c>
      <c r="AA15" s="17">
        <f>'總表'!BE96</f>
        <v/>
      </c>
      <c r="AB15" s="17">
        <f>'總表'!BG96</f>
        <v/>
      </c>
      <c r="AC15" s="17">
        <f>'總表'!BH96</f>
        <v/>
      </c>
      <c r="AD15" s="17">
        <f>'總表'!BI96</f>
        <v/>
      </c>
      <c r="AE15" s="17">
        <f>'總表'!BJ96</f>
        <v/>
      </c>
      <c r="AF15" s="18">
        <f>'總表'!BK96</f>
        <v/>
      </c>
      <c r="AG15" s="5">
        <f>'總表'!B96</f>
        <v/>
      </c>
    </row>
    <row r="16">
      <c r="A16" s="5" t="n">
        <v>15</v>
      </c>
      <c r="B16" s="6" t="inlineStr">
        <is>
          <t>OPY</t>
        </is>
      </c>
      <c r="C16" s="5">
        <f>'總表'!D101</f>
        <v/>
      </c>
      <c r="D16" s="5">
        <f>'總表'!F101</f>
        <v/>
      </c>
      <c r="E16" s="5">
        <f>'總表'!G101</f>
        <v/>
      </c>
      <c r="F16" s="5">
        <f>'總表'!I101</f>
        <v/>
      </c>
      <c r="G16" s="40">
        <f>'總表'!H101</f>
        <v/>
      </c>
      <c r="H16" s="41">
        <f>'總表'!J101</f>
        <v/>
      </c>
      <c r="I16" s="9">
        <f>'總表'!L101</f>
        <v/>
      </c>
      <c r="J16" s="41">
        <f>'總表'!R101</f>
        <v/>
      </c>
      <c r="K16" s="41">
        <f>'總表'!S101</f>
        <v/>
      </c>
      <c r="L16" s="9">
        <f>'總表'!W101</f>
        <v/>
      </c>
      <c r="M16" s="9">
        <f>'總表'!X101</f>
        <v/>
      </c>
      <c r="N16" s="11">
        <f>'總表'!AA101</f>
        <v/>
      </c>
      <c r="O16" s="11">
        <f>'總表'!AB101</f>
        <v/>
      </c>
      <c r="P16" s="5">
        <f>'總表'!AD101</f>
        <v/>
      </c>
      <c r="Q16" s="9">
        <f>'總表'!U101</f>
        <v/>
      </c>
      <c r="R16" s="19">
        <f>'總表'!AE101</f>
        <v/>
      </c>
      <c r="S16" s="5">
        <f>'總表'!AI101</f>
        <v/>
      </c>
      <c r="T16" s="5">
        <f>'總表'!AJ101</f>
        <v/>
      </c>
      <c r="U16" s="5">
        <f>'總表'!AK101</f>
        <v/>
      </c>
      <c r="V16" s="5">
        <f>'總表'!AL101</f>
        <v/>
      </c>
      <c r="W16" s="9">
        <f>'總表'!AQ101</f>
        <v/>
      </c>
      <c r="X16" s="9">
        <f>'總表'!AS101</f>
        <v/>
      </c>
      <c r="Y16" s="5">
        <f>'總表'!AT101</f>
        <v/>
      </c>
      <c r="Z16" s="11">
        <f>'總表'!AW101</f>
        <v/>
      </c>
      <c r="AA16" s="17">
        <f>'總表'!BE101</f>
        <v/>
      </c>
      <c r="AB16" s="17">
        <f>'總表'!BG101</f>
        <v/>
      </c>
      <c r="AC16" s="17">
        <f>'總表'!BH101</f>
        <v/>
      </c>
      <c r="AD16" s="17">
        <f>'總表'!BI101</f>
        <v/>
      </c>
      <c r="AE16" s="17">
        <f>'總表'!BJ101</f>
        <v/>
      </c>
      <c r="AF16" s="18">
        <f>'總表'!BK101</f>
        <v/>
      </c>
      <c r="AG16" s="5">
        <f>'總表'!B101</f>
        <v/>
      </c>
    </row>
    <row r="18">
      <c r="A18" s="42" t="inlineStr">
        <is>
          <t>核心四條件全過，而且 9EMA 喺最近 5 個交易日內剛升穿 21EMA（金叉日期欄）。 每格引用總表同一行，改總表會跟住變。</t>
        </is>
      </c>
    </row>
  </sheetData>
  <autoFilter ref="A1:A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24" customWidth="1" min="5" max="5"/>
    <col width="6" customWidth="1" min="6" max="6"/>
    <col width="9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7" customWidth="1" min="17" max="17"/>
    <col width="9" customWidth="1" min="18" max="18"/>
    <col width="10" customWidth="1" min="19" max="19"/>
    <col width="6" customWidth="1" min="20" max="20"/>
    <col width="6" customWidth="1" min="21" max="21"/>
    <col width="10" customWidth="1" min="22" max="22"/>
    <col width="7" customWidth="1" min="23" max="23"/>
    <col width="7" customWidth="1" min="24" max="24"/>
    <col width="13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6" customWidth="1" min="33" max="33"/>
  </cols>
  <sheetData>
    <row r="1" ht="42" customHeight="1">
      <c r="A1" s="4" t="inlineStr">
        <is>
          <t>頁內排名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市值組</t>
        </is>
      </c>
      <c r="G1" s="4" t="inlineStr">
        <is>
          <t>市值(十億美元)</t>
        </is>
      </c>
      <c r="H1" s="4" t="inlineStr">
        <is>
          <t>收市價</t>
        </is>
      </c>
      <c r="I1" s="4" t="inlineStr">
        <is>
          <t>當日%</t>
        </is>
      </c>
      <c r="J1" s="4" t="inlineStr">
        <is>
          <t>EMA9</t>
        </is>
      </c>
      <c r="K1" s="4" t="inlineStr">
        <is>
          <t>EMA21</t>
        </is>
      </c>
      <c r="L1" s="4" t="inlineStr">
        <is>
          <t>距EMA9%</t>
        </is>
      </c>
      <c r="M1" s="4" t="inlineStr">
        <is>
          <t>距EMA21%</t>
        </is>
      </c>
      <c r="N1" s="4" t="inlineStr">
        <is>
          <t>距EMA9（ATR倍）</t>
        </is>
      </c>
      <c r="O1" s="4" t="inlineStr">
        <is>
          <t>距EMA21（ATR倍）</t>
        </is>
      </c>
      <c r="P1" s="4" t="inlineStr">
        <is>
          <t>近3日低位觸及</t>
        </is>
      </c>
      <c r="Q1" s="4" t="inlineStr">
        <is>
          <t>EMA21 5日斜率%</t>
        </is>
      </c>
      <c r="R1" s="4" t="inlineStr">
        <is>
          <t>9/21狀態</t>
        </is>
      </c>
      <c r="S1" s="4" t="inlineStr">
        <is>
          <t>金叉日期</t>
        </is>
      </c>
      <c r="T1" s="4" t="inlineStr">
        <is>
          <t>金叉後日數</t>
        </is>
      </c>
      <c r="U1" s="4" t="inlineStr">
        <is>
          <t>連續上升底數目</t>
        </is>
      </c>
      <c r="V1" s="4" t="inlineStr">
        <is>
          <t>最後一底日期</t>
        </is>
      </c>
      <c r="W1" s="4" t="inlineStr">
        <is>
          <t>距最後一底%</t>
        </is>
      </c>
      <c r="X1" s="4" t="inlineStr">
        <is>
          <t>距15日高%</t>
        </is>
      </c>
      <c r="Y1" s="4" t="inlineStr">
        <is>
          <t>形態（25日）</t>
        </is>
      </c>
      <c r="Z1" s="4" t="inlineStr">
        <is>
          <t>重心</t>
        </is>
      </c>
      <c r="AA1" s="4" t="inlineStr">
        <is>
          <t>RS21%</t>
        </is>
      </c>
      <c r="AB1" s="4" t="inlineStr">
        <is>
          <t>趨勢分數</t>
        </is>
      </c>
      <c r="AC1" s="4" t="inlineStr">
        <is>
          <t>回調質素</t>
        </is>
      </c>
      <c r="AD1" s="4" t="inlineStr">
        <is>
          <t>底部結構</t>
        </is>
      </c>
      <c r="AE1" s="4" t="inlineStr">
        <is>
          <t>三角形分數</t>
        </is>
      </c>
      <c r="AF1" s="4" t="inlineStr">
        <is>
          <t>綜合分數</t>
        </is>
      </c>
      <c r="AG1" s="4" t="inlineStr">
        <is>
          <t>總表排名</t>
        </is>
      </c>
    </row>
    <row r="2">
      <c r="A2" s="5" t="n">
        <v>1</v>
      </c>
      <c r="B2" s="6" t="inlineStr">
        <is>
          <t>FRNM</t>
        </is>
      </c>
      <c r="C2" s="5">
        <f>'總表'!D8</f>
        <v/>
      </c>
      <c r="D2" s="5">
        <f>'總表'!F8</f>
        <v/>
      </c>
      <c r="E2" s="5">
        <f>'總表'!G8</f>
        <v/>
      </c>
      <c r="F2" s="5">
        <f>'總表'!I8</f>
        <v/>
      </c>
      <c r="G2" s="40">
        <f>'總表'!H8</f>
        <v/>
      </c>
      <c r="H2" s="41">
        <f>'總表'!J8</f>
        <v/>
      </c>
      <c r="I2" s="9">
        <f>'總表'!L8</f>
        <v/>
      </c>
      <c r="J2" s="41">
        <f>'總表'!R8</f>
        <v/>
      </c>
      <c r="K2" s="41">
        <f>'總表'!S8</f>
        <v/>
      </c>
      <c r="L2" s="9">
        <f>'總表'!W8</f>
        <v/>
      </c>
      <c r="M2" s="9">
        <f>'總表'!X8</f>
        <v/>
      </c>
      <c r="N2" s="11">
        <f>'總表'!AA8</f>
        <v/>
      </c>
      <c r="O2" s="11">
        <f>'總表'!AB8</f>
        <v/>
      </c>
      <c r="P2" s="5">
        <f>'總表'!AD8</f>
        <v/>
      </c>
      <c r="Q2" s="9">
        <f>'總表'!U8</f>
        <v/>
      </c>
      <c r="R2" s="5">
        <f>'總表'!AE8</f>
        <v/>
      </c>
      <c r="S2" s="5">
        <f>'總表'!AI8</f>
        <v/>
      </c>
      <c r="T2" s="5">
        <f>'總表'!AJ8</f>
        <v/>
      </c>
      <c r="U2" s="5">
        <f>'總表'!AK8</f>
        <v/>
      </c>
      <c r="V2" s="5">
        <f>'總表'!AL8</f>
        <v/>
      </c>
      <c r="W2" s="9">
        <f>'總表'!AQ8</f>
        <v/>
      </c>
      <c r="X2" s="9">
        <f>'總表'!AS8</f>
        <v/>
      </c>
      <c r="Y2" s="5">
        <f>'總表'!AT8</f>
        <v/>
      </c>
      <c r="Z2" s="11">
        <f>'總表'!AW8</f>
        <v/>
      </c>
      <c r="AA2" s="17">
        <f>'總表'!BE8</f>
        <v/>
      </c>
      <c r="AB2" s="17">
        <f>'總表'!BG8</f>
        <v/>
      </c>
      <c r="AC2" s="17">
        <f>'總表'!BH8</f>
        <v/>
      </c>
      <c r="AD2" s="17">
        <f>'總表'!BI8</f>
        <v/>
      </c>
      <c r="AE2" s="17">
        <f>'總表'!BJ8</f>
        <v/>
      </c>
      <c r="AF2" s="18">
        <f>'總表'!BK8</f>
        <v/>
      </c>
      <c r="AG2" s="5">
        <f>'總表'!B8</f>
        <v/>
      </c>
    </row>
    <row r="3">
      <c r="A3" s="5" t="n">
        <v>2</v>
      </c>
      <c r="B3" s="6" t="inlineStr">
        <is>
          <t>ADPT</t>
        </is>
      </c>
      <c r="C3" s="5">
        <f>'總表'!D25</f>
        <v/>
      </c>
      <c r="D3" s="5">
        <f>'總表'!F25</f>
        <v/>
      </c>
      <c r="E3" s="5">
        <f>'總表'!G25</f>
        <v/>
      </c>
      <c r="F3" s="5">
        <f>'總表'!I25</f>
        <v/>
      </c>
      <c r="G3" s="40">
        <f>'總表'!H25</f>
        <v/>
      </c>
      <c r="H3" s="41">
        <f>'總表'!J25</f>
        <v/>
      </c>
      <c r="I3" s="9">
        <f>'總表'!L25</f>
        <v/>
      </c>
      <c r="J3" s="41">
        <f>'總表'!R25</f>
        <v/>
      </c>
      <c r="K3" s="41">
        <f>'總表'!S25</f>
        <v/>
      </c>
      <c r="L3" s="9">
        <f>'總表'!W25</f>
        <v/>
      </c>
      <c r="M3" s="9">
        <f>'總表'!X25</f>
        <v/>
      </c>
      <c r="N3" s="11">
        <f>'總表'!AA25</f>
        <v/>
      </c>
      <c r="O3" s="11">
        <f>'總表'!AB25</f>
        <v/>
      </c>
      <c r="P3" s="5">
        <f>'總表'!AD25</f>
        <v/>
      </c>
      <c r="Q3" s="9">
        <f>'總表'!U25</f>
        <v/>
      </c>
      <c r="R3" s="5">
        <f>'總表'!AE25</f>
        <v/>
      </c>
      <c r="S3" s="5">
        <f>'總表'!AI25</f>
        <v/>
      </c>
      <c r="T3" s="5">
        <f>'總表'!AJ25</f>
        <v/>
      </c>
      <c r="U3" s="5">
        <f>'總表'!AK25</f>
        <v/>
      </c>
      <c r="V3" s="5">
        <f>'總表'!AL25</f>
        <v/>
      </c>
      <c r="W3" s="9">
        <f>'總表'!AQ25</f>
        <v/>
      </c>
      <c r="X3" s="9">
        <f>'總表'!AS25</f>
        <v/>
      </c>
      <c r="Y3" s="5">
        <f>'總表'!AT25</f>
        <v/>
      </c>
      <c r="Z3" s="11">
        <f>'總表'!AW25</f>
        <v/>
      </c>
      <c r="AA3" s="17">
        <f>'總表'!BE25</f>
        <v/>
      </c>
      <c r="AB3" s="17">
        <f>'總表'!BG25</f>
        <v/>
      </c>
      <c r="AC3" s="17">
        <f>'總表'!BH25</f>
        <v/>
      </c>
      <c r="AD3" s="17">
        <f>'總表'!BI25</f>
        <v/>
      </c>
      <c r="AE3" s="17">
        <f>'總表'!BJ25</f>
        <v/>
      </c>
      <c r="AF3" s="18">
        <f>'總表'!BK25</f>
        <v/>
      </c>
      <c r="AG3" s="5">
        <f>'總表'!B25</f>
        <v/>
      </c>
    </row>
    <row r="4">
      <c r="A4" s="5" t="n">
        <v>3</v>
      </c>
      <c r="B4" s="6" t="inlineStr">
        <is>
          <t>FLGT</t>
        </is>
      </c>
      <c r="C4" s="5">
        <f>'總表'!D31</f>
        <v/>
      </c>
      <c r="D4" s="5">
        <f>'總表'!F31</f>
        <v/>
      </c>
      <c r="E4" s="5">
        <f>'總表'!G31</f>
        <v/>
      </c>
      <c r="F4" s="5">
        <f>'總表'!I31</f>
        <v/>
      </c>
      <c r="G4" s="40">
        <f>'總表'!H31</f>
        <v/>
      </c>
      <c r="H4" s="41">
        <f>'總表'!J31</f>
        <v/>
      </c>
      <c r="I4" s="9">
        <f>'總表'!L31</f>
        <v/>
      </c>
      <c r="J4" s="41">
        <f>'總表'!R31</f>
        <v/>
      </c>
      <c r="K4" s="41">
        <f>'總表'!S31</f>
        <v/>
      </c>
      <c r="L4" s="9">
        <f>'總表'!W31</f>
        <v/>
      </c>
      <c r="M4" s="9">
        <f>'總表'!X31</f>
        <v/>
      </c>
      <c r="N4" s="11">
        <f>'總表'!AA31</f>
        <v/>
      </c>
      <c r="O4" s="11">
        <f>'總表'!AB31</f>
        <v/>
      </c>
      <c r="P4" s="5">
        <f>'總表'!AD31</f>
        <v/>
      </c>
      <c r="Q4" s="9">
        <f>'總表'!U31</f>
        <v/>
      </c>
      <c r="R4" s="5">
        <f>'總表'!AE31</f>
        <v/>
      </c>
      <c r="S4" s="5">
        <f>'總表'!AI31</f>
        <v/>
      </c>
      <c r="T4" s="5">
        <f>'總表'!AJ31</f>
        <v/>
      </c>
      <c r="U4" s="5">
        <f>'總表'!AK31</f>
        <v/>
      </c>
      <c r="V4" s="5">
        <f>'總表'!AL31</f>
        <v/>
      </c>
      <c r="W4" s="9">
        <f>'總表'!AQ31</f>
        <v/>
      </c>
      <c r="X4" s="9">
        <f>'總表'!AS31</f>
        <v/>
      </c>
      <c r="Y4" s="5">
        <f>'總表'!AT31</f>
        <v/>
      </c>
      <c r="Z4" s="11">
        <f>'總表'!AW31</f>
        <v/>
      </c>
      <c r="AA4" s="17">
        <f>'總表'!BE31</f>
        <v/>
      </c>
      <c r="AB4" s="17">
        <f>'總表'!BG31</f>
        <v/>
      </c>
      <c r="AC4" s="17">
        <f>'總表'!BH31</f>
        <v/>
      </c>
      <c r="AD4" s="17">
        <f>'總表'!BI31</f>
        <v/>
      </c>
      <c r="AE4" s="17">
        <f>'總表'!BJ31</f>
        <v/>
      </c>
      <c r="AF4" s="18">
        <f>'總表'!BK31</f>
        <v/>
      </c>
      <c r="AG4" s="5">
        <f>'總表'!B31</f>
        <v/>
      </c>
    </row>
    <row r="5">
      <c r="A5" s="5" t="n">
        <v>4</v>
      </c>
      <c r="B5" s="6" t="inlineStr">
        <is>
          <t>FTRE</t>
        </is>
      </c>
      <c r="C5" s="5">
        <f>'總表'!D45</f>
        <v/>
      </c>
      <c r="D5" s="5">
        <f>'總表'!F45</f>
        <v/>
      </c>
      <c r="E5" s="5">
        <f>'總表'!G45</f>
        <v/>
      </c>
      <c r="F5" s="5">
        <f>'總表'!I45</f>
        <v/>
      </c>
      <c r="G5" s="40">
        <f>'總表'!H45</f>
        <v/>
      </c>
      <c r="H5" s="41">
        <f>'總表'!J45</f>
        <v/>
      </c>
      <c r="I5" s="9">
        <f>'總表'!L45</f>
        <v/>
      </c>
      <c r="J5" s="41">
        <f>'總表'!R45</f>
        <v/>
      </c>
      <c r="K5" s="41">
        <f>'總表'!S45</f>
        <v/>
      </c>
      <c r="L5" s="9">
        <f>'總表'!W45</f>
        <v/>
      </c>
      <c r="M5" s="9">
        <f>'總表'!X45</f>
        <v/>
      </c>
      <c r="N5" s="11">
        <f>'總表'!AA45</f>
        <v/>
      </c>
      <c r="O5" s="11">
        <f>'總表'!AB45</f>
        <v/>
      </c>
      <c r="P5" s="5">
        <f>'總表'!AD45</f>
        <v/>
      </c>
      <c r="Q5" s="9">
        <f>'總表'!U45</f>
        <v/>
      </c>
      <c r="R5" s="5">
        <f>'總表'!AE45</f>
        <v/>
      </c>
      <c r="S5" s="5">
        <f>'總表'!AI45</f>
        <v/>
      </c>
      <c r="T5" s="5">
        <f>'總表'!AJ45</f>
        <v/>
      </c>
      <c r="U5" s="5">
        <f>'總表'!AK45</f>
        <v/>
      </c>
      <c r="V5" s="5">
        <f>'總表'!AL45</f>
        <v/>
      </c>
      <c r="W5" s="9">
        <f>'總表'!AQ45</f>
        <v/>
      </c>
      <c r="X5" s="9">
        <f>'總表'!AS45</f>
        <v/>
      </c>
      <c r="Y5" s="5">
        <f>'總表'!AT45</f>
        <v/>
      </c>
      <c r="Z5" s="11">
        <f>'總表'!AW45</f>
        <v/>
      </c>
      <c r="AA5" s="17">
        <f>'總表'!BE45</f>
        <v/>
      </c>
      <c r="AB5" s="17">
        <f>'總表'!BG45</f>
        <v/>
      </c>
      <c r="AC5" s="17">
        <f>'總表'!BH45</f>
        <v/>
      </c>
      <c r="AD5" s="17">
        <f>'總表'!BI45</f>
        <v/>
      </c>
      <c r="AE5" s="17">
        <f>'總表'!BJ45</f>
        <v/>
      </c>
      <c r="AF5" s="18">
        <f>'總表'!BK45</f>
        <v/>
      </c>
      <c r="AG5" s="5">
        <f>'總表'!B45</f>
        <v/>
      </c>
    </row>
    <row r="6">
      <c r="A6" s="5" t="n">
        <v>5</v>
      </c>
      <c r="B6" s="6" t="inlineStr">
        <is>
          <t>BTGO</t>
        </is>
      </c>
      <c r="C6" s="5">
        <f>'總表'!D62</f>
        <v/>
      </c>
      <c r="D6" s="5">
        <f>'總表'!F62</f>
        <v/>
      </c>
      <c r="E6" s="5">
        <f>'總表'!G62</f>
        <v/>
      </c>
      <c r="F6" s="5">
        <f>'總表'!I62</f>
        <v/>
      </c>
      <c r="G6" s="40">
        <f>'總表'!H62</f>
        <v/>
      </c>
      <c r="H6" s="41">
        <f>'總表'!J62</f>
        <v/>
      </c>
      <c r="I6" s="9">
        <f>'總表'!L62</f>
        <v/>
      </c>
      <c r="J6" s="41">
        <f>'總表'!R62</f>
        <v/>
      </c>
      <c r="K6" s="41">
        <f>'總表'!S62</f>
        <v/>
      </c>
      <c r="L6" s="9">
        <f>'總表'!W62</f>
        <v/>
      </c>
      <c r="M6" s="9">
        <f>'總表'!X62</f>
        <v/>
      </c>
      <c r="N6" s="11">
        <f>'總表'!AA62</f>
        <v/>
      </c>
      <c r="O6" s="11">
        <f>'總表'!AB62</f>
        <v/>
      </c>
      <c r="P6" s="5">
        <f>'總表'!AD62</f>
        <v/>
      </c>
      <c r="Q6" s="9">
        <f>'總表'!U62</f>
        <v/>
      </c>
      <c r="R6" s="5">
        <f>'總表'!AE62</f>
        <v/>
      </c>
      <c r="S6" s="5">
        <f>'總表'!AI62</f>
        <v/>
      </c>
      <c r="T6" s="5">
        <f>'總表'!AJ62</f>
        <v/>
      </c>
      <c r="U6" s="5">
        <f>'總表'!AK62</f>
        <v/>
      </c>
      <c r="V6" s="5">
        <f>'總表'!AL62</f>
        <v/>
      </c>
      <c r="W6" s="9">
        <f>'總表'!AQ62</f>
        <v/>
      </c>
      <c r="X6" s="9">
        <f>'總表'!AS62</f>
        <v/>
      </c>
      <c r="Y6" s="5">
        <f>'總表'!AT62</f>
        <v/>
      </c>
      <c r="Z6" s="11">
        <f>'總表'!AW62</f>
        <v/>
      </c>
      <c r="AA6" s="17">
        <f>'總表'!BE62</f>
        <v/>
      </c>
      <c r="AB6" s="17">
        <f>'總表'!BG62</f>
        <v/>
      </c>
      <c r="AC6" s="17">
        <f>'總表'!BH62</f>
        <v/>
      </c>
      <c r="AD6" s="17">
        <f>'總表'!BI62</f>
        <v/>
      </c>
      <c r="AE6" s="17">
        <f>'總表'!BJ62</f>
        <v/>
      </c>
      <c r="AF6" s="18">
        <f>'總表'!BK62</f>
        <v/>
      </c>
      <c r="AG6" s="5">
        <f>'總表'!B62</f>
        <v/>
      </c>
    </row>
    <row r="7">
      <c r="A7" s="5" t="n">
        <v>6</v>
      </c>
      <c r="B7" s="6" t="inlineStr">
        <is>
          <t>WAT</t>
        </is>
      </c>
      <c r="C7" s="5">
        <f>'總表'!D72</f>
        <v/>
      </c>
      <c r="D7" s="5">
        <f>'總表'!F72</f>
        <v/>
      </c>
      <c r="E7" s="5">
        <f>'總表'!G72</f>
        <v/>
      </c>
      <c r="F7" s="5">
        <f>'總表'!I72</f>
        <v/>
      </c>
      <c r="G7" s="40">
        <f>'總表'!H72</f>
        <v/>
      </c>
      <c r="H7" s="41">
        <f>'總表'!J72</f>
        <v/>
      </c>
      <c r="I7" s="9">
        <f>'總表'!L72</f>
        <v/>
      </c>
      <c r="J7" s="41">
        <f>'總表'!R72</f>
        <v/>
      </c>
      <c r="K7" s="41">
        <f>'總表'!S72</f>
        <v/>
      </c>
      <c r="L7" s="9">
        <f>'總表'!W72</f>
        <v/>
      </c>
      <c r="M7" s="9">
        <f>'總表'!X72</f>
        <v/>
      </c>
      <c r="N7" s="11">
        <f>'總表'!AA72</f>
        <v/>
      </c>
      <c r="O7" s="11">
        <f>'總表'!AB72</f>
        <v/>
      </c>
      <c r="P7" s="5">
        <f>'總表'!AD72</f>
        <v/>
      </c>
      <c r="Q7" s="9">
        <f>'總表'!U72</f>
        <v/>
      </c>
      <c r="R7" s="5">
        <f>'總表'!AE72</f>
        <v/>
      </c>
      <c r="S7" s="5">
        <f>'總表'!AI72</f>
        <v/>
      </c>
      <c r="T7" s="5">
        <f>'總表'!AJ72</f>
        <v/>
      </c>
      <c r="U7" s="5">
        <f>'總表'!AK72</f>
        <v/>
      </c>
      <c r="V7" s="5">
        <f>'總表'!AL72</f>
        <v/>
      </c>
      <c r="W7" s="9">
        <f>'總表'!AQ72</f>
        <v/>
      </c>
      <c r="X7" s="9">
        <f>'總表'!AS72</f>
        <v/>
      </c>
      <c r="Y7" s="5">
        <f>'總表'!AT72</f>
        <v/>
      </c>
      <c r="Z7" s="11">
        <f>'總表'!AW72</f>
        <v/>
      </c>
      <c r="AA7" s="17">
        <f>'總表'!BE72</f>
        <v/>
      </c>
      <c r="AB7" s="17">
        <f>'總表'!BG72</f>
        <v/>
      </c>
      <c r="AC7" s="17">
        <f>'總表'!BH72</f>
        <v/>
      </c>
      <c r="AD7" s="17">
        <f>'總表'!BI72</f>
        <v/>
      </c>
      <c r="AE7" s="17">
        <f>'總表'!BJ72</f>
        <v/>
      </c>
      <c r="AF7" s="18">
        <f>'總表'!BK72</f>
        <v/>
      </c>
      <c r="AG7" s="5">
        <f>'總表'!B72</f>
        <v/>
      </c>
    </row>
    <row r="8">
      <c r="A8" s="5" t="n">
        <v>7</v>
      </c>
      <c r="B8" s="6" t="inlineStr">
        <is>
          <t>SMTI</t>
        </is>
      </c>
      <c r="C8" s="5">
        <f>'總表'!D80</f>
        <v/>
      </c>
      <c r="D8" s="5">
        <f>'總表'!F80</f>
        <v/>
      </c>
      <c r="E8" s="5">
        <f>'總表'!G80</f>
        <v/>
      </c>
      <c r="F8" s="5">
        <f>'總表'!I80</f>
        <v/>
      </c>
      <c r="G8" s="40">
        <f>'總表'!H80</f>
        <v/>
      </c>
      <c r="H8" s="41">
        <f>'總表'!J80</f>
        <v/>
      </c>
      <c r="I8" s="9">
        <f>'總表'!L80</f>
        <v/>
      </c>
      <c r="J8" s="41">
        <f>'總表'!R80</f>
        <v/>
      </c>
      <c r="K8" s="41">
        <f>'總表'!S80</f>
        <v/>
      </c>
      <c r="L8" s="9">
        <f>'總表'!W80</f>
        <v/>
      </c>
      <c r="M8" s="9">
        <f>'總表'!X80</f>
        <v/>
      </c>
      <c r="N8" s="11">
        <f>'總表'!AA80</f>
        <v/>
      </c>
      <c r="O8" s="11">
        <f>'總表'!AB80</f>
        <v/>
      </c>
      <c r="P8" s="5">
        <f>'總表'!AD80</f>
        <v/>
      </c>
      <c r="Q8" s="9">
        <f>'總表'!U80</f>
        <v/>
      </c>
      <c r="R8" s="5">
        <f>'總表'!AE80</f>
        <v/>
      </c>
      <c r="S8" s="5">
        <f>'總表'!AI80</f>
        <v/>
      </c>
      <c r="T8" s="5">
        <f>'總表'!AJ80</f>
        <v/>
      </c>
      <c r="U8" s="5">
        <f>'總表'!AK80</f>
        <v/>
      </c>
      <c r="V8" s="5">
        <f>'總表'!AL80</f>
        <v/>
      </c>
      <c r="W8" s="9">
        <f>'總表'!AQ80</f>
        <v/>
      </c>
      <c r="X8" s="9">
        <f>'總表'!AS80</f>
        <v/>
      </c>
      <c r="Y8" s="5">
        <f>'總表'!AT80</f>
        <v/>
      </c>
      <c r="Z8" s="11">
        <f>'總表'!AW80</f>
        <v/>
      </c>
      <c r="AA8" s="17">
        <f>'總表'!BE80</f>
        <v/>
      </c>
      <c r="AB8" s="17">
        <f>'總表'!BG80</f>
        <v/>
      </c>
      <c r="AC8" s="17">
        <f>'總表'!BH80</f>
        <v/>
      </c>
      <c r="AD8" s="17">
        <f>'總表'!BI80</f>
        <v/>
      </c>
      <c r="AE8" s="17">
        <f>'總表'!BJ80</f>
        <v/>
      </c>
      <c r="AF8" s="18">
        <f>'總表'!BK80</f>
        <v/>
      </c>
      <c r="AG8" s="5">
        <f>'總表'!B80</f>
        <v/>
      </c>
    </row>
    <row r="9">
      <c r="A9" s="5" t="n">
        <v>8</v>
      </c>
      <c r="B9" s="6" t="inlineStr">
        <is>
          <t>BPRN</t>
        </is>
      </c>
      <c r="C9" s="5">
        <f>'總表'!D82</f>
        <v/>
      </c>
      <c r="D9" s="5">
        <f>'總表'!F82</f>
        <v/>
      </c>
      <c r="E9" s="5">
        <f>'總表'!G82</f>
        <v/>
      </c>
      <c r="F9" s="5">
        <f>'總表'!I82</f>
        <v/>
      </c>
      <c r="G9" s="40">
        <f>'總表'!H82</f>
        <v/>
      </c>
      <c r="H9" s="41">
        <f>'總表'!J82</f>
        <v/>
      </c>
      <c r="I9" s="9">
        <f>'總表'!L82</f>
        <v/>
      </c>
      <c r="J9" s="41">
        <f>'總表'!R82</f>
        <v/>
      </c>
      <c r="K9" s="41">
        <f>'總表'!S82</f>
        <v/>
      </c>
      <c r="L9" s="9">
        <f>'總表'!W82</f>
        <v/>
      </c>
      <c r="M9" s="9">
        <f>'總表'!X82</f>
        <v/>
      </c>
      <c r="N9" s="11">
        <f>'總表'!AA82</f>
        <v/>
      </c>
      <c r="O9" s="11">
        <f>'總表'!AB82</f>
        <v/>
      </c>
      <c r="P9" s="5">
        <f>'總表'!AD82</f>
        <v/>
      </c>
      <c r="Q9" s="9">
        <f>'總表'!U82</f>
        <v/>
      </c>
      <c r="R9" s="5">
        <f>'總表'!AE82</f>
        <v/>
      </c>
      <c r="S9" s="5">
        <f>'總表'!AI82</f>
        <v/>
      </c>
      <c r="T9" s="5">
        <f>'總表'!AJ82</f>
        <v/>
      </c>
      <c r="U9" s="5">
        <f>'總表'!AK82</f>
        <v/>
      </c>
      <c r="V9" s="5">
        <f>'總表'!AL82</f>
        <v/>
      </c>
      <c r="W9" s="9">
        <f>'總表'!AQ82</f>
        <v/>
      </c>
      <c r="X9" s="9">
        <f>'總表'!AS82</f>
        <v/>
      </c>
      <c r="Y9" s="5">
        <f>'總表'!AT82</f>
        <v/>
      </c>
      <c r="Z9" s="11">
        <f>'總表'!AW82</f>
        <v/>
      </c>
      <c r="AA9" s="17">
        <f>'總表'!BE82</f>
        <v/>
      </c>
      <c r="AB9" s="17">
        <f>'總表'!BG82</f>
        <v/>
      </c>
      <c r="AC9" s="17">
        <f>'總表'!BH82</f>
        <v/>
      </c>
      <c r="AD9" s="17">
        <f>'總表'!BI82</f>
        <v/>
      </c>
      <c r="AE9" s="17">
        <f>'總表'!BJ82</f>
        <v/>
      </c>
      <c r="AF9" s="18">
        <f>'總表'!BK82</f>
        <v/>
      </c>
      <c r="AG9" s="5">
        <f>'總表'!B82</f>
        <v/>
      </c>
    </row>
    <row r="10">
      <c r="A10" s="5" t="n">
        <v>9</v>
      </c>
      <c r="B10" s="6" t="inlineStr">
        <is>
          <t>PKOH</t>
        </is>
      </c>
      <c r="C10" s="5">
        <f>'總表'!D83</f>
        <v/>
      </c>
      <c r="D10" s="5">
        <f>'總表'!F83</f>
        <v/>
      </c>
      <c r="E10" s="5">
        <f>'總表'!G83</f>
        <v/>
      </c>
      <c r="F10" s="5">
        <f>'總表'!I83</f>
        <v/>
      </c>
      <c r="G10" s="40">
        <f>'總表'!H83</f>
        <v/>
      </c>
      <c r="H10" s="41">
        <f>'總表'!J83</f>
        <v/>
      </c>
      <c r="I10" s="9">
        <f>'總表'!L83</f>
        <v/>
      </c>
      <c r="J10" s="41">
        <f>'總表'!R83</f>
        <v/>
      </c>
      <c r="K10" s="41">
        <f>'總表'!S83</f>
        <v/>
      </c>
      <c r="L10" s="9">
        <f>'總表'!W83</f>
        <v/>
      </c>
      <c r="M10" s="9">
        <f>'總表'!X83</f>
        <v/>
      </c>
      <c r="N10" s="11">
        <f>'總表'!AA83</f>
        <v/>
      </c>
      <c r="O10" s="11">
        <f>'總表'!AB83</f>
        <v/>
      </c>
      <c r="P10" s="5">
        <f>'總表'!AD83</f>
        <v/>
      </c>
      <c r="Q10" s="9">
        <f>'總表'!U83</f>
        <v/>
      </c>
      <c r="R10" s="5">
        <f>'總表'!AE83</f>
        <v/>
      </c>
      <c r="S10" s="5">
        <f>'總表'!AI83</f>
        <v/>
      </c>
      <c r="T10" s="5">
        <f>'總表'!AJ83</f>
        <v/>
      </c>
      <c r="U10" s="5">
        <f>'總表'!AK83</f>
        <v/>
      </c>
      <c r="V10" s="5">
        <f>'總表'!AL83</f>
        <v/>
      </c>
      <c r="W10" s="9">
        <f>'總表'!AQ83</f>
        <v/>
      </c>
      <c r="X10" s="9">
        <f>'總表'!AS83</f>
        <v/>
      </c>
      <c r="Y10" s="5">
        <f>'總表'!AT83</f>
        <v/>
      </c>
      <c r="Z10" s="11">
        <f>'總表'!AW83</f>
        <v/>
      </c>
      <c r="AA10" s="17">
        <f>'總表'!BE83</f>
        <v/>
      </c>
      <c r="AB10" s="17">
        <f>'總表'!BG83</f>
        <v/>
      </c>
      <c r="AC10" s="17">
        <f>'總表'!BH83</f>
        <v/>
      </c>
      <c r="AD10" s="17">
        <f>'總表'!BI83</f>
        <v/>
      </c>
      <c r="AE10" s="17">
        <f>'總表'!BJ83</f>
        <v/>
      </c>
      <c r="AF10" s="18">
        <f>'總表'!BK83</f>
        <v/>
      </c>
      <c r="AG10" s="5">
        <f>'總表'!B83</f>
        <v/>
      </c>
    </row>
    <row r="11">
      <c r="A11" s="5" t="n">
        <v>10</v>
      </c>
      <c r="B11" s="6" t="inlineStr">
        <is>
          <t>BIIB</t>
        </is>
      </c>
      <c r="C11" s="5">
        <f>'總表'!D97</f>
        <v/>
      </c>
      <c r="D11" s="5">
        <f>'總表'!F97</f>
        <v/>
      </c>
      <c r="E11" s="5">
        <f>'總表'!G97</f>
        <v/>
      </c>
      <c r="F11" s="5">
        <f>'總表'!I97</f>
        <v/>
      </c>
      <c r="G11" s="40">
        <f>'總表'!H97</f>
        <v/>
      </c>
      <c r="H11" s="41">
        <f>'總表'!J97</f>
        <v/>
      </c>
      <c r="I11" s="9">
        <f>'總表'!L97</f>
        <v/>
      </c>
      <c r="J11" s="41">
        <f>'總表'!R97</f>
        <v/>
      </c>
      <c r="K11" s="41">
        <f>'總表'!S97</f>
        <v/>
      </c>
      <c r="L11" s="9">
        <f>'總表'!W97</f>
        <v/>
      </c>
      <c r="M11" s="9">
        <f>'總表'!X97</f>
        <v/>
      </c>
      <c r="N11" s="11">
        <f>'總表'!AA97</f>
        <v/>
      </c>
      <c r="O11" s="11">
        <f>'總表'!AB97</f>
        <v/>
      </c>
      <c r="P11" s="5">
        <f>'總表'!AD97</f>
        <v/>
      </c>
      <c r="Q11" s="9">
        <f>'總表'!U97</f>
        <v/>
      </c>
      <c r="R11" s="5">
        <f>'總表'!AE97</f>
        <v/>
      </c>
      <c r="S11" s="5">
        <f>'總表'!AI97</f>
        <v/>
      </c>
      <c r="T11" s="5">
        <f>'總表'!AJ97</f>
        <v/>
      </c>
      <c r="U11" s="5">
        <f>'總表'!AK97</f>
        <v/>
      </c>
      <c r="V11" s="5">
        <f>'總表'!AL97</f>
        <v/>
      </c>
      <c r="W11" s="9">
        <f>'總表'!AQ97</f>
        <v/>
      </c>
      <c r="X11" s="9">
        <f>'總表'!AS97</f>
        <v/>
      </c>
      <c r="Y11" s="5">
        <f>'總表'!AT97</f>
        <v/>
      </c>
      <c r="Z11" s="11">
        <f>'總表'!AW97</f>
        <v/>
      </c>
      <c r="AA11" s="17">
        <f>'總表'!BE97</f>
        <v/>
      </c>
      <c r="AB11" s="17">
        <f>'總表'!BG97</f>
        <v/>
      </c>
      <c r="AC11" s="17">
        <f>'總表'!BH97</f>
        <v/>
      </c>
      <c r="AD11" s="17">
        <f>'總表'!BI97</f>
        <v/>
      </c>
      <c r="AE11" s="17">
        <f>'總表'!BJ97</f>
        <v/>
      </c>
      <c r="AF11" s="18">
        <f>'總表'!BK97</f>
        <v/>
      </c>
      <c r="AG11" s="5">
        <f>'總表'!B97</f>
        <v/>
      </c>
    </row>
    <row r="13">
      <c r="A13" s="42" t="inlineStr">
        <is>
          <t>核心四條件全過，而且收市離 EMA21 ≤3% 兼（≤0.75 ATR14 或近 3 日最低價觸及 EMA21）、收市唔低過 EMA21 3%；離兩條 EMA 都近嘅股票歸較近嗰條（呢頁係較深嘅回調）。 每格引用總表同一行，改總表會跟住變。</t>
        </is>
      </c>
    </row>
  </sheetData>
  <autoFilter ref="A1:A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24" customWidth="1" min="5" max="5"/>
    <col width="6" customWidth="1" min="6" max="6"/>
    <col width="9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7" customWidth="1" min="17" max="17"/>
    <col width="9" customWidth="1" min="18" max="18"/>
    <col width="10" customWidth="1" min="19" max="19"/>
    <col width="6" customWidth="1" min="20" max="20"/>
    <col width="6" customWidth="1" min="21" max="21"/>
    <col width="10" customWidth="1" min="22" max="22"/>
    <col width="7" customWidth="1" min="23" max="23"/>
    <col width="7" customWidth="1" min="24" max="24"/>
    <col width="13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6" customWidth="1" min="33" max="33"/>
  </cols>
  <sheetData>
    <row r="1" ht="42" customHeight="1">
      <c r="A1" s="4" t="inlineStr">
        <is>
          <t>頁內排名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市值組</t>
        </is>
      </c>
      <c r="G1" s="4" t="inlineStr">
        <is>
          <t>市值(十億美元)</t>
        </is>
      </c>
      <c r="H1" s="4" t="inlineStr">
        <is>
          <t>收市價</t>
        </is>
      </c>
      <c r="I1" s="4" t="inlineStr">
        <is>
          <t>當日%</t>
        </is>
      </c>
      <c r="J1" s="4" t="inlineStr">
        <is>
          <t>EMA9</t>
        </is>
      </c>
      <c r="K1" s="4" t="inlineStr">
        <is>
          <t>EMA21</t>
        </is>
      </c>
      <c r="L1" s="4" t="inlineStr">
        <is>
          <t>距EMA9%</t>
        </is>
      </c>
      <c r="M1" s="4" t="inlineStr">
        <is>
          <t>距EMA21%</t>
        </is>
      </c>
      <c r="N1" s="4" t="inlineStr">
        <is>
          <t>距EMA9（ATR倍）</t>
        </is>
      </c>
      <c r="O1" s="4" t="inlineStr">
        <is>
          <t>距EMA21（ATR倍）</t>
        </is>
      </c>
      <c r="P1" s="4" t="inlineStr">
        <is>
          <t>近3日低位觸及</t>
        </is>
      </c>
      <c r="Q1" s="4" t="inlineStr">
        <is>
          <t>EMA21 5日斜率%</t>
        </is>
      </c>
      <c r="R1" s="4" t="inlineStr">
        <is>
          <t>9/21狀態</t>
        </is>
      </c>
      <c r="S1" s="4" t="inlineStr">
        <is>
          <t>金叉日期</t>
        </is>
      </c>
      <c r="T1" s="4" t="inlineStr">
        <is>
          <t>金叉後日數</t>
        </is>
      </c>
      <c r="U1" s="4" t="inlineStr">
        <is>
          <t>連續上升底數目</t>
        </is>
      </c>
      <c r="V1" s="4" t="inlineStr">
        <is>
          <t>最後一底日期</t>
        </is>
      </c>
      <c r="W1" s="4" t="inlineStr">
        <is>
          <t>距最後一底%</t>
        </is>
      </c>
      <c r="X1" s="4" t="inlineStr">
        <is>
          <t>距15日高%</t>
        </is>
      </c>
      <c r="Y1" s="4" t="inlineStr">
        <is>
          <t>形態（25日）</t>
        </is>
      </c>
      <c r="Z1" s="4" t="inlineStr">
        <is>
          <t>重心</t>
        </is>
      </c>
      <c r="AA1" s="4" t="inlineStr">
        <is>
          <t>RS21%</t>
        </is>
      </c>
      <c r="AB1" s="4" t="inlineStr">
        <is>
          <t>趨勢分數</t>
        </is>
      </c>
      <c r="AC1" s="4" t="inlineStr">
        <is>
          <t>回調質素</t>
        </is>
      </c>
      <c r="AD1" s="4" t="inlineStr">
        <is>
          <t>底部結構</t>
        </is>
      </c>
      <c r="AE1" s="4" t="inlineStr">
        <is>
          <t>三角形分數</t>
        </is>
      </c>
      <c r="AF1" s="4" t="inlineStr">
        <is>
          <t>綜合分數</t>
        </is>
      </c>
      <c r="AG1" s="4" t="inlineStr">
        <is>
          <t>總表排名</t>
        </is>
      </c>
    </row>
    <row r="2">
      <c r="A2" s="5" t="n">
        <v>1</v>
      </c>
      <c r="B2" s="6" t="inlineStr">
        <is>
          <t>JILL</t>
        </is>
      </c>
      <c r="C2" s="5">
        <f>'總表'!D2</f>
        <v/>
      </c>
      <c r="D2" s="5">
        <f>'總表'!F2</f>
        <v/>
      </c>
      <c r="E2" s="5">
        <f>'總表'!G2</f>
        <v/>
      </c>
      <c r="F2" s="5">
        <f>'總表'!I2</f>
        <v/>
      </c>
      <c r="G2" s="40">
        <f>'總表'!H2</f>
        <v/>
      </c>
      <c r="H2" s="41">
        <f>'總表'!J2</f>
        <v/>
      </c>
      <c r="I2" s="9">
        <f>'總表'!L2</f>
        <v/>
      </c>
      <c r="J2" s="41">
        <f>'總表'!R2</f>
        <v/>
      </c>
      <c r="K2" s="41">
        <f>'總表'!S2</f>
        <v/>
      </c>
      <c r="L2" s="9">
        <f>'總表'!W2</f>
        <v/>
      </c>
      <c r="M2" s="9">
        <f>'總表'!X2</f>
        <v/>
      </c>
      <c r="N2" s="11">
        <f>'總表'!AA2</f>
        <v/>
      </c>
      <c r="O2" s="11">
        <f>'總表'!AB2</f>
        <v/>
      </c>
      <c r="P2" s="5">
        <f>'總表'!AD2</f>
        <v/>
      </c>
      <c r="Q2" s="9">
        <f>'總表'!U2</f>
        <v/>
      </c>
      <c r="R2" s="5">
        <f>'總表'!AE2</f>
        <v/>
      </c>
      <c r="S2" s="5">
        <f>'總表'!AI2</f>
        <v/>
      </c>
      <c r="T2" s="5">
        <f>'總表'!AJ2</f>
        <v/>
      </c>
      <c r="U2" s="5">
        <f>'總表'!AK2</f>
        <v/>
      </c>
      <c r="V2" s="5">
        <f>'總表'!AL2</f>
        <v/>
      </c>
      <c r="W2" s="9">
        <f>'總表'!AQ2</f>
        <v/>
      </c>
      <c r="X2" s="9">
        <f>'總表'!AS2</f>
        <v/>
      </c>
      <c r="Y2" s="5">
        <f>'總表'!AT2</f>
        <v/>
      </c>
      <c r="Z2" s="11">
        <f>'總表'!AW2</f>
        <v/>
      </c>
      <c r="AA2" s="17">
        <f>'總表'!BE2</f>
        <v/>
      </c>
      <c r="AB2" s="17">
        <f>'總表'!BG2</f>
        <v/>
      </c>
      <c r="AC2" s="17">
        <f>'總表'!BH2</f>
        <v/>
      </c>
      <c r="AD2" s="17">
        <f>'總表'!BI2</f>
        <v/>
      </c>
      <c r="AE2" s="17">
        <f>'總表'!BJ2</f>
        <v/>
      </c>
      <c r="AF2" s="18">
        <f>'總表'!BK2</f>
        <v/>
      </c>
      <c r="AG2" s="5">
        <f>'總表'!B2</f>
        <v/>
      </c>
    </row>
    <row r="3">
      <c r="A3" s="5" t="n">
        <v>2</v>
      </c>
      <c r="B3" s="6" t="inlineStr">
        <is>
          <t>PPIH</t>
        </is>
      </c>
      <c r="C3" s="5">
        <f>'總表'!D3</f>
        <v/>
      </c>
      <c r="D3" s="5">
        <f>'總表'!F3</f>
        <v/>
      </c>
      <c r="E3" s="5">
        <f>'總表'!G3</f>
        <v/>
      </c>
      <c r="F3" s="5">
        <f>'總表'!I3</f>
        <v/>
      </c>
      <c r="G3" s="40">
        <f>'總表'!H3</f>
        <v/>
      </c>
      <c r="H3" s="41">
        <f>'總表'!J3</f>
        <v/>
      </c>
      <c r="I3" s="9">
        <f>'總表'!L3</f>
        <v/>
      </c>
      <c r="J3" s="41">
        <f>'總表'!R3</f>
        <v/>
      </c>
      <c r="K3" s="41">
        <f>'總表'!S3</f>
        <v/>
      </c>
      <c r="L3" s="9">
        <f>'總表'!W3</f>
        <v/>
      </c>
      <c r="M3" s="9">
        <f>'總表'!X3</f>
        <v/>
      </c>
      <c r="N3" s="11">
        <f>'總表'!AA3</f>
        <v/>
      </c>
      <c r="O3" s="11">
        <f>'總表'!AB3</f>
        <v/>
      </c>
      <c r="P3" s="5">
        <f>'總表'!AD3</f>
        <v/>
      </c>
      <c r="Q3" s="9">
        <f>'總表'!U3</f>
        <v/>
      </c>
      <c r="R3" s="5">
        <f>'總表'!AE3</f>
        <v/>
      </c>
      <c r="S3" s="5">
        <f>'總表'!AI3</f>
        <v/>
      </c>
      <c r="T3" s="5">
        <f>'總表'!AJ3</f>
        <v/>
      </c>
      <c r="U3" s="5">
        <f>'總表'!AK3</f>
        <v/>
      </c>
      <c r="V3" s="5">
        <f>'總表'!AL3</f>
        <v/>
      </c>
      <c r="W3" s="9">
        <f>'總表'!AQ3</f>
        <v/>
      </c>
      <c r="X3" s="9">
        <f>'總表'!AS3</f>
        <v/>
      </c>
      <c r="Y3" s="5">
        <f>'總表'!AT3</f>
        <v/>
      </c>
      <c r="Z3" s="11">
        <f>'總表'!AW3</f>
        <v/>
      </c>
      <c r="AA3" s="17">
        <f>'總表'!BE3</f>
        <v/>
      </c>
      <c r="AB3" s="17">
        <f>'總表'!BG3</f>
        <v/>
      </c>
      <c r="AC3" s="17">
        <f>'總表'!BH3</f>
        <v/>
      </c>
      <c r="AD3" s="17">
        <f>'總表'!BI3</f>
        <v/>
      </c>
      <c r="AE3" s="17">
        <f>'總表'!BJ3</f>
        <v/>
      </c>
      <c r="AF3" s="18">
        <f>'總表'!BK3</f>
        <v/>
      </c>
      <c r="AG3" s="5">
        <f>'總表'!B3</f>
        <v/>
      </c>
    </row>
    <row r="4">
      <c r="A4" s="5" t="n">
        <v>3</v>
      </c>
      <c r="B4" s="6" t="inlineStr">
        <is>
          <t>MG</t>
        </is>
      </c>
      <c r="C4" s="5">
        <f>'總表'!D4</f>
        <v/>
      </c>
      <c r="D4" s="5">
        <f>'總表'!F4</f>
        <v/>
      </c>
      <c r="E4" s="5">
        <f>'總表'!G4</f>
        <v/>
      </c>
      <c r="F4" s="5">
        <f>'總表'!I4</f>
        <v/>
      </c>
      <c r="G4" s="40">
        <f>'總表'!H4</f>
        <v/>
      </c>
      <c r="H4" s="41">
        <f>'總表'!J4</f>
        <v/>
      </c>
      <c r="I4" s="9">
        <f>'總表'!L4</f>
        <v/>
      </c>
      <c r="J4" s="41">
        <f>'總表'!R4</f>
        <v/>
      </c>
      <c r="K4" s="41">
        <f>'總表'!S4</f>
        <v/>
      </c>
      <c r="L4" s="9">
        <f>'總表'!W4</f>
        <v/>
      </c>
      <c r="M4" s="9">
        <f>'總表'!X4</f>
        <v/>
      </c>
      <c r="N4" s="11">
        <f>'總表'!AA4</f>
        <v/>
      </c>
      <c r="O4" s="11">
        <f>'總表'!AB4</f>
        <v/>
      </c>
      <c r="P4" s="5">
        <f>'總表'!AD4</f>
        <v/>
      </c>
      <c r="Q4" s="9">
        <f>'總表'!U4</f>
        <v/>
      </c>
      <c r="R4" s="5">
        <f>'總表'!AE4</f>
        <v/>
      </c>
      <c r="S4" s="5">
        <f>'總表'!AI4</f>
        <v/>
      </c>
      <c r="T4" s="5">
        <f>'總表'!AJ4</f>
        <v/>
      </c>
      <c r="U4" s="5">
        <f>'總表'!AK4</f>
        <v/>
      </c>
      <c r="V4" s="5">
        <f>'總表'!AL4</f>
        <v/>
      </c>
      <c r="W4" s="9">
        <f>'總表'!AQ4</f>
        <v/>
      </c>
      <c r="X4" s="9">
        <f>'總表'!AS4</f>
        <v/>
      </c>
      <c r="Y4" s="5">
        <f>'總表'!AT4</f>
        <v/>
      </c>
      <c r="Z4" s="11">
        <f>'總表'!AW4</f>
        <v/>
      </c>
      <c r="AA4" s="17">
        <f>'總表'!BE4</f>
        <v/>
      </c>
      <c r="AB4" s="17">
        <f>'總表'!BG4</f>
        <v/>
      </c>
      <c r="AC4" s="17">
        <f>'總表'!BH4</f>
        <v/>
      </c>
      <c r="AD4" s="17">
        <f>'總表'!BI4</f>
        <v/>
      </c>
      <c r="AE4" s="17">
        <f>'總表'!BJ4</f>
        <v/>
      </c>
      <c r="AF4" s="18">
        <f>'總表'!BK4</f>
        <v/>
      </c>
      <c r="AG4" s="5">
        <f>'總表'!B4</f>
        <v/>
      </c>
    </row>
    <row r="5">
      <c r="A5" s="5" t="n">
        <v>4</v>
      </c>
      <c r="B5" s="6" t="inlineStr">
        <is>
          <t>TTMI</t>
        </is>
      </c>
      <c r="C5" s="5">
        <f>'總表'!D6</f>
        <v/>
      </c>
      <c r="D5" s="5">
        <f>'總表'!F6</f>
        <v/>
      </c>
      <c r="E5" s="5">
        <f>'總表'!G6</f>
        <v/>
      </c>
      <c r="F5" s="5">
        <f>'總表'!I6</f>
        <v/>
      </c>
      <c r="G5" s="40">
        <f>'總表'!H6</f>
        <v/>
      </c>
      <c r="H5" s="41">
        <f>'總表'!J6</f>
        <v/>
      </c>
      <c r="I5" s="9">
        <f>'總表'!L6</f>
        <v/>
      </c>
      <c r="J5" s="41">
        <f>'總表'!R6</f>
        <v/>
      </c>
      <c r="K5" s="41">
        <f>'總表'!S6</f>
        <v/>
      </c>
      <c r="L5" s="9">
        <f>'總表'!W6</f>
        <v/>
      </c>
      <c r="M5" s="9">
        <f>'總表'!X6</f>
        <v/>
      </c>
      <c r="N5" s="11">
        <f>'總表'!AA6</f>
        <v/>
      </c>
      <c r="O5" s="11">
        <f>'總表'!AB6</f>
        <v/>
      </c>
      <c r="P5" s="5">
        <f>'總表'!AD6</f>
        <v/>
      </c>
      <c r="Q5" s="9">
        <f>'總表'!U6</f>
        <v/>
      </c>
      <c r="R5" s="5">
        <f>'總表'!AE6</f>
        <v/>
      </c>
      <c r="S5" s="5">
        <f>'總表'!AI6</f>
        <v/>
      </c>
      <c r="T5" s="5">
        <f>'總表'!AJ6</f>
        <v/>
      </c>
      <c r="U5" s="5">
        <f>'總表'!AK6</f>
        <v/>
      </c>
      <c r="V5" s="5">
        <f>'總表'!AL6</f>
        <v/>
      </c>
      <c r="W5" s="9">
        <f>'總表'!AQ6</f>
        <v/>
      </c>
      <c r="X5" s="9">
        <f>'總表'!AS6</f>
        <v/>
      </c>
      <c r="Y5" s="5">
        <f>'總表'!AT6</f>
        <v/>
      </c>
      <c r="Z5" s="11">
        <f>'總表'!AW6</f>
        <v/>
      </c>
      <c r="AA5" s="17">
        <f>'總表'!BE6</f>
        <v/>
      </c>
      <c r="AB5" s="17">
        <f>'總表'!BG6</f>
        <v/>
      </c>
      <c r="AC5" s="17">
        <f>'總表'!BH6</f>
        <v/>
      </c>
      <c r="AD5" s="17">
        <f>'總表'!BI6</f>
        <v/>
      </c>
      <c r="AE5" s="17">
        <f>'總表'!BJ6</f>
        <v/>
      </c>
      <c r="AF5" s="18">
        <f>'總表'!BK6</f>
        <v/>
      </c>
      <c r="AG5" s="5">
        <f>'總表'!B6</f>
        <v/>
      </c>
    </row>
    <row r="6">
      <c r="A6" s="5" t="n">
        <v>5</v>
      </c>
      <c r="B6" s="6" t="inlineStr">
        <is>
          <t>NVAX</t>
        </is>
      </c>
      <c r="C6" s="5">
        <f>'總表'!D7</f>
        <v/>
      </c>
      <c r="D6" s="5">
        <f>'總表'!F7</f>
        <v/>
      </c>
      <c r="E6" s="5">
        <f>'總表'!G7</f>
        <v/>
      </c>
      <c r="F6" s="5">
        <f>'總表'!I7</f>
        <v/>
      </c>
      <c r="G6" s="40">
        <f>'總表'!H7</f>
        <v/>
      </c>
      <c r="H6" s="41">
        <f>'總表'!J7</f>
        <v/>
      </c>
      <c r="I6" s="9">
        <f>'總表'!L7</f>
        <v/>
      </c>
      <c r="J6" s="41">
        <f>'總表'!R7</f>
        <v/>
      </c>
      <c r="K6" s="41">
        <f>'總表'!S7</f>
        <v/>
      </c>
      <c r="L6" s="9">
        <f>'總表'!W7</f>
        <v/>
      </c>
      <c r="M6" s="9">
        <f>'總表'!X7</f>
        <v/>
      </c>
      <c r="N6" s="11">
        <f>'總表'!AA7</f>
        <v/>
      </c>
      <c r="O6" s="11">
        <f>'總表'!AB7</f>
        <v/>
      </c>
      <c r="P6" s="5">
        <f>'總表'!AD7</f>
        <v/>
      </c>
      <c r="Q6" s="9">
        <f>'總表'!U7</f>
        <v/>
      </c>
      <c r="R6" s="5">
        <f>'總表'!AE7</f>
        <v/>
      </c>
      <c r="S6" s="5">
        <f>'總表'!AI7</f>
        <v/>
      </c>
      <c r="T6" s="5">
        <f>'總表'!AJ7</f>
        <v/>
      </c>
      <c r="U6" s="5">
        <f>'總表'!AK7</f>
        <v/>
      </c>
      <c r="V6" s="5">
        <f>'總表'!AL7</f>
        <v/>
      </c>
      <c r="W6" s="9">
        <f>'總表'!AQ7</f>
        <v/>
      </c>
      <c r="X6" s="9">
        <f>'總表'!AS7</f>
        <v/>
      </c>
      <c r="Y6" s="5">
        <f>'總表'!AT7</f>
        <v/>
      </c>
      <c r="Z6" s="11">
        <f>'總表'!AW7</f>
        <v/>
      </c>
      <c r="AA6" s="17">
        <f>'總表'!BE7</f>
        <v/>
      </c>
      <c r="AB6" s="17">
        <f>'總表'!BG7</f>
        <v/>
      </c>
      <c r="AC6" s="17">
        <f>'總表'!BH7</f>
        <v/>
      </c>
      <c r="AD6" s="17">
        <f>'總表'!BI7</f>
        <v/>
      </c>
      <c r="AE6" s="17">
        <f>'總表'!BJ7</f>
        <v/>
      </c>
      <c r="AF6" s="18">
        <f>'總表'!BK7</f>
        <v/>
      </c>
      <c r="AG6" s="5">
        <f>'總表'!B7</f>
        <v/>
      </c>
    </row>
    <row r="7">
      <c r="A7" s="5" t="n">
        <v>6</v>
      </c>
      <c r="B7" s="6" t="inlineStr">
        <is>
          <t>NET</t>
        </is>
      </c>
      <c r="C7" s="5">
        <f>'總表'!D9</f>
        <v/>
      </c>
      <c r="D7" s="5">
        <f>'總表'!F9</f>
        <v/>
      </c>
      <c r="E7" s="5">
        <f>'總表'!G9</f>
        <v/>
      </c>
      <c r="F7" s="5">
        <f>'總表'!I9</f>
        <v/>
      </c>
      <c r="G7" s="40">
        <f>'總表'!H9</f>
        <v/>
      </c>
      <c r="H7" s="41">
        <f>'總表'!J9</f>
        <v/>
      </c>
      <c r="I7" s="9">
        <f>'總表'!L9</f>
        <v/>
      </c>
      <c r="J7" s="41">
        <f>'總表'!R9</f>
        <v/>
      </c>
      <c r="K7" s="41">
        <f>'總表'!S9</f>
        <v/>
      </c>
      <c r="L7" s="9">
        <f>'總表'!W9</f>
        <v/>
      </c>
      <c r="M7" s="9">
        <f>'總表'!X9</f>
        <v/>
      </c>
      <c r="N7" s="11">
        <f>'總表'!AA9</f>
        <v/>
      </c>
      <c r="O7" s="11">
        <f>'總表'!AB9</f>
        <v/>
      </c>
      <c r="P7" s="5">
        <f>'總表'!AD9</f>
        <v/>
      </c>
      <c r="Q7" s="9">
        <f>'總表'!U9</f>
        <v/>
      </c>
      <c r="R7" s="5">
        <f>'總表'!AE9</f>
        <v/>
      </c>
      <c r="S7" s="5">
        <f>'總表'!AI9</f>
        <v/>
      </c>
      <c r="T7" s="5">
        <f>'總表'!AJ9</f>
        <v/>
      </c>
      <c r="U7" s="5">
        <f>'總表'!AK9</f>
        <v/>
      </c>
      <c r="V7" s="5">
        <f>'總表'!AL9</f>
        <v/>
      </c>
      <c r="W7" s="9">
        <f>'總表'!AQ9</f>
        <v/>
      </c>
      <c r="X7" s="9">
        <f>'總表'!AS9</f>
        <v/>
      </c>
      <c r="Y7" s="5">
        <f>'總表'!AT9</f>
        <v/>
      </c>
      <c r="Z7" s="11">
        <f>'總表'!AW9</f>
        <v/>
      </c>
      <c r="AA7" s="17">
        <f>'總表'!BE9</f>
        <v/>
      </c>
      <c r="AB7" s="17">
        <f>'總表'!BG9</f>
        <v/>
      </c>
      <c r="AC7" s="17">
        <f>'總表'!BH9</f>
        <v/>
      </c>
      <c r="AD7" s="17">
        <f>'總表'!BI9</f>
        <v/>
      </c>
      <c r="AE7" s="17">
        <f>'總表'!BJ9</f>
        <v/>
      </c>
      <c r="AF7" s="18">
        <f>'總表'!BK9</f>
        <v/>
      </c>
      <c r="AG7" s="5">
        <f>'總表'!B9</f>
        <v/>
      </c>
    </row>
    <row r="8">
      <c r="A8" s="5" t="n">
        <v>7</v>
      </c>
      <c r="B8" s="6" t="inlineStr">
        <is>
          <t>ACVA</t>
        </is>
      </c>
      <c r="C8" s="5">
        <f>'總表'!D11</f>
        <v/>
      </c>
      <c r="D8" s="5">
        <f>'總表'!F11</f>
        <v/>
      </c>
      <c r="E8" s="5">
        <f>'總表'!G11</f>
        <v/>
      </c>
      <c r="F8" s="5">
        <f>'總表'!I11</f>
        <v/>
      </c>
      <c r="G8" s="40">
        <f>'總表'!H11</f>
        <v/>
      </c>
      <c r="H8" s="41">
        <f>'總表'!J11</f>
        <v/>
      </c>
      <c r="I8" s="9">
        <f>'總表'!L11</f>
        <v/>
      </c>
      <c r="J8" s="41">
        <f>'總表'!R11</f>
        <v/>
      </c>
      <c r="K8" s="41">
        <f>'總表'!S11</f>
        <v/>
      </c>
      <c r="L8" s="9">
        <f>'總表'!W11</f>
        <v/>
      </c>
      <c r="M8" s="9">
        <f>'總表'!X11</f>
        <v/>
      </c>
      <c r="N8" s="11">
        <f>'總表'!AA11</f>
        <v/>
      </c>
      <c r="O8" s="11">
        <f>'總表'!AB11</f>
        <v/>
      </c>
      <c r="P8" s="5">
        <f>'總表'!AD11</f>
        <v/>
      </c>
      <c r="Q8" s="9">
        <f>'總表'!U11</f>
        <v/>
      </c>
      <c r="R8" s="5">
        <f>'總表'!AE11</f>
        <v/>
      </c>
      <c r="S8" s="5">
        <f>'總表'!AI11</f>
        <v/>
      </c>
      <c r="T8" s="5">
        <f>'總表'!AJ11</f>
        <v/>
      </c>
      <c r="U8" s="5">
        <f>'總表'!AK11</f>
        <v/>
      </c>
      <c r="V8" s="5">
        <f>'總表'!AL11</f>
        <v/>
      </c>
      <c r="W8" s="9">
        <f>'總表'!AQ11</f>
        <v/>
      </c>
      <c r="X8" s="9">
        <f>'總表'!AS11</f>
        <v/>
      </c>
      <c r="Y8" s="5">
        <f>'總表'!AT11</f>
        <v/>
      </c>
      <c r="Z8" s="11">
        <f>'總表'!AW11</f>
        <v/>
      </c>
      <c r="AA8" s="17">
        <f>'總表'!BE11</f>
        <v/>
      </c>
      <c r="AB8" s="17">
        <f>'總表'!BG11</f>
        <v/>
      </c>
      <c r="AC8" s="17">
        <f>'總表'!BH11</f>
        <v/>
      </c>
      <c r="AD8" s="17">
        <f>'總表'!BI11</f>
        <v/>
      </c>
      <c r="AE8" s="17">
        <f>'總表'!BJ11</f>
        <v/>
      </c>
      <c r="AF8" s="18">
        <f>'總表'!BK11</f>
        <v/>
      </c>
      <c r="AG8" s="5">
        <f>'總表'!B11</f>
        <v/>
      </c>
    </row>
    <row r="9">
      <c r="A9" s="5" t="n">
        <v>8</v>
      </c>
      <c r="B9" s="6" t="inlineStr">
        <is>
          <t>LTC</t>
        </is>
      </c>
      <c r="C9" s="5">
        <f>'總表'!D12</f>
        <v/>
      </c>
      <c r="D9" s="5">
        <f>'總表'!F12</f>
        <v/>
      </c>
      <c r="E9" s="5">
        <f>'總表'!G12</f>
        <v/>
      </c>
      <c r="F9" s="5">
        <f>'總表'!I12</f>
        <v/>
      </c>
      <c r="G9" s="40">
        <f>'總表'!H12</f>
        <v/>
      </c>
      <c r="H9" s="41">
        <f>'總表'!J12</f>
        <v/>
      </c>
      <c r="I9" s="9">
        <f>'總表'!L12</f>
        <v/>
      </c>
      <c r="J9" s="41">
        <f>'總表'!R12</f>
        <v/>
      </c>
      <c r="K9" s="41">
        <f>'總表'!S12</f>
        <v/>
      </c>
      <c r="L9" s="9">
        <f>'總表'!W12</f>
        <v/>
      </c>
      <c r="M9" s="9">
        <f>'總表'!X12</f>
        <v/>
      </c>
      <c r="N9" s="11">
        <f>'總表'!AA12</f>
        <v/>
      </c>
      <c r="O9" s="11">
        <f>'總表'!AB12</f>
        <v/>
      </c>
      <c r="P9" s="5">
        <f>'總表'!AD12</f>
        <v/>
      </c>
      <c r="Q9" s="9">
        <f>'總表'!U12</f>
        <v/>
      </c>
      <c r="R9" s="5">
        <f>'總表'!AE12</f>
        <v/>
      </c>
      <c r="S9" s="5">
        <f>'總表'!AI12</f>
        <v/>
      </c>
      <c r="T9" s="5">
        <f>'總表'!AJ12</f>
        <v/>
      </c>
      <c r="U9" s="5">
        <f>'總表'!AK12</f>
        <v/>
      </c>
      <c r="V9" s="5">
        <f>'總表'!AL12</f>
        <v/>
      </c>
      <c r="W9" s="9">
        <f>'總表'!AQ12</f>
        <v/>
      </c>
      <c r="X9" s="9">
        <f>'總表'!AS12</f>
        <v/>
      </c>
      <c r="Y9" s="5">
        <f>'總表'!AT12</f>
        <v/>
      </c>
      <c r="Z9" s="11">
        <f>'總表'!AW12</f>
        <v/>
      </c>
      <c r="AA9" s="17">
        <f>'總表'!BE12</f>
        <v/>
      </c>
      <c r="AB9" s="17">
        <f>'總表'!BG12</f>
        <v/>
      </c>
      <c r="AC9" s="17">
        <f>'總表'!BH12</f>
        <v/>
      </c>
      <c r="AD9" s="17">
        <f>'總表'!BI12</f>
        <v/>
      </c>
      <c r="AE9" s="17">
        <f>'總表'!BJ12</f>
        <v/>
      </c>
      <c r="AF9" s="18">
        <f>'總表'!BK12</f>
        <v/>
      </c>
      <c r="AG9" s="5">
        <f>'總表'!B12</f>
        <v/>
      </c>
    </row>
    <row r="10">
      <c r="A10" s="5" t="n">
        <v>9</v>
      </c>
      <c r="B10" s="6" t="inlineStr">
        <is>
          <t>PANW</t>
        </is>
      </c>
      <c r="C10" s="5">
        <f>'總表'!D13</f>
        <v/>
      </c>
      <c r="D10" s="5">
        <f>'總表'!F13</f>
        <v/>
      </c>
      <c r="E10" s="5">
        <f>'總表'!G13</f>
        <v/>
      </c>
      <c r="F10" s="5">
        <f>'總表'!I13</f>
        <v/>
      </c>
      <c r="G10" s="40">
        <f>'總表'!H13</f>
        <v/>
      </c>
      <c r="H10" s="41">
        <f>'總表'!J13</f>
        <v/>
      </c>
      <c r="I10" s="9">
        <f>'總表'!L13</f>
        <v/>
      </c>
      <c r="J10" s="41">
        <f>'總表'!R13</f>
        <v/>
      </c>
      <c r="K10" s="41">
        <f>'總表'!S13</f>
        <v/>
      </c>
      <c r="L10" s="9">
        <f>'總表'!W13</f>
        <v/>
      </c>
      <c r="M10" s="9">
        <f>'總表'!X13</f>
        <v/>
      </c>
      <c r="N10" s="11">
        <f>'總表'!AA13</f>
        <v/>
      </c>
      <c r="O10" s="11">
        <f>'總表'!AB13</f>
        <v/>
      </c>
      <c r="P10" s="5">
        <f>'總表'!AD13</f>
        <v/>
      </c>
      <c r="Q10" s="9">
        <f>'總表'!U13</f>
        <v/>
      </c>
      <c r="R10" s="5">
        <f>'總表'!AE13</f>
        <v/>
      </c>
      <c r="S10" s="5">
        <f>'總表'!AI13</f>
        <v/>
      </c>
      <c r="T10" s="5">
        <f>'總表'!AJ13</f>
        <v/>
      </c>
      <c r="U10" s="5">
        <f>'總表'!AK13</f>
        <v/>
      </c>
      <c r="V10" s="5">
        <f>'總表'!AL13</f>
        <v/>
      </c>
      <c r="W10" s="9">
        <f>'總表'!AQ13</f>
        <v/>
      </c>
      <c r="X10" s="9">
        <f>'總表'!AS13</f>
        <v/>
      </c>
      <c r="Y10" s="5">
        <f>'總表'!AT13</f>
        <v/>
      </c>
      <c r="Z10" s="11">
        <f>'總表'!AW13</f>
        <v/>
      </c>
      <c r="AA10" s="17">
        <f>'總表'!BE13</f>
        <v/>
      </c>
      <c r="AB10" s="17">
        <f>'總表'!BG13</f>
        <v/>
      </c>
      <c r="AC10" s="17">
        <f>'總表'!BH13</f>
        <v/>
      </c>
      <c r="AD10" s="17">
        <f>'總表'!BI13</f>
        <v/>
      </c>
      <c r="AE10" s="17">
        <f>'總表'!BJ13</f>
        <v/>
      </c>
      <c r="AF10" s="18">
        <f>'總表'!BK13</f>
        <v/>
      </c>
      <c r="AG10" s="5">
        <f>'總表'!B13</f>
        <v/>
      </c>
    </row>
    <row r="11">
      <c r="A11" s="5" t="n">
        <v>10</v>
      </c>
      <c r="B11" s="6" t="inlineStr">
        <is>
          <t>PENG</t>
        </is>
      </c>
      <c r="C11" s="5">
        <f>'總表'!D14</f>
        <v/>
      </c>
      <c r="D11" s="5">
        <f>'總表'!F14</f>
        <v/>
      </c>
      <c r="E11" s="5">
        <f>'總表'!G14</f>
        <v/>
      </c>
      <c r="F11" s="5">
        <f>'總表'!I14</f>
        <v/>
      </c>
      <c r="G11" s="40">
        <f>'總表'!H14</f>
        <v/>
      </c>
      <c r="H11" s="41">
        <f>'總表'!J14</f>
        <v/>
      </c>
      <c r="I11" s="9">
        <f>'總表'!L14</f>
        <v/>
      </c>
      <c r="J11" s="41">
        <f>'總表'!R14</f>
        <v/>
      </c>
      <c r="K11" s="41">
        <f>'總表'!S14</f>
        <v/>
      </c>
      <c r="L11" s="9">
        <f>'總表'!W14</f>
        <v/>
      </c>
      <c r="M11" s="9">
        <f>'總表'!X14</f>
        <v/>
      </c>
      <c r="N11" s="11">
        <f>'總表'!AA14</f>
        <v/>
      </c>
      <c r="O11" s="11">
        <f>'總表'!AB14</f>
        <v/>
      </c>
      <c r="P11" s="5">
        <f>'總表'!AD14</f>
        <v/>
      </c>
      <c r="Q11" s="9">
        <f>'總表'!U14</f>
        <v/>
      </c>
      <c r="R11" s="5">
        <f>'總表'!AE14</f>
        <v/>
      </c>
      <c r="S11" s="5">
        <f>'總表'!AI14</f>
        <v/>
      </c>
      <c r="T11" s="5">
        <f>'總表'!AJ14</f>
        <v/>
      </c>
      <c r="U11" s="5">
        <f>'總表'!AK14</f>
        <v/>
      </c>
      <c r="V11" s="5">
        <f>'總表'!AL14</f>
        <v/>
      </c>
      <c r="W11" s="9">
        <f>'總表'!AQ14</f>
        <v/>
      </c>
      <c r="X11" s="9">
        <f>'總表'!AS14</f>
        <v/>
      </c>
      <c r="Y11" s="5">
        <f>'總表'!AT14</f>
        <v/>
      </c>
      <c r="Z11" s="11">
        <f>'總表'!AW14</f>
        <v/>
      </c>
      <c r="AA11" s="17">
        <f>'總表'!BE14</f>
        <v/>
      </c>
      <c r="AB11" s="17">
        <f>'總表'!BG14</f>
        <v/>
      </c>
      <c r="AC11" s="17">
        <f>'總表'!BH14</f>
        <v/>
      </c>
      <c r="AD11" s="17">
        <f>'總表'!BI14</f>
        <v/>
      </c>
      <c r="AE11" s="17">
        <f>'總表'!BJ14</f>
        <v/>
      </c>
      <c r="AF11" s="18">
        <f>'總表'!BK14</f>
        <v/>
      </c>
      <c r="AG11" s="5">
        <f>'總表'!B14</f>
        <v/>
      </c>
    </row>
    <row r="12">
      <c r="A12" s="5" t="n">
        <v>11</v>
      </c>
      <c r="B12" s="6" t="inlineStr">
        <is>
          <t>DT</t>
        </is>
      </c>
      <c r="C12" s="5">
        <f>'總表'!D15</f>
        <v/>
      </c>
      <c r="D12" s="5">
        <f>'總表'!F15</f>
        <v/>
      </c>
      <c r="E12" s="5">
        <f>'總表'!G15</f>
        <v/>
      </c>
      <c r="F12" s="5">
        <f>'總表'!I15</f>
        <v/>
      </c>
      <c r="G12" s="40">
        <f>'總表'!H15</f>
        <v/>
      </c>
      <c r="H12" s="41">
        <f>'總表'!J15</f>
        <v/>
      </c>
      <c r="I12" s="9">
        <f>'總表'!L15</f>
        <v/>
      </c>
      <c r="J12" s="41">
        <f>'總表'!R15</f>
        <v/>
      </c>
      <c r="K12" s="41">
        <f>'總表'!S15</f>
        <v/>
      </c>
      <c r="L12" s="9">
        <f>'總表'!W15</f>
        <v/>
      </c>
      <c r="M12" s="9">
        <f>'總表'!X15</f>
        <v/>
      </c>
      <c r="N12" s="11">
        <f>'總表'!AA15</f>
        <v/>
      </c>
      <c r="O12" s="11">
        <f>'總表'!AB15</f>
        <v/>
      </c>
      <c r="P12" s="5">
        <f>'總表'!AD15</f>
        <v/>
      </c>
      <c r="Q12" s="9">
        <f>'總表'!U15</f>
        <v/>
      </c>
      <c r="R12" s="5">
        <f>'總表'!AE15</f>
        <v/>
      </c>
      <c r="S12" s="5">
        <f>'總表'!AI15</f>
        <v/>
      </c>
      <c r="T12" s="5">
        <f>'總表'!AJ15</f>
        <v/>
      </c>
      <c r="U12" s="5">
        <f>'總表'!AK15</f>
        <v/>
      </c>
      <c r="V12" s="5">
        <f>'總表'!AL15</f>
        <v/>
      </c>
      <c r="W12" s="9">
        <f>'總表'!AQ15</f>
        <v/>
      </c>
      <c r="X12" s="9">
        <f>'總表'!AS15</f>
        <v/>
      </c>
      <c r="Y12" s="5">
        <f>'總表'!AT15</f>
        <v/>
      </c>
      <c r="Z12" s="11">
        <f>'總表'!AW15</f>
        <v/>
      </c>
      <c r="AA12" s="17">
        <f>'總表'!BE15</f>
        <v/>
      </c>
      <c r="AB12" s="17">
        <f>'總表'!BG15</f>
        <v/>
      </c>
      <c r="AC12" s="17">
        <f>'總表'!BH15</f>
        <v/>
      </c>
      <c r="AD12" s="17">
        <f>'總表'!BI15</f>
        <v/>
      </c>
      <c r="AE12" s="17">
        <f>'總表'!BJ15</f>
        <v/>
      </c>
      <c r="AF12" s="18">
        <f>'總表'!BK15</f>
        <v/>
      </c>
      <c r="AG12" s="5">
        <f>'總表'!B15</f>
        <v/>
      </c>
    </row>
    <row r="13">
      <c r="A13" s="5" t="n">
        <v>12</v>
      </c>
      <c r="B13" s="6" t="inlineStr">
        <is>
          <t>NUTX</t>
        </is>
      </c>
      <c r="C13" s="5">
        <f>'總表'!D16</f>
        <v/>
      </c>
      <c r="D13" s="5">
        <f>'總表'!F16</f>
        <v/>
      </c>
      <c r="E13" s="5">
        <f>'總表'!G16</f>
        <v/>
      </c>
      <c r="F13" s="5">
        <f>'總表'!I16</f>
        <v/>
      </c>
      <c r="G13" s="40">
        <f>'總表'!H16</f>
        <v/>
      </c>
      <c r="H13" s="41">
        <f>'總表'!J16</f>
        <v/>
      </c>
      <c r="I13" s="9">
        <f>'總表'!L16</f>
        <v/>
      </c>
      <c r="J13" s="41">
        <f>'總表'!R16</f>
        <v/>
      </c>
      <c r="K13" s="41">
        <f>'總表'!S16</f>
        <v/>
      </c>
      <c r="L13" s="9">
        <f>'總表'!W16</f>
        <v/>
      </c>
      <c r="M13" s="9">
        <f>'總表'!X16</f>
        <v/>
      </c>
      <c r="N13" s="11">
        <f>'總表'!AA16</f>
        <v/>
      </c>
      <c r="O13" s="11">
        <f>'總表'!AB16</f>
        <v/>
      </c>
      <c r="P13" s="5">
        <f>'總表'!AD16</f>
        <v/>
      </c>
      <c r="Q13" s="9">
        <f>'總表'!U16</f>
        <v/>
      </c>
      <c r="R13" s="5">
        <f>'總表'!AE16</f>
        <v/>
      </c>
      <c r="S13" s="5">
        <f>'總表'!AI16</f>
        <v/>
      </c>
      <c r="T13" s="5">
        <f>'總表'!AJ16</f>
        <v/>
      </c>
      <c r="U13" s="5">
        <f>'總表'!AK16</f>
        <v/>
      </c>
      <c r="V13" s="5">
        <f>'總表'!AL16</f>
        <v/>
      </c>
      <c r="W13" s="9">
        <f>'總表'!AQ16</f>
        <v/>
      </c>
      <c r="X13" s="9">
        <f>'總表'!AS16</f>
        <v/>
      </c>
      <c r="Y13" s="5">
        <f>'總表'!AT16</f>
        <v/>
      </c>
      <c r="Z13" s="11">
        <f>'總表'!AW16</f>
        <v/>
      </c>
      <c r="AA13" s="17">
        <f>'總表'!BE16</f>
        <v/>
      </c>
      <c r="AB13" s="17">
        <f>'總表'!BG16</f>
        <v/>
      </c>
      <c r="AC13" s="17">
        <f>'總表'!BH16</f>
        <v/>
      </c>
      <c r="AD13" s="17">
        <f>'總表'!BI16</f>
        <v/>
      </c>
      <c r="AE13" s="17">
        <f>'總表'!BJ16</f>
        <v/>
      </c>
      <c r="AF13" s="18">
        <f>'總表'!BK16</f>
        <v/>
      </c>
      <c r="AG13" s="5">
        <f>'總表'!B16</f>
        <v/>
      </c>
    </row>
    <row r="14">
      <c r="A14" s="5" t="n">
        <v>13</v>
      </c>
      <c r="B14" s="6" t="inlineStr">
        <is>
          <t>DDD</t>
        </is>
      </c>
      <c r="C14" s="5">
        <f>'總表'!D17</f>
        <v/>
      </c>
      <c r="D14" s="5">
        <f>'總表'!F17</f>
        <v/>
      </c>
      <c r="E14" s="5">
        <f>'總表'!G17</f>
        <v/>
      </c>
      <c r="F14" s="5">
        <f>'總表'!I17</f>
        <v/>
      </c>
      <c r="G14" s="40">
        <f>'總表'!H17</f>
        <v/>
      </c>
      <c r="H14" s="41">
        <f>'總表'!J17</f>
        <v/>
      </c>
      <c r="I14" s="9">
        <f>'總表'!L17</f>
        <v/>
      </c>
      <c r="J14" s="41">
        <f>'總表'!R17</f>
        <v/>
      </c>
      <c r="K14" s="41">
        <f>'總表'!S17</f>
        <v/>
      </c>
      <c r="L14" s="9">
        <f>'總表'!W17</f>
        <v/>
      </c>
      <c r="M14" s="9">
        <f>'總表'!X17</f>
        <v/>
      </c>
      <c r="N14" s="11">
        <f>'總表'!AA17</f>
        <v/>
      </c>
      <c r="O14" s="11">
        <f>'總表'!AB17</f>
        <v/>
      </c>
      <c r="P14" s="5">
        <f>'總表'!AD17</f>
        <v/>
      </c>
      <c r="Q14" s="9">
        <f>'總表'!U17</f>
        <v/>
      </c>
      <c r="R14" s="5">
        <f>'總表'!AE17</f>
        <v/>
      </c>
      <c r="S14" s="5">
        <f>'總表'!AI17</f>
        <v/>
      </c>
      <c r="T14" s="5">
        <f>'總表'!AJ17</f>
        <v/>
      </c>
      <c r="U14" s="5">
        <f>'總表'!AK17</f>
        <v/>
      </c>
      <c r="V14" s="5">
        <f>'總表'!AL17</f>
        <v/>
      </c>
      <c r="W14" s="9">
        <f>'總表'!AQ17</f>
        <v/>
      </c>
      <c r="X14" s="9">
        <f>'總表'!AS17</f>
        <v/>
      </c>
      <c r="Y14" s="5">
        <f>'總表'!AT17</f>
        <v/>
      </c>
      <c r="Z14" s="11">
        <f>'總表'!AW17</f>
        <v/>
      </c>
      <c r="AA14" s="17">
        <f>'總表'!BE17</f>
        <v/>
      </c>
      <c r="AB14" s="17">
        <f>'總表'!BG17</f>
        <v/>
      </c>
      <c r="AC14" s="17">
        <f>'總表'!BH17</f>
        <v/>
      </c>
      <c r="AD14" s="17">
        <f>'總表'!BI17</f>
        <v/>
      </c>
      <c r="AE14" s="17">
        <f>'總表'!BJ17</f>
        <v/>
      </c>
      <c r="AF14" s="18">
        <f>'總表'!BK17</f>
        <v/>
      </c>
      <c r="AG14" s="5">
        <f>'總表'!B17</f>
        <v/>
      </c>
    </row>
    <row r="15">
      <c r="A15" s="5" t="n">
        <v>14</v>
      </c>
      <c r="B15" s="6" t="inlineStr">
        <is>
          <t>MTW</t>
        </is>
      </c>
      <c r="C15" s="5">
        <f>'總表'!D18</f>
        <v/>
      </c>
      <c r="D15" s="5">
        <f>'總表'!F18</f>
        <v/>
      </c>
      <c r="E15" s="5">
        <f>'總表'!G18</f>
        <v/>
      </c>
      <c r="F15" s="5">
        <f>'總表'!I18</f>
        <v/>
      </c>
      <c r="G15" s="40">
        <f>'總表'!H18</f>
        <v/>
      </c>
      <c r="H15" s="41">
        <f>'總表'!J18</f>
        <v/>
      </c>
      <c r="I15" s="9">
        <f>'總表'!L18</f>
        <v/>
      </c>
      <c r="J15" s="41">
        <f>'總表'!R18</f>
        <v/>
      </c>
      <c r="K15" s="41">
        <f>'總表'!S18</f>
        <v/>
      </c>
      <c r="L15" s="9">
        <f>'總表'!W18</f>
        <v/>
      </c>
      <c r="M15" s="9">
        <f>'總表'!X18</f>
        <v/>
      </c>
      <c r="N15" s="11">
        <f>'總表'!AA18</f>
        <v/>
      </c>
      <c r="O15" s="11">
        <f>'總表'!AB18</f>
        <v/>
      </c>
      <c r="P15" s="5">
        <f>'總表'!AD18</f>
        <v/>
      </c>
      <c r="Q15" s="9">
        <f>'總表'!U18</f>
        <v/>
      </c>
      <c r="R15" s="5">
        <f>'總表'!AE18</f>
        <v/>
      </c>
      <c r="S15" s="5">
        <f>'總表'!AI18</f>
        <v/>
      </c>
      <c r="T15" s="5">
        <f>'總表'!AJ18</f>
        <v/>
      </c>
      <c r="U15" s="5">
        <f>'總表'!AK18</f>
        <v/>
      </c>
      <c r="V15" s="5">
        <f>'總表'!AL18</f>
        <v/>
      </c>
      <c r="W15" s="9">
        <f>'總表'!AQ18</f>
        <v/>
      </c>
      <c r="X15" s="9">
        <f>'總表'!AS18</f>
        <v/>
      </c>
      <c r="Y15" s="5">
        <f>'總表'!AT18</f>
        <v/>
      </c>
      <c r="Z15" s="11">
        <f>'總表'!AW18</f>
        <v/>
      </c>
      <c r="AA15" s="17">
        <f>'總表'!BE18</f>
        <v/>
      </c>
      <c r="AB15" s="17">
        <f>'總表'!BG18</f>
        <v/>
      </c>
      <c r="AC15" s="17">
        <f>'總表'!BH18</f>
        <v/>
      </c>
      <c r="AD15" s="17">
        <f>'總表'!BI18</f>
        <v/>
      </c>
      <c r="AE15" s="17">
        <f>'總表'!BJ18</f>
        <v/>
      </c>
      <c r="AF15" s="18">
        <f>'總表'!BK18</f>
        <v/>
      </c>
      <c r="AG15" s="5">
        <f>'總表'!B18</f>
        <v/>
      </c>
    </row>
    <row r="16">
      <c r="A16" s="5" t="n">
        <v>15</v>
      </c>
      <c r="B16" s="6" t="inlineStr">
        <is>
          <t>ISRG</t>
        </is>
      </c>
      <c r="C16" s="5">
        <f>'總表'!D19</f>
        <v/>
      </c>
      <c r="D16" s="5">
        <f>'總表'!F19</f>
        <v/>
      </c>
      <c r="E16" s="5">
        <f>'總表'!G19</f>
        <v/>
      </c>
      <c r="F16" s="5">
        <f>'總表'!I19</f>
        <v/>
      </c>
      <c r="G16" s="40">
        <f>'總表'!H19</f>
        <v/>
      </c>
      <c r="H16" s="41">
        <f>'總表'!J19</f>
        <v/>
      </c>
      <c r="I16" s="9">
        <f>'總表'!L19</f>
        <v/>
      </c>
      <c r="J16" s="41">
        <f>'總表'!R19</f>
        <v/>
      </c>
      <c r="K16" s="41">
        <f>'總表'!S19</f>
        <v/>
      </c>
      <c r="L16" s="9">
        <f>'總表'!W19</f>
        <v/>
      </c>
      <c r="M16" s="9">
        <f>'總表'!X19</f>
        <v/>
      </c>
      <c r="N16" s="11">
        <f>'總表'!AA19</f>
        <v/>
      </c>
      <c r="O16" s="11">
        <f>'總表'!AB19</f>
        <v/>
      </c>
      <c r="P16" s="5">
        <f>'總表'!AD19</f>
        <v/>
      </c>
      <c r="Q16" s="9">
        <f>'總表'!U19</f>
        <v/>
      </c>
      <c r="R16" s="5">
        <f>'總表'!AE19</f>
        <v/>
      </c>
      <c r="S16" s="5">
        <f>'總表'!AI19</f>
        <v/>
      </c>
      <c r="T16" s="5">
        <f>'總表'!AJ19</f>
        <v/>
      </c>
      <c r="U16" s="5">
        <f>'總表'!AK19</f>
        <v/>
      </c>
      <c r="V16" s="5">
        <f>'總表'!AL19</f>
        <v/>
      </c>
      <c r="W16" s="9">
        <f>'總表'!AQ19</f>
        <v/>
      </c>
      <c r="X16" s="9">
        <f>'總表'!AS19</f>
        <v/>
      </c>
      <c r="Y16" s="5">
        <f>'總表'!AT19</f>
        <v/>
      </c>
      <c r="Z16" s="11">
        <f>'總表'!AW19</f>
        <v/>
      </c>
      <c r="AA16" s="17">
        <f>'總表'!BE19</f>
        <v/>
      </c>
      <c r="AB16" s="17">
        <f>'總表'!BG19</f>
        <v/>
      </c>
      <c r="AC16" s="17">
        <f>'總表'!BH19</f>
        <v/>
      </c>
      <c r="AD16" s="17">
        <f>'總表'!BI19</f>
        <v/>
      </c>
      <c r="AE16" s="17">
        <f>'總表'!BJ19</f>
        <v/>
      </c>
      <c r="AF16" s="18">
        <f>'總表'!BK19</f>
        <v/>
      </c>
      <c r="AG16" s="5">
        <f>'總表'!B19</f>
        <v/>
      </c>
    </row>
    <row r="17">
      <c r="A17" s="5" t="n">
        <v>16</v>
      </c>
      <c r="B17" s="6" t="inlineStr">
        <is>
          <t>FTNT</t>
        </is>
      </c>
      <c r="C17" s="5">
        <f>'總表'!D21</f>
        <v/>
      </c>
      <c r="D17" s="5">
        <f>'總表'!F21</f>
        <v/>
      </c>
      <c r="E17" s="5">
        <f>'總表'!G21</f>
        <v/>
      </c>
      <c r="F17" s="5">
        <f>'總表'!I21</f>
        <v/>
      </c>
      <c r="G17" s="40">
        <f>'總表'!H21</f>
        <v/>
      </c>
      <c r="H17" s="41">
        <f>'總表'!J21</f>
        <v/>
      </c>
      <c r="I17" s="9">
        <f>'總表'!L21</f>
        <v/>
      </c>
      <c r="J17" s="41">
        <f>'總表'!R21</f>
        <v/>
      </c>
      <c r="K17" s="41">
        <f>'總表'!S21</f>
        <v/>
      </c>
      <c r="L17" s="9">
        <f>'總表'!W21</f>
        <v/>
      </c>
      <c r="M17" s="9">
        <f>'總表'!X21</f>
        <v/>
      </c>
      <c r="N17" s="11">
        <f>'總表'!AA21</f>
        <v/>
      </c>
      <c r="O17" s="11">
        <f>'總表'!AB21</f>
        <v/>
      </c>
      <c r="P17" s="5">
        <f>'總表'!AD21</f>
        <v/>
      </c>
      <c r="Q17" s="9">
        <f>'總表'!U21</f>
        <v/>
      </c>
      <c r="R17" s="5">
        <f>'總表'!AE21</f>
        <v/>
      </c>
      <c r="S17" s="5">
        <f>'總表'!AI21</f>
        <v/>
      </c>
      <c r="T17" s="5">
        <f>'總表'!AJ21</f>
        <v/>
      </c>
      <c r="U17" s="5">
        <f>'總表'!AK21</f>
        <v/>
      </c>
      <c r="V17" s="5">
        <f>'總表'!AL21</f>
        <v/>
      </c>
      <c r="W17" s="9">
        <f>'總表'!AQ21</f>
        <v/>
      </c>
      <c r="X17" s="9">
        <f>'總表'!AS21</f>
        <v/>
      </c>
      <c r="Y17" s="5">
        <f>'總表'!AT21</f>
        <v/>
      </c>
      <c r="Z17" s="11">
        <f>'總表'!AW21</f>
        <v/>
      </c>
      <c r="AA17" s="17">
        <f>'總表'!BE21</f>
        <v/>
      </c>
      <c r="AB17" s="17">
        <f>'總表'!BG21</f>
        <v/>
      </c>
      <c r="AC17" s="17">
        <f>'總表'!BH21</f>
        <v/>
      </c>
      <c r="AD17" s="17">
        <f>'總表'!BI21</f>
        <v/>
      </c>
      <c r="AE17" s="17">
        <f>'總表'!BJ21</f>
        <v/>
      </c>
      <c r="AF17" s="18">
        <f>'總表'!BK21</f>
        <v/>
      </c>
      <c r="AG17" s="5">
        <f>'總表'!B21</f>
        <v/>
      </c>
    </row>
    <row r="18">
      <c r="A18" s="5" t="n">
        <v>17</v>
      </c>
      <c r="B18" s="6" t="inlineStr">
        <is>
          <t>AVT</t>
        </is>
      </c>
      <c r="C18" s="5">
        <f>'總表'!D22</f>
        <v/>
      </c>
      <c r="D18" s="5">
        <f>'總表'!F22</f>
        <v/>
      </c>
      <c r="E18" s="5">
        <f>'總表'!G22</f>
        <v/>
      </c>
      <c r="F18" s="5">
        <f>'總表'!I22</f>
        <v/>
      </c>
      <c r="G18" s="40">
        <f>'總表'!H22</f>
        <v/>
      </c>
      <c r="H18" s="41">
        <f>'總表'!J22</f>
        <v/>
      </c>
      <c r="I18" s="9">
        <f>'總表'!L22</f>
        <v/>
      </c>
      <c r="J18" s="41">
        <f>'總表'!R22</f>
        <v/>
      </c>
      <c r="K18" s="41">
        <f>'總表'!S22</f>
        <v/>
      </c>
      <c r="L18" s="9">
        <f>'總表'!W22</f>
        <v/>
      </c>
      <c r="M18" s="9">
        <f>'總表'!X22</f>
        <v/>
      </c>
      <c r="N18" s="11">
        <f>'總表'!AA22</f>
        <v/>
      </c>
      <c r="O18" s="11">
        <f>'總表'!AB22</f>
        <v/>
      </c>
      <c r="P18" s="5">
        <f>'總表'!AD22</f>
        <v/>
      </c>
      <c r="Q18" s="9">
        <f>'總表'!U22</f>
        <v/>
      </c>
      <c r="R18" s="5">
        <f>'總表'!AE22</f>
        <v/>
      </c>
      <c r="S18" s="5">
        <f>'總表'!AI22</f>
        <v/>
      </c>
      <c r="T18" s="5">
        <f>'總表'!AJ22</f>
        <v/>
      </c>
      <c r="U18" s="5">
        <f>'總表'!AK22</f>
        <v/>
      </c>
      <c r="V18" s="5">
        <f>'總表'!AL22</f>
        <v/>
      </c>
      <c r="W18" s="9">
        <f>'總表'!AQ22</f>
        <v/>
      </c>
      <c r="X18" s="9">
        <f>'總表'!AS22</f>
        <v/>
      </c>
      <c r="Y18" s="5">
        <f>'總表'!AT22</f>
        <v/>
      </c>
      <c r="Z18" s="11">
        <f>'總表'!AW22</f>
        <v/>
      </c>
      <c r="AA18" s="17">
        <f>'總表'!BE22</f>
        <v/>
      </c>
      <c r="AB18" s="17">
        <f>'總表'!BG22</f>
        <v/>
      </c>
      <c r="AC18" s="17">
        <f>'總表'!BH22</f>
        <v/>
      </c>
      <c r="AD18" s="17">
        <f>'總表'!BI22</f>
        <v/>
      </c>
      <c r="AE18" s="17">
        <f>'總表'!BJ22</f>
        <v/>
      </c>
      <c r="AF18" s="18">
        <f>'總表'!BK22</f>
        <v/>
      </c>
      <c r="AG18" s="5">
        <f>'總表'!B22</f>
        <v/>
      </c>
    </row>
    <row r="19">
      <c r="A19" s="5" t="n">
        <v>18</v>
      </c>
      <c r="B19" s="6" t="inlineStr">
        <is>
          <t>CVLT</t>
        </is>
      </c>
      <c r="C19" s="5">
        <f>'總表'!D24</f>
        <v/>
      </c>
      <c r="D19" s="5">
        <f>'總表'!F24</f>
        <v/>
      </c>
      <c r="E19" s="5">
        <f>'總表'!G24</f>
        <v/>
      </c>
      <c r="F19" s="5">
        <f>'總表'!I24</f>
        <v/>
      </c>
      <c r="G19" s="40">
        <f>'總表'!H24</f>
        <v/>
      </c>
      <c r="H19" s="41">
        <f>'總表'!J24</f>
        <v/>
      </c>
      <c r="I19" s="9">
        <f>'總表'!L24</f>
        <v/>
      </c>
      <c r="J19" s="41">
        <f>'總表'!R24</f>
        <v/>
      </c>
      <c r="K19" s="41">
        <f>'總表'!S24</f>
        <v/>
      </c>
      <c r="L19" s="9">
        <f>'總表'!W24</f>
        <v/>
      </c>
      <c r="M19" s="9">
        <f>'總表'!X24</f>
        <v/>
      </c>
      <c r="N19" s="11">
        <f>'總表'!AA24</f>
        <v/>
      </c>
      <c r="O19" s="11">
        <f>'總表'!AB24</f>
        <v/>
      </c>
      <c r="P19" s="5">
        <f>'總表'!AD24</f>
        <v/>
      </c>
      <c r="Q19" s="9">
        <f>'總表'!U24</f>
        <v/>
      </c>
      <c r="R19" s="5">
        <f>'總表'!AE24</f>
        <v/>
      </c>
      <c r="S19" s="5">
        <f>'總表'!AI24</f>
        <v/>
      </c>
      <c r="T19" s="5">
        <f>'總表'!AJ24</f>
        <v/>
      </c>
      <c r="U19" s="5">
        <f>'總表'!AK24</f>
        <v/>
      </c>
      <c r="V19" s="5">
        <f>'總表'!AL24</f>
        <v/>
      </c>
      <c r="W19" s="9">
        <f>'總表'!AQ24</f>
        <v/>
      </c>
      <c r="X19" s="9">
        <f>'總表'!AS24</f>
        <v/>
      </c>
      <c r="Y19" s="5">
        <f>'總表'!AT24</f>
        <v/>
      </c>
      <c r="Z19" s="11">
        <f>'總表'!AW24</f>
        <v/>
      </c>
      <c r="AA19" s="17">
        <f>'總表'!BE24</f>
        <v/>
      </c>
      <c r="AB19" s="17">
        <f>'總表'!BG24</f>
        <v/>
      </c>
      <c r="AC19" s="17">
        <f>'總表'!BH24</f>
        <v/>
      </c>
      <c r="AD19" s="17">
        <f>'總表'!BI24</f>
        <v/>
      </c>
      <c r="AE19" s="17">
        <f>'總表'!BJ24</f>
        <v/>
      </c>
      <c r="AF19" s="18">
        <f>'總表'!BK24</f>
        <v/>
      </c>
      <c r="AG19" s="5">
        <f>'總表'!B24</f>
        <v/>
      </c>
    </row>
    <row r="20">
      <c r="A20" s="5" t="n">
        <v>19</v>
      </c>
      <c r="B20" s="6" t="inlineStr">
        <is>
          <t>DELL</t>
        </is>
      </c>
      <c r="C20" s="5">
        <f>'總表'!D26</f>
        <v/>
      </c>
      <c r="D20" s="5">
        <f>'總表'!F26</f>
        <v/>
      </c>
      <c r="E20" s="5">
        <f>'總表'!G26</f>
        <v/>
      </c>
      <c r="F20" s="5">
        <f>'總表'!I26</f>
        <v/>
      </c>
      <c r="G20" s="40">
        <f>'總表'!H26</f>
        <v/>
      </c>
      <c r="H20" s="41">
        <f>'總表'!J26</f>
        <v/>
      </c>
      <c r="I20" s="9">
        <f>'總表'!L26</f>
        <v/>
      </c>
      <c r="J20" s="41">
        <f>'總表'!R26</f>
        <v/>
      </c>
      <c r="K20" s="41">
        <f>'總表'!S26</f>
        <v/>
      </c>
      <c r="L20" s="9">
        <f>'總表'!W26</f>
        <v/>
      </c>
      <c r="M20" s="9">
        <f>'總表'!X26</f>
        <v/>
      </c>
      <c r="N20" s="11">
        <f>'總表'!AA26</f>
        <v/>
      </c>
      <c r="O20" s="11">
        <f>'總表'!AB26</f>
        <v/>
      </c>
      <c r="P20" s="5">
        <f>'總表'!AD26</f>
        <v/>
      </c>
      <c r="Q20" s="9">
        <f>'總表'!U26</f>
        <v/>
      </c>
      <c r="R20" s="5">
        <f>'總表'!AE26</f>
        <v/>
      </c>
      <c r="S20" s="5">
        <f>'總表'!AI26</f>
        <v/>
      </c>
      <c r="T20" s="5">
        <f>'總表'!AJ26</f>
        <v/>
      </c>
      <c r="U20" s="5">
        <f>'總表'!AK26</f>
        <v/>
      </c>
      <c r="V20" s="5">
        <f>'總表'!AL26</f>
        <v/>
      </c>
      <c r="W20" s="9">
        <f>'總表'!AQ26</f>
        <v/>
      </c>
      <c r="X20" s="9">
        <f>'總表'!AS26</f>
        <v/>
      </c>
      <c r="Y20" s="5">
        <f>'總表'!AT26</f>
        <v/>
      </c>
      <c r="Z20" s="11">
        <f>'總表'!AW26</f>
        <v/>
      </c>
      <c r="AA20" s="17">
        <f>'總表'!BE26</f>
        <v/>
      </c>
      <c r="AB20" s="17">
        <f>'總表'!BG26</f>
        <v/>
      </c>
      <c r="AC20" s="17">
        <f>'總表'!BH26</f>
        <v/>
      </c>
      <c r="AD20" s="17">
        <f>'總表'!BI26</f>
        <v/>
      </c>
      <c r="AE20" s="17">
        <f>'總表'!BJ26</f>
        <v/>
      </c>
      <c r="AF20" s="18">
        <f>'總表'!BK26</f>
        <v/>
      </c>
      <c r="AG20" s="5">
        <f>'總表'!B26</f>
        <v/>
      </c>
    </row>
    <row r="21">
      <c r="A21" s="5" t="n">
        <v>20</v>
      </c>
      <c r="B21" s="6" t="inlineStr">
        <is>
          <t>ANET</t>
        </is>
      </c>
      <c r="C21" s="5">
        <f>'總表'!D29</f>
        <v/>
      </c>
      <c r="D21" s="5">
        <f>'總表'!F29</f>
        <v/>
      </c>
      <c r="E21" s="5">
        <f>'總表'!G29</f>
        <v/>
      </c>
      <c r="F21" s="5">
        <f>'總表'!I29</f>
        <v/>
      </c>
      <c r="G21" s="40">
        <f>'總表'!H29</f>
        <v/>
      </c>
      <c r="H21" s="41">
        <f>'總表'!J29</f>
        <v/>
      </c>
      <c r="I21" s="9">
        <f>'總表'!L29</f>
        <v/>
      </c>
      <c r="J21" s="41">
        <f>'總表'!R29</f>
        <v/>
      </c>
      <c r="K21" s="41">
        <f>'總表'!S29</f>
        <v/>
      </c>
      <c r="L21" s="9">
        <f>'總表'!W29</f>
        <v/>
      </c>
      <c r="M21" s="9">
        <f>'總表'!X29</f>
        <v/>
      </c>
      <c r="N21" s="11">
        <f>'總表'!AA29</f>
        <v/>
      </c>
      <c r="O21" s="11">
        <f>'總表'!AB29</f>
        <v/>
      </c>
      <c r="P21" s="5">
        <f>'總表'!AD29</f>
        <v/>
      </c>
      <c r="Q21" s="9">
        <f>'總表'!U29</f>
        <v/>
      </c>
      <c r="R21" s="5">
        <f>'總表'!AE29</f>
        <v/>
      </c>
      <c r="S21" s="5">
        <f>'總表'!AI29</f>
        <v/>
      </c>
      <c r="T21" s="5">
        <f>'總表'!AJ29</f>
        <v/>
      </c>
      <c r="U21" s="5">
        <f>'總表'!AK29</f>
        <v/>
      </c>
      <c r="V21" s="5">
        <f>'總表'!AL29</f>
        <v/>
      </c>
      <c r="W21" s="9">
        <f>'總表'!AQ29</f>
        <v/>
      </c>
      <c r="X21" s="9">
        <f>'總表'!AS29</f>
        <v/>
      </c>
      <c r="Y21" s="5">
        <f>'總表'!AT29</f>
        <v/>
      </c>
      <c r="Z21" s="11">
        <f>'總表'!AW29</f>
        <v/>
      </c>
      <c r="AA21" s="17">
        <f>'總表'!BE29</f>
        <v/>
      </c>
      <c r="AB21" s="17">
        <f>'總表'!BG29</f>
        <v/>
      </c>
      <c r="AC21" s="17">
        <f>'總表'!BH29</f>
        <v/>
      </c>
      <c r="AD21" s="17">
        <f>'總表'!BI29</f>
        <v/>
      </c>
      <c r="AE21" s="17">
        <f>'總表'!BJ29</f>
        <v/>
      </c>
      <c r="AF21" s="18">
        <f>'總表'!BK29</f>
        <v/>
      </c>
      <c r="AG21" s="5">
        <f>'總表'!B29</f>
        <v/>
      </c>
    </row>
    <row r="22">
      <c r="A22" s="5" t="n">
        <v>21</v>
      </c>
      <c r="B22" s="6" t="inlineStr">
        <is>
          <t>ARW</t>
        </is>
      </c>
      <c r="C22" s="5">
        <f>'總表'!D30</f>
        <v/>
      </c>
      <c r="D22" s="5">
        <f>'總表'!F30</f>
        <v/>
      </c>
      <c r="E22" s="5">
        <f>'總表'!G30</f>
        <v/>
      </c>
      <c r="F22" s="5">
        <f>'總表'!I30</f>
        <v/>
      </c>
      <c r="G22" s="40">
        <f>'總表'!H30</f>
        <v/>
      </c>
      <c r="H22" s="41">
        <f>'總表'!J30</f>
        <v/>
      </c>
      <c r="I22" s="9">
        <f>'總表'!L30</f>
        <v/>
      </c>
      <c r="J22" s="41">
        <f>'總表'!R30</f>
        <v/>
      </c>
      <c r="K22" s="41">
        <f>'總表'!S30</f>
        <v/>
      </c>
      <c r="L22" s="9">
        <f>'總表'!W30</f>
        <v/>
      </c>
      <c r="M22" s="9">
        <f>'總表'!X30</f>
        <v/>
      </c>
      <c r="N22" s="11">
        <f>'總表'!AA30</f>
        <v/>
      </c>
      <c r="O22" s="11">
        <f>'總表'!AB30</f>
        <v/>
      </c>
      <c r="P22" s="5">
        <f>'總表'!AD30</f>
        <v/>
      </c>
      <c r="Q22" s="9">
        <f>'總表'!U30</f>
        <v/>
      </c>
      <c r="R22" s="5">
        <f>'總表'!AE30</f>
        <v/>
      </c>
      <c r="S22" s="5">
        <f>'總表'!AI30</f>
        <v/>
      </c>
      <c r="T22" s="5">
        <f>'總表'!AJ30</f>
        <v/>
      </c>
      <c r="U22" s="5">
        <f>'總表'!AK30</f>
        <v/>
      </c>
      <c r="V22" s="5">
        <f>'總表'!AL30</f>
        <v/>
      </c>
      <c r="W22" s="9">
        <f>'總表'!AQ30</f>
        <v/>
      </c>
      <c r="X22" s="9">
        <f>'總表'!AS30</f>
        <v/>
      </c>
      <c r="Y22" s="5">
        <f>'總表'!AT30</f>
        <v/>
      </c>
      <c r="Z22" s="11">
        <f>'總表'!AW30</f>
        <v/>
      </c>
      <c r="AA22" s="17">
        <f>'總表'!BE30</f>
        <v/>
      </c>
      <c r="AB22" s="17">
        <f>'總表'!BG30</f>
        <v/>
      </c>
      <c r="AC22" s="17">
        <f>'總表'!BH30</f>
        <v/>
      </c>
      <c r="AD22" s="17">
        <f>'總表'!BI30</f>
        <v/>
      </c>
      <c r="AE22" s="17">
        <f>'總表'!BJ30</f>
        <v/>
      </c>
      <c r="AF22" s="18">
        <f>'總表'!BK30</f>
        <v/>
      </c>
      <c r="AG22" s="5">
        <f>'總表'!B30</f>
        <v/>
      </c>
    </row>
    <row r="23">
      <c r="A23" s="5" t="n">
        <v>22</v>
      </c>
      <c r="B23" s="6" t="inlineStr">
        <is>
          <t>CRSR</t>
        </is>
      </c>
      <c r="C23" s="5">
        <f>'總表'!D32</f>
        <v/>
      </c>
      <c r="D23" s="5">
        <f>'總表'!F32</f>
        <v/>
      </c>
      <c r="E23" s="5">
        <f>'總表'!G32</f>
        <v/>
      </c>
      <c r="F23" s="5">
        <f>'總表'!I32</f>
        <v/>
      </c>
      <c r="G23" s="40">
        <f>'總表'!H32</f>
        <v/>
      </c>
      <c r="H23" s="41">
        <f>'總表'!J32</f>
        <v/>
      </c>
      <c r="I23" s="9">
        <f>'總表'!L32</f>
        <v/>
      </c>
      <c r="J23" s="41">
        <f>'總表'!R32</f>
        <v/>
      </c>
      <c r="K23" s="41">
        <f>'總表'!S32</f>
        <v/>
      </c>
      <c r="L23" s="9">
        <f>'總表'!W32</f>
        <v/>
      </c>
      <c r="M23" s="9">
        <f>'總表'!X32</f>
        <v/>
      </c>
      <c r="N23" s="11">
        <f>'總表'!AA32</f>
        <v/>
      </c>
      <c r="O23" s="11">
        <f>'總表'!AB32</f>
        <v/>
      </c>
      <c r="P23" s="5">
        <f>'總表'!AD32</f>
        <v/>
      </c>
      <c r="Q23" s="9">
        <f>'總表'!U32</f>
        <v/>
      </c>
      <c r="R23" s="5">
        <f>'總表'!AE32</f>
        <v/>
      </c>
      <c r="S23" s="5">
        <f>'總表'!AI32</f>
        <v/>
      </c>
      <c r="T23" s="5">
        <f>'總表'!AJ32</f>
        <v/>
      </c>
      <c r="U23" s="5">
        <f>'總表'!AK32</f>
        <v/>
      </c>
      <c r="V23" s="5">
        <f>'總表'!AL32</f>
        <v/>
      </c>
      <c r="W23" s="9">
        <f>'總表'!AQ32</f>
        <v/>
      </c>
      <c r="X23" s="9">
        <f>'總表'!AS32</f>
        <v/>
      </c>
      <c r="Y23" s="5">
        <f>'總表'!AT32</f>
        <v/>
      </c>
      <c r="Z23" s="11">
        <f>'總表'!AW32</f>
        <v/>
      </c>
      <c r="AA23" s="17">
        <f>'總表'!BE32</f>
        <v/>
      </c>
      <c r="AB23" s="17">
        <f>'總表'!BG32</f>
        <v/>
      </c>
      <c r="AC23" s="17">
        <f>'總表'!BH32</f>
        <v/>
      </c>
      <c r="AD23" s="17">
        <f>'總表'!BI32</f>
        <v/>
      </c>
      <c r="AE23" s="17">
        <f>'總表'!BJ32</f>
        <v/>
      </c>
      <c r="AF23" s="18">
        <f>'總表'!BK32</f>
        <v/>
      </c>
      <c r="AG23" s="5">
        <f>'總表'!B32</f>
        <v/>
      </c>
    </row>
    <row r="24">
      <c r="A24" s="5" t="n">
        <v>23</v>
      </c>
      <c r="B24" s="6" t="inlineStr">
        <is>
          <t>UCTT</t>
        </is>
      </c>
      <c r="C24" s="5">
        <f>'總表'!D33</f>
        <v/>
      </c>
      <c r="D24" s="5">
        <f>'總表'!F33</f>
        <v/>
      </c>
      <c r="E24" s="5">
        <f>'總表'!G33</f>
        <v/>
      </c>
      <c r="F24" s="5">
        <f>'總表'!I33</f>
        <v/>
      </c>
      <c r="G24" s="40">
        <f>'總表'!H33</f>
        <v/>
      </c>
      <c r="H24" s="41">
        <f>'總表'!J33</f>
        <v/>
      </c>
      <c r="I24" s="9">
        <f>'總表'!L33</f>
        <v/>
      </c>
      <c r="J24" s="41">
        <f>'總表'!R33</f>
        <v/>
      </c>
      <c r="K24" s="41">
        <f>'總表'!S33</f>
        <v/>
      </c>
      <c r="L24" s="9">
        <f>'總表'!W33</f>
        <v/>
      </c>
      <c r="M24" s="9">
        <f>'總表'!X33</f>
        <v/>
      </c>
      <c r="N24" s="11">
        <f>'總表'!AA33</f>
        <v/>
      </c>
      <c r="O24" s="11">
        <f>'總表'!AB33</f>
        <v/>
      </c>
      <c r="P24" s="5">
        <f>'總表'!AD33</f>
        <v/>
      </c>
      <c r="Q24" s="9">
        <f>'總表'!U33</f>
        <v/>
      </c>
      <c r="R24" s="19">
        <f>'總表'!AE33</f>
        <v/>
      </c>
      <c r="S24" s="5">
        <f>'總表'!AI33</f>
        <v/>
      </c>
      <c r="T24" s="5">
        <f>'總表'!AJ33</f>
        <v/>
      </c>
      <c r="U24" s="5">
        <f>'總表'!AK33</f>
        <v/>
      </c>
      <c r="V24" s="5">
        <f>'總表'!AL33</f>
        <v/>
      </c>
      <c r="W24" s="9">
        <f>'總表'!AQ33</f>
        <v/>
      </c>
      <c r="X24" s="9">
        <f>'總表'!AS33</f>
        <v/>
      </c>
      <c r="Y24" s="5">
        <f>'總表'!AT33</f>
        <v/>
      </c>
      <c r="Z24" s="11">
        <f>'總表'!AW33</f>
        <v/>
      </c>
      <c r="AA24" s="17">
        <f>'總表'!BE33</f>
        <v/>
      </c>
      <c r="AB24" s="17">
        <f>'總表'!BG33</f>
        <v/>
      </c>
      <c r="AC24" s="17">
        <f>'總表'!BH33</f>
        <v/>
      </c>
      <c r="AD24" s="17">
        <f>'總表'!BI33</f>
        <v/>
      </c>
      <c r="AE24" s="17">
        <f>'總表'!BJ33</f>
        <v/>
      </c>
      <c r="AF24" s="18">
        <f>'總表'!BK33</f>
        <v/>
      </c>
      <c r="AG24" s="5">
        <f>'總表'!B33</f>
        <v/>
      </c>
    </row>
    <row r="25">
      <c r="A25" s="5" t="n">
        <v>24</v>
      </c>
      <c r="B25" s="6" t="inlineStr">
        <is>
          <t>OSPN</t>
        </is>
      </c>
      <c r="C25" s="5">
        <f>'總表'!D35</f>
        <v/>
      </c>
      <c r="D25" s="5">
        <f>'總表'!F35</f>
        <v/>
      </c>
      <c r="E25" s="5">
        <f>'總表'!G35</f>
        <v/>
      </c>
      <c r="F25" s="5">
        <f>'總表'!I35</f>
        <v/>
      </c>
      <c r="G25" s="40">
        <f>'總表'!H35</f>
        <v/>
      </c>
      <c r="H25" s="41">
        <f>'總表'!J35</f>
        <v/>
      </c>
      <c r="I25" s="9">
        <f>'總表'!L35</f>
        <v/>
      </c>
      <c r="J25" s="41">
        <f>'總表'!R35</f>
        <v/>
      </c>
      <c r="K25" s="41">
        <f>'總表'!S35</f>
        <v/>
      </c>
      <c r="L25" s="9">
        <f>'總表'!W35</f>
        <v/>
      </c>
      <c r="M25" s="9">
        <f>'總表'!X35</f>
        <v/>
      </c>
      <c r="N25" s="11">
        <f>'總表'!AA35</f>
        <v/>
      </c>
      <c r="O25" s="11">
        <f>'總表'!AB35</f>
        <v/>
      </c>
      <c r="P25" s="5">
        <f>'總表'!AD35</f>
        <v/>
      </c>
      <c r="Q25" s="9">
        <f>'總表'!U35</f>
        <v/>
      </c>
      <c r="R25" s="5">
        <f>'總表'!AE35</f>
        <v/>
      </c>
      <c r="S25" s="5">
        <f>'總表'!AI35</f>
        <v/>
      </c>
      <c r="T25" s="5">
        <f>'總表'!AJ35</f>
        <v/>
      </c>
      <c r="U25" s="5">
        <f>'總表'!AK35</f>
        <v/>
      </c>
      <c r="V25" s="5">
        <f>'總表'!AL35</f>
        <v/>
      </c>
      <c r="W25" s="9">
        <f>'總表'!AQ35</f>
        <v/>
      </c>
      <c r="X25" s="9">
        <f>'總表'!AS35</f>
        <v/>
      </c>
      <c r="Y25" s="5">
        <f>'總表'!AT35</f>
        <v/>
      </c>
      <c r="Z25" s="11">
        <f>'總表'!AW35</f>
        <v/>
      </c>
      <c r="AA25" s="17">
        <f>'總表'!BE35</f>
        <v/>
      </c>
      <c r="AB25" s="17">
        <f>'總表'!BG35</f>
        <v/>
      </c>
      <c r="AC25" s="17">
        <f>'總表'!BH35</f>
        <v/>
      </c>
      <c r="AD25" s="17">
        <f>'總表'!BI35</f>
        <v/>
      </c>
      <c r="AE25" s="17">
        <f>'總表'!BJ35</f>
        <v/>
      </c>
      <c r="AF25" s="18">
        <f>'總表'!BK35</f>
        <v/>
      </c>
      <c r="AG25" s="5">
        <f>'總表'!B35</f>
        <v/>
      </c>
    </row>
    <row r="26">
      <c r="A26" s="5" t="n">
        <v>25</v>
      </c>
      <c r="B26" s="6" t="inlineStr">
        <is>
          <t>VRNS</t>
        </is>
      </c>
      <c r="C26" s="5">
        <f>'總表'!D38</f>
        <v/>
      </c>
      <c r="D26" s="5">
        <f>'總表'!F38</f>
        <v/>
      </c>
      <c r="E26" s="5">
        <f>'總表'!G38</f>
        <v/>
      </c>
      <c r="F26" s="5">
        <f>'總表'!I38</f>
        <v/>
      </c>
      <c r="G26" s="40">
        <f>'總表'!H38</f>
        <v/>
      </c>
      <c r="H26" s="41">
        <f>'總表'!J38</f>
        <v/>
      </c>
      <c r="I26" s="9">
        <f>'總表'!L38</f>
        <v/>
      </c>
      <c r="J26" s="41">
        <f>'總表'!R38</f>
        <v/>
      </c>
      <c r="K26" s="41">
        <f>'總表'!S38</f>
        <v/>
      </c>
      <c r="L26" s="9">
        <f>'總表'!W38</f>
        <v/>
      </c>
      <c r="M26" s="9">
        <f>'總表'!X38</f>
        <v/>
      </c>
      <c r="N26" s="11">
        <f>'總表'!AA38</f>
        <v/>
      </c>
      <c r="O26" s="11">
        <f>'總表'!AB38</f>
        <v/>
      </c>
      <c r="P26" s="5">
        <f>'總表'!AD38</f>
        <v/>
      </c>
      <c r="Q26" s="9">
        <f>'總表'!U38</f>
        <v/>
      </c>
      <c r="R26" s="5">
        <f>'總表'!AE38</f>
        <v/>
      </c>
      <c r="S26" s="5">
        <f>'總表'!AI38</f>
        <v/>
      </c>
      <c r="T26" s="5">
        <f>'總表'!AJ38</f>
        <v/>
      </c>
      <c r="U26" s="5">
        <f>'總表'!AK38</f>
        <v/>
      </c>
      <c r="V26" s="5">
        <f>'總表'!AL38</f>
        <v/>
      </c>
      <c r="W26" s="9">
        <f>'總表'!AQ38</f>
        <v/>
      </c>
      <c r="X26" s="9">
        <f>'總表'!AS38</f>
        <v/>
      </c>
      <c r="Y26" s="5">
        <f>'總表'!AT38</f>
        <v/>
      </c>
      <c r="Z26" s="11">
        <f>'總表'!AW38</f>
        <v/>
      </c>
      <c r="AA26" s="17">
        <f>'總表'!BE38</f>
        <v/>
      </c>
      <c r="AB26" s="17">
        <f>'總表'!BG38</f>
        <v/>
      </c>
      <c r="AC26" s="17">
        <f>'總表'!BH38</f>
        <v/>
      </c>
      <c r="AD26" s="17">
        <f>'總表'!BI38</f>
        <v/>
      </c>
      <c r="AE26" s="17">
        <f>'總表'!BJ38</f>
        <v/>
      </c>
      <c r="AF26" s="18">
        <f>'總表'!BK38</f>
        <v/>
      </c>
      <c r="AG26" s="5">
        <f>'總表'!B38</f>
        <v/>
      </c>
    </row>
    <row r="27">
      <c r="A27" s="5" t="n">
        <v>26</v>
      </c>
      <c r="B27" s="6" t="inlineStr">
        <is>
          <t>INFU</t>
        </is>
      </c>
      <c r="C27" s="5">
        <f>'總表'!D39</f>
        <v/>
      </c>
      <c r="D27" s="5">
        <f>'總表'!F39</f>
        <v/>
      </c>
      <c r="E27" s="5">
        <f>'總表'!G39</f>
        <v/>
      </c>
      <c r="F27" s="5">
        <f>'總表'!I39</f>
        <v/>
      </c>
      <c r="G27" s="40">
        <f>'總表'!H39</f>
        <v/>
      </c>
      <c r="H27" s="41">
        <f>'總表'!J39</f>
        <v/>
      </c>
      <c r="I27" s="9">
        <f>'總表'!L39</f>
        <v/>
      </c>
      <c r="J27" s="41">
        <f>'總表'!R39</f>
        <v/>
      </c>
      <c r="K27" s="41">
        <f>'總表'!S39</f>
        <v/>
      </c>
      <c r="L27" s="9">
        <f>'總表'!W39</f>
        <v/>
      </c>
      <c r="M27" s="9">
        <f>'總表'!X39</f>
        <v/>
      </c>
      <c r="N27" s="11">
        <f>'總表'!AA39</f>
        <v/>
      </c>
      <c r="O27" s="11">
        <f>'總表'!AB39</f>
        <v/>
      </c>
      <c r="P27" s="5">
        <f>'總表'!AD39</f>
        <v/>
      </c>
      <c r="Q27" s="9">
        <f>'總表'!U39</f>
        <v/>
      </c>
      <c r="R27" s="5">
        <f>'總表'!AE39</f>
        <v/>
      </c>
      <c r="S27" s="5">
        <f>'總表'!AI39</f>
        <v/>
      </c>
      <c r="T27" s="5">
        <f>'總表'!AJ39</f>
        <v/>
      </c>
      <c r="U27" s="5">
        <f>'總表'!AK39</f>
        <v/>
      </c>
      <c r="V27" s="5">
        <f>'總表'!AL39</f>
        <v/>
      </c>
      <c r="W27" s="9">
        <f>'總表'!AQ39</f>
        <v/>
      </c>
      <c r="X27" s="9">
        <f>'總表'!AS39</f>
        <v/>
      </c>
      <c r="Y27" s="5">
        <f>'總表'!AT39</f>
        <v/>
      </c>
      <c r="Z27" s="11">
        <f>'總表'!AW39</f>
        <v/>
      </c>
      <c r="AA27" s="17">
        <f>'總表'!BE39</f>
        <v/>
      </c>
      <c r="AB27" s="17">
        <f>'總表'!BG39</f>
        <v/>
      </c>
      <c r="AC27" s="17">
        <f>'總表'!BH39</f>
        <v/>
      </c>
      <c r="AD27" s="17">
        <f>'總表'!BI39</f>
        <v/>
      </c>
      <c r="AE27" s="17">
        <f>'總表'!BJ39</f>
        <v/>
      </c>
      <c r="AF27" s="18">
        <f>'總表'!BK39</f>
        <v/>
      </c>
      <c r="AG27" s="5">
        <f>'總表'!B39</f>
        <v/>
      </c>
    </row>
    <row r="28">
      <c r="A28" s="5" t="n">
        <v>27</v>
      </c>
      <c r="B28" s="6" t="inlineStr">
        <is>
          <t>NGVC</t>
        </is>
      </c>
      <c r="C28" s="5">
        <f>'總表'!D41</f>
        <v/>
      </c>
      <c r="D28" s="5">
        <f>'總表'!F41</f>
        <v/>
      </c>
      <c r="E28" s="5">
        <f>'總表'!G41</f>
        <v/>
      </c>
      <c r="F28" s="5">
        <f>'總表'!I41</f>
        <v/>
      </c>
      <c r="G28" s="40">
        <f>'總表'!H41</f>
        <v/>
      </c>
      <c r="H28" s="41">
        <f>'總表'!J41</f>
        <v/>
      </c>
      <c r="I28" s="9">
        <f>'總表'!L41</f>
        <v/>
      </c>
      <c r="J28" s="41">
        <f>'總表'!R41</f>
        <v/>
      </c>
      <c r="K28" s="41">
        <f>'總表'!S41</f>
        <v/>
      </c>
      <c r="L28" s="9">
        <f>'總表'!W41</f>
        <v/>
      </c>
      <c r="M28" s="9">
        <f>'總表'!X41</f>
        <v/>
      </c>
      <c r="N28" s="11">
        <f>'總表'!AA41</f>
        <v/>
      </c>
      <c r="O28" s="11">
        <f>'總表'!AB41</f>
        <v/>
      </c>
      <c r="P28" s="5">
        <f>'總表'!AD41</f>
        <v/>
      </c>
      <c r="Q28" s="9">
        <f>'總表'!U41</f>
        <v/>
      </c>
      <c r="R28" s="5">
        <f>'總表'!AE41</f>
        <v/>
      </c>
      <c r="S28" s="5">
        <f>'總表'!AI41</f>
        <v/>
      </c>
      <c r="T28" s="5">
        <f>'總表'!AJ41</f>
        <v/>
      </c>
      <c r="U28" s="5">
        <f>'總表'!AK41</f>
        <v/>
      </c>
      <c r="V28" s="5">
        <f>'總表'!AL41</f>
        <v/>
      </c>
      <c r="W28" s="9">
        <f>'總表'!AQ41</f>
        <v/>
      </c>
      <c r="X28" s="9">
        <f>'總表'!AS41</f>
        <v/>
      </c>
      <c r="Y28" s="5">
        <f>'總表'!AT41</f>
        <v/>
      </c>
      <c r="Z28" s="11">
        <f>'總表'!AW41</f>
        <v/>
      </c>
      <c r="AA28" s="17">
        <f>'總表'!BE41</f>
        <v/>
      </c>
      <c r="AB28" s="17">
        <f>'總表'!BG41</f>
        <v/>
      </c>
      <c r="AC28" s="17">
        <f>'總表'!BH41</f>
        <v/>
      </c>
      <c r="AD28" s="17">
        <f>'總表'!BI41</f>
        <v/>
      </c>
      <c r="AE28" s="17">
        <f>'總表'!BJ41</f>
        <v/>
      </c>
      <c r="AF28" s="18">
        <f>'總表'!BK41</f>
        <v/>
      </c>
      <c r="AG28" s="5">
        <f>'總表'!B41</f>
        <v/>
      </c>
    </row>
    <row r="29">
      <c r="A29" s="5" t="n">
        <v>28</v>
      </c>
      <c r="B29" s="6" t="inlineStr">
        <is>
          <t>PI</t>
        </is>
      </c>
      <c r="C29" s="5">
        <f>'總表'!D42</f>
        <v/>
      </c>
      <c r="D29" s="5">
        <f>'總表'!F42</f>
        <v/>
      </c>
      <c r="E29" s="5">
        <f>'總表'!G42</f>
        <v/>
      </c>
      <c r="F29" s="5">
        <f>'總表'!I42</f>
        <v/>
      </c>
      <c r="G29" s="40">
        <f>'總表'!H42</f>
        <v/>
      </c>
      <c r="H29" s="41">
        <f>'總表'!J42</f>
        <v/>
      </c>
      <c r="I29" s="9">
        <f>'總表'!L42</f>
        <v/>
      </c>
      <c r="J29" s="41">
        <f>'總表'!R42</f>
        <v/>
      </c>
      <c r="K29" s="41">
        <f>'總表'!S42</f>
        <v/>
      </c>
      <c r="L29" s="9">
        <f>'總表'!W42</f>
        <v/>
      </c>
      <c r="M29" s="9">
        <f>'總表'!X42</f>
        <v/>
      </c>
      <c r="N29" s="11">
        <f>'總表'!AA42</f>
        <v/>
      </c>
      <c r="O29" s="11">
        <f>'總表'!AB42</f>
        <v/>
      </c>
      <c r="P29" s="5">
        <f>'總表'!AD42</f>
        <v/>
      </c>
      <c r="Q29" s="9">
        <f>'總表'!U42</f>
        <v/>
      </c>
      <c r="R29" s="5">
        <f>'總表'!AE42</f>
        <v/>
      </c>
      <c r="S29" s="5">
        <f>'總表'!AI42</f>
        <v/>
      </c>
      <c r="T29" s="5">
        <f>'總表'!AJ42</f>
        <v/>
      </c>
      <c r="U29" s="5">
        <f>'總表'!AK42</f>
        <v/>
      </c>
      <c r="V29" s="5">
        <f>'總表'!AL42</f>
        <v/>
      </c>
      <c r="W29" s="9">
        <f>'總表'!AQ42</f>
        <v/>
      </c>
      <c r="X29" s="9">
        <f>'總表'!AS42</f>
        <v/>
      </c>
      <c r="Y29" s="5">
        <f>'總表'!AT42</f>
        <v/>
      </c>
      <c r="Z29" s="11">
        <f>'總表'!AW42</f>
        <v/>
      </c>
      <c r="AA29" s="17">
        <f>'總表'!BE42</f>
        <v/>
      </c>
      <c r="AB29" s="17">
        <f>'總表'!BG42</f>
        <v/>
      </c>
      <c r="AC29" s="17">
        <f>'總表'!BH42</f>
        <v/>
      </c>
      <c r="AD29" s="17">
        <f>'總表'!BI42</f>
        <v/>
      </c>
      <c r="AE29" s="17">
        <f>'總表'!BJ42</f>
        <v/>
      </c>
      <c r="AF29" s="18">
        <f>'總表'!BK42</f>
        <v/>
      </c>
      <c r="AG29" s="5">
        <f>'總表'!B42</f>
        <v/>
      </c>
    </row>
    <row r="30">
      <c r="A30" s="5" t="n">
        <v>29</v>
      </c>
      <c r="B30" s="6" t="inlineStr">
        <is>
          <t>NVDA</t>
        </is>
      </c>
      <c r="C30" s="5">
        <f>'總表'!D44</f>
        <v/>
      </c>
      <c r="D30" s="5">
        <f>'總表'!F44</f>
        <v/>
      </c>
      <c r="E30" s="5">
        <f>'總表'!G44</f>
        <v/>
      </c>
      <c r="F30" s="5">
        <f>'總表'!I44</f>
        <v/>
      </c>
      <c r="G30" s="40">
        <f>'總表'!H44</f>
        <v/>
      </c>
      <c r="H30" s="41">
        <f>'總表'!J44</f>
        <v/>
      </c>
      <c r="I30" s="9">
        <f>'總表'!L44</f>
        <v/>
      </c>
      <c r="J30" s="41">
        <f>'總表'!R44</f>
        <v/>
      </c>
      <c r="K30" s="41">
        <f>'總表'!S44</f>
        <v/>
      </c>
      <c r="L30" s="9">
        <f>'總表'!W44</f>
        <v/>
      </c>
      <c r="M30" s="9">
        <f>'總表'!X44</f>
        <v/>
      </c>
      <c r="N30" s="11">
        <f>'總表'!AA44</f>
        <v/>
      </c>
      <c r="O30" s="11">
        <f>'總表'!AB44</f>
        <v/>
      </c>
      <c r="P30" s="5">
        <f>'總表'!AD44</f>
        <v/>
      </c>
      <c r="Q30" s="9">
        <f>'總表'!U44</f>
        <v/>
      </c>
      <c r="R30" s="5">
        <f>'總表'!AE44</f>
        <v/>
      </c>
      <c r="S30" s="5">
        <f>'總表'!AI44</f>
        <v/>
      </c>
      <c r="T30" s="5">
        <f>'總表'!AJ44</f>
        <v/>
      </c>
      <c r="U30" s="5">
        <f>'總表'!AK44</f>
        <v/>
      </c>
      <c r="V30" s="5">
        <f>'總表'!AL44</f>
        <v/>
      </c>
      <c r="W30" s="9">
        <f>'總表'!AQ44</f>
        <v/>
      </c>
      <c r="X30" s="9">
        <f>'總表'!AS44</f>
        <v/>
      </c>
      <c r="Y30" s="5">
        <f>'總表'!AT44</f>
        <v/>
      </c>
      <c r="Z30" s="11">
        <f>'總表'!AW44</f>
        <v/>
      </c>
      <c r="AA30" s="17">
        <f>'總表'!BE44</f>
        <v/>
      </c>
      <c r="AB30" s="17">
        <f>'總表'!BG44</f>
        <v/>
      </c>
      <c r="AC30" s="17">
        <f>'總表'!BH44</f>
        <v/>
      </c>
      <c r="AD30" s="17">
        <f>'總表'!BI44</f>
        <v/>
      </c>
      <c r="AE30" s="17">
        <f>'總表'!BJ44</f>
        <v/>
      </c>
      <c r="AF30" s="18">
        <f>'總表'!BK44</f>
        <v/>
      </c>
      <c r="AG30" s="5">
        <f>'總表'!B44</f>
        <v/>
      </c>
    </row>
    <row r="31">
      <c r="A31" s="5" t="n">
        <v>30</v>
      </c>
      <c r="B31" s="6" t="inlineStr">
        <is>
          <t>LQDT</t>
        </is>
      </c>
      <c r="C31" s="5">
        <f>'總表'!D46</f>
        <v/>
      </c>
      <c r="D31" s="5">
        <f>'總表'!F46</f>
        <v/>
      </c>
      <c r="E31" s="5">
        <f>'總表'!G46</f>
        <v/>
      </c>
      <c r="F31" s="5">
        <f>'總表'!I46</f>
        <v/>
      </c>
      <c r="G31" s="40">
        <f>'總表'!H46</f>
        <v/>
      </c>
      <c r="H31" s="41">
        <f>'總表'!J46</f>
        <v/>
      </c>
      <c r="I31" s="9">
        <f>'總表'!L46</f>
        <v/>
      </c>
      <c r="J31" s="41">
        <f>'總表'!R46</f>
        <v/>
      </c>
      <c r="K31" s="41">
        <f>'總表'!S46</f>
        <v/>
      </c>
      <c r="L31" s="9">
        <f>'總表'!W46</f>
        <v/>
      </c>
      <c r="M31" s="9">
        <f>'總表'!X46</f>
        <v/>
      </c>
      <c r="N31" s="11">
        <f>'總表'!AA46</f>
        <v/>
      </c>
      <c r="O31" s="11">
        <f>'總表'!AB46</f>
        <v/>
      </c>
      <c r="P31" s="5">
        <f>'總表'!AD46</f>
        <v/>
      </c>
      <c r="Q31" s="9">
        <f>'總表'!U46</f>
        <v/>
      </c>
      <c r="R31" s="5">
        <f>'總表'!AE46</f>
        <v/>
      </c>
      <c r="S31" s="5">
        <f>'總表'!AI46</f>
        <v/>
      </c>
      <c r="T31" s="5">
        <f>'總表'!AJ46</f>
        <v/>
      </c>
      <c r="U31" s="5">
        <f>'總表'!AK46</f>
        <v/>
      </c>
      <c r="V31" s="5">
        <f>'總表'!AL46</f>
        <v/>
      </c>
      <c r="W31" s="9">
        <f>'總表'!AQ46</f>
        <v/>
      </c>
      <c r="X31" s="9">
        <f>'總表'!AS46</f>
        <v/>
      </c>
      <c r="Y31" s="5">
        <f>'總表'!AT46</f>
        <v/>
      </c>
      <c r="Z31" s="11">
        <f>'總表'!AW46</f>
        <v/>
      </c>
      <c r="AA31" s="17">
        <f>'總表'!BE46</f>
        <v/>
      </c>
      <c r="AB31" s="17">
        <f>'總表'!BG46</f>
        <v/>
      </c>
      <c r="AC31" s="17">
        <f>'總表'!BH46</f>
        <v/>
      </c>
      <c r="AD31" s="17">
        <f>'總表'!BI46</f>
        <v/>
      </c>
      <c r="AE31" s="17">
        <f>'總表'!BJ46</f>
        <v/>
      </c>
      <c r="AF31" s="18">
        <f>'總表'!BK46</f>
        <v/>
      </c>
      <c r="AG31" s="5">
        <f>'總表'!B46</f>
        <v/>
      </c>
    </row>
    <row r="32">
      <c r="A32" s="5" t="n">
        <v>31</v>
      </c>
      <c r="B32" s="6" t="inlineStr">
        <is>
          <t>AMN</t>
        </is>
      </c>
      <c r="C32" s="5">
        <f>'總表'!D47</f>
        <v/>
      </c>
      <c r="D32" s="5">
        <f>'總表'!F47</f>
        <v/>
      </c>
      <c r="E32" s="5">
        <f>'總表'!G47</f>
        <v/>
      </c>
      <c r="F32" s="5">
        <f>'總表'!I47</f>
        <v/>
      </c>
      <c r="G32" s="40">
        <f>'總表'!H47</f>
        <v/>
      </c>
      <c r="H32" s="41">
        <f>'總表'!J47</f>
        <v/>
      </c>
      <c r="I32" s="9">
        <f>'總表'!L47</f>
        <v/>
      </c>
      <c r="J32" s="41">
        <f>'總表'!R47</f>
        <v/>
      </c>
      <c r="K32" s="41">
        <f>'總表'!S47</f>
        <v/>
      </c>
      <c r="L32" s="9">
        <f>'總表'!W47</f>
        <v/>
      </c>
      <c r="M32" s="9">
        <f>'總表'!X47</f>
        <v/>
      </c>
      <c r="N32" s="11">
        <f>'總表'!AA47</f>
        <v/>
      </c>
      <c r="O32" s="11">
        <f>'總表'!AB47</f>
        <v/>
      </c>
      <c r="P32" s="5">
        <f>'總表'!AD47</f>
        <v/>
      </c>
      <c r="Q32" s="9">
        <f>'總表'!U47</f>
        <v/>
      </c>
      <c r="R32" s="5">
        <f>'總表'!AE47</f>
        <v/>
      </c>
      <c r="S32" s="5">
        <f>'總表'!AI47</f>
        <v/>
      </c>
      <c r="T32" s="5">
        <f>'總表'!AJ47</f>
        <v/>
      </c>
      <c r="U32" s="5">
        <f>'總表'!AK47</f>
        <v/>
      </c>
      <c r="V32" s="5">
        <f>'總表'!AL47</f>
        <v/>
      </c>
      <c r="W32" s="9">
        <f>'總表'!AQ47</f>
        <v/>
      </c>
      <c r="X32" s="9">
        <f>'總表'!AS47</f>
        <v/>
      </c>
      <c r="Y32" s="5">
        <f>'總表'!AT47</f>
        <v/>
      </c>
      <c r="Z32" s="11">
        <f>'總表'!AW47</f>
        <v/>
      </c>
      <c r="AA32" s="17">
        <f>'總表'!BE47</f>
        <v/>
      </c>
      <c r="AB32" s="17">
        <f>'總表'!BG47</f>
        <v/>
      </c>
      <c r="AC32" s="17">
        <f>'總表'!BH47</f>
        <v/>
      </c>
      <c r="AD32" s="17">
        <f>'總表'!BI47</f>
        <v/>
      </c>
      <c r="AE32" s="17">
        <f>'總表'!BJ47</f>
        <v/>
      </c>
      <c r="AF32" s="18">
        <f>'總表'!BK47</f>
        <v/>
      </c>
      <c r="AG32" s="5">
        <f>'總表'!B47</f>
        <v/>
      </c>
    </row>
    <row r="33">
      <c r="A33" s="5" t="n">
        <v>32</v>
      </c>
      <c r="B33" s="6" t="inlineStr">
        <is>
          <t>GNE</t>
        </is>
      </c>
      <c r="C33" s="5">
        <f>'總表'!D49</f>
        <v/>
      </c>
      <c r="D33" s="5">
        <f>'總表'!F49</f>
        <v/>
      </c>
      <c r="E33" s="5">
        <f>'總表'!G49</f>
        <v/>
      </c>
      <c r="F33" s="5">
        <f>'總表'!I49</f>
        <v/>
      </c>
      <c r="G33" s="40">
        <f>'總表'!H49</f>
        <v/>
      </c>
      <c r="H33" s="41">
        <f>'總表'!J49</f>
        <v/>
      </c>
      <c r="I33" s="9">
        <f>'總表'!L49</f>
        <v/>
      </c>
      <c r="J33" s="41">
        <f>'總表'!R49</f>
        <v/>
      </c>
      <c r="K33" s="41">
        <f>'總表'!S49</f>
        <v/>
      </c>
      <c r="L33" s="9">
        <f>'總表'!W49</f>
        <v/>
      </c>
      <c r="M33" s="9">
        <f>'總表'!X49</f>
        <v/>
      </c>
      <c r="N33" s="11">
        <f>'總表'!AA49</f>
        <v/>
      </c>
      <c r="O33" s="11">
        <f>'總表'!AB49</f>
        <v/>
      </c>
      <c r="P33" s="5">
        <f>'總表'!AD49</f>
        <v/>
      </c>
      <c r="Q33" s="9">
        <f>'總表'!U49</f>
        <v/>
      </c>
      <c r="R33" s="5">
        <f>'總表'!AE49</f>
        <v/>
      </c>
      <c r="S33" s="5">
        <f>'總表'!AI49</f>
        <v/>
      </c>
      <c r="T33" s="5">
        <f>'總表'!AJ49</f>
        <v/>
      </c>
      <c r="U33" s="5">
        <f>'總表'!AK49</f>
        <v/>
      </c>
      <c r="V33" s="5">
        <f>'總表'!AL49</f>
        <v/>
      </c>
      <c r="W33" s="9">
        <f>'總表'!AQ49</f>
        <v/>
      </c>
      <c r="X33" s="9">
        <f>'總表'!AS49</f>
        <v/>
      </c>
      <c r="Y33" s="5">
        <f>'總表'!AT49</f>
        <v/>
      </c>
      <c r="Z33" s="11">
        <f>'總表'!AW49</f>
        <v/>
      </c>
      <c r="AA33" s="17">
        <f>'總表'!BE49</f>
        <v/>
      </c>
      <c r="AB33" s="17">
        <f>'總表'!BG49</f>
        <v/>
      </c>
      <c r="AC33" s="17">
        <f>'總表'!BH49</f>
        <v/>
      </c>
      <c r="AD33" s="17">
        <f>'總表'!BI49</f>
        <v/>
      </c>
      <c r="AE33" s="17">
        <f>'總表'!BJ49</f>
        <v/>
      </c>
      <c r="AF33" s="18">
        <f>'總表'!BK49</f>
        <v/>
      </c>
      <c r="AG33" s="5">
        <f>'總表'!B49</f>
        <v/>
      </c>
    </row>
    <row r="34">
      <c r="A34" s="5" t="n">
        <v>33</v>
      </c>
      <c r="B34" s="6" t="inlineStr">
        <is>
          <t>CRUS</t>
        </is>
      </c>
      <c r="C34" s="5">
        <f>'總表'!D50</f>
        <v/>
      </c>
      <c r="D34" s="5">
        <f>'總表'!F50</f>
        <v/>
      </c>
      <c r="E34" s="5">
        <f>'總表'!G50</f>
        <v/>
      </c>
      <c r="F34" s="5">
        <f>'總表'!I50</f>
        <v/>
      </c>
      <c r="G34" s="40">
        <f>'總表'!H50</f>
        <v/>
      </c>
      <c r="H34" s="41">
        <f>'總表'!J50</f>
        <v/>
      </c>
      <c r="I34" s="9">
        <f>'總表'!L50</f>
        <v/>
      </c>
      <c r="J34" s="41">
        <f>'總表'!R50</f>
        <v/>
      </c>
      <c r="K34" s="41">
        <f>'總表'!S50</f>
        <v/>
      </c>
      <c r="L34" s="9">
        <f>'總表'!W50</f>
        <v/>
      </c>
      <c r="M34" s="9">
        <f>'總表'!X50</f>
        <v/>
      </c>
      <c r="N34" s="11">
        <f>'總表'!AA50</f>
        <v/>
      </c>
      <c r="O34" s="11">
        <f>'總表'!AB50</f>
        <v/>
      </c>
      <c r="P34" s="5">
        <f>'總表'!AD50</f>
        <v/>
      </c>
      <c r="Q34" s="9">
        <f>'總表'!U50</f>
        <v/>
      </c>
      <c r="R34" s="5">
        <f>'總表'!AE50</f>
        <v/>
      </c>
      <c r="S34" s="5">
        <f>'總表'!AI50</f>
        <v/>
      </c>
      <c r="T34" s="5">
        <f>'總表'!AJ50</f>
        <v/>
      </c>
      <c r="U34" s="5">
        <f>'總表'!AK50</f>
        <v/>
      </c>
      <c r="V34" s="5">
        <f>'總表'!AL50</f>
        <v/>
      </c>
      <c r="W34" s="9">
        <f>'總表'!AQ50</f>
        <v/>
      </c>
      <c r="X34" s="9">
        <f>'總表'!AS50</f>
        <v/>
      </c>
      <c r="Y34" s="5">
        <f>'總表'!AT50</f>
        <v/>
      </c>
      <c r="Z34" s="11">
        <f>'總表'!AW50</f>
        <v/>
      </c>
      <c r="AA34" s="17">
        <f>'總表'!BE50</f>
        <v/>
      </c>
      <c r="AB34" s="17">
        <f>'總表'!BG50</f>
        <v/>
      </c>
      <c r="AC34" s="17">
        <f>'總表'!BH50</f>
        <v/>
      </c>
      <c r="AD34" s="17">
        <f>'總表'!BI50</f>
        <v/>
      </c>
      <c r="AE34" s="17">
        <f>'總表'!BJ50</f>
        <v/>
      </c>
      <c r="AF34" s="18">
        <f>'總表'!BK50</f>
        <v/>
      </c>
      <c r="AG34" s="5">
        <f>'總表'!B50</f>
        <v/>
      </c>
    </row>
    <row r="35">
      <c r="A35" s="5" t="n">
        <v>34</v>
      </c>
      <c r="B35" s="6" t="inlineStr">
        <is>
          <t>MAZE</t>
        </is>
      </c>
      <c r="C35" s="5">
        <f>'總表'!D51</f>
        <v/>
      </c>
      <c r="D35" s="5">
        <f>'總表'!F51</f>
        <v/>
      </c>
      <c r="E35" s="5">
        <f>'總表'!G51</f>
        <v/>
      </c>
      <c r="F35" s="5">
        <f>'總表'!I51</f>
        <v/>
      </c>
      <c r="G35" s="40">
        <f>'總表'!H51</f>
        <v/>
      </c>
      <c r="H35" s="41">
        <f>'總表'!J51</f>
        <v/>
      </c>
      <c r="I35" s="9">
        <f>'總表'!L51</f>
        <v/>
      </c>
      <c r="J35" s="41">
        <f>'總表'!R51</f>
        <v/>
      </c>
      <c r="K35" s="41">
        <f>'總表'!S51</f>
        <v/>
      </c>
      <c r="L35" s="9">
        <f>'總表'!W51</f>
        <v/>
      </c>
      <c r="M35" s="9">
        <f>'總表'!X51</f>
        <v/>
      </c>
      <c r="N35" s="11">
        <f>'總表'!AA51</f>
        <v/>
      </c>
      <c r="O35" s="11">
        <f>'總表'!AB51</f>
        <v/>
      </c>
      <c r="P35" s="5">
        <f>'總表'!AD51</f>
        <v/>
      </c>
      <c r="Q35" s="9">
        <f>'總表'!U51</f>
        <v/>
      </c>
      <c r="R35" s="19">
        <f>'總表'!AE51</f>
        <v/>
      </c>
      <c r="S35" s="5">
        <f>'總表'!AI51</f>
        <v/>
      </c>
      <c r="T35" s="5">
        <f>'總表'!AJ51</f>
        <v/>
      </c>
      <c r="U35" s="5">
        <f>'總表'!AK51</f>
        <v/>
      </c>
      <c r="V35" s="5">
        <f>'總表'!AL51</f>
        <v/>
      </c>
      <c r="W35" s="9">
        <f>'總表'!AQ51</f>
        <v/>
      </c>
      <c r="X35" s="9">
        <f>'總表'!AS51</f>
        <v/>
      </c>
      <c r="Y35" s="5">
        <f>'總表'!AT51</f>
        <v/>
      </c>
      <c r="Z35" s="11">
        <f>'總表'!AW51</f>
        <v/>
      </c>
      <c r="AA35" s="17">
        <f>'總表'!BE51</f>
        <v/>
      </c>
      <c r="AB35" s="17">
        <f>'總表'!BG51</f>
        <v/>
      </c>
      <c r="AC35" s="17">
        <f>'總表'!BH51</f>
        <v/>
      </c>
      <c r="AD35" s="17">
        <f>'總表'!BI51</f>
        <v/>
      </c>
      <c r="AE35" s="17">
        <f>'總表'!BJ51</f>
        <v/>
      </c>
      <c r="AF35" s="18">
        <f>'總表'!BK51</f>
        <v/>
      </c>
      <c r="AG35" s="5">
        <f>'總表'!B51</f>
        <v/>
      </c>
    </row>
    <row r="36">
      <c r="A36" s="5" t="n">
        <v>35</v>
      </c>
      <c r="B36" s="6" t="inlineStr">
        <is>
          <t>KODK</t>
        </is>
      </c>
      <c r="C36" s="5">
        <f>'總表'!D52</f>
        <v/>
      </c>
      <c r="D36" s="5">
        <f>'總表'!F52</f>
        <v/>
      </c>
      <c r="E36" s="5">
        <f>'總表'!G52</f>
        <v/>
      </c>
      <c r="F36" s="5">
        <f>'總表'!I52</f>
        <v/>
      </c>
      <c r="G36" s="40">
        <f>'總表'!H52</f>
        <v/>
      </c>
      <c r="H36" s="41">
        <f>'總表'!J52</f>
        <v/>
      </c>
      <c r="I36" s="9">
        <f>'總表'!L52</f>
        <v/>
      </c>
      <c r="J36" s="41">
        <f>'總表'!R52</f>
        <v/>
      </c>
      <c r="K36" s="41">
        <f>'總表'!S52</f>
        <v/>
      </c>
      <c r="L36" s="9">
        <f>'總表'!W52</f>
        <v/>
      </c>
      <c r="M36" s="9">
        <f>'總表'!X52</f>
        <v/>
      </c>
      <c r="N36" s="11">
        <f>'總表'!AA52</f>
        <v/>
      </c>
      <c r="O36" s="11">
        <f>'總表'!AB52</f>
        <v/>
      </c>
      <c r="P36" s="5">
        <f>'總表'!AD52</f>
        <v/>
      </c>
      <c r="Q36" s="9">
        <f>'總表'!U52</f>
        <v/>
      </c>
      <c r="R36" s="5">
        <f>'總表'!AE52</f>
        <v/>
      </c>
      <c r="S36" s="5">
        <f>'總表'!AI52</f>
        <v/>
      </c>
      <c r="T36" s="5">
        <f>'總表'!AJ52</f>
        <v/>
      </c>
      <c r="U36" s="5">
        <f>'總表'!AK52</f>
        <v/>
      </c>
      <c r="V36" s="5">
        <f>'總表'!AL52</f>
        <v/>
      </c>
      <c r="W36" s="9">
        <f>'總表'!AQ52</f>
        <v/>
      </c>
      <c r="X36" s="9">
        <f>'總表'!AS52</f>
        <v/>
      </c>
      <c r="Y36" s="5">
        <f>'總表'!AT52</f>
        <v/>
      </c>
      <c r="Z36" s="11">
        <f>'總表'!AW52</f>
        <v/>
      </c>
      <c r="AA36" s="17">
        <f>'總表'!BE52</f>
        <v/>
      </c>
      <c r="AB36" s="17">
        <f>'總表'!BG52</f>
        <v/>
      </c>
      <c r="AC36" s="17">
        <f>'總表'!BH52</f>
        <v/>
      </c>
      <c r="AD36" s="17">
        <f>'總表'!BI52</f>
        <v/>
      </c>
      <c r="AE36" s="17">
        <f>'總表'!BJ52</f>
        <v/>
      </c>
      <c r="AF36" s="18">
        <f>'總表'!BK52</f>
        <v/>
      </c>
      <c r="AG36" s="5">
        <f>'總表'!B52</f>
        <v/>
      </c>
    </row>
    <row r="37">
      <c r="A37" s="5" t="n">
        <v>36</v>
      </c>
      <c r="B37" s="6" t="inlineStr">
        <is>
          <t>NEU</t>
        </is>
      </c>
      <c r="C37" s="5">
        <f>'總表'!D53</f>
        <v/>
      </c>
      <c r="D37" s="5">
        <f>'總表'!F53</f>
        <v/>
      </c>
      <c r="E37" s="5">
        <f>'總表'!G53</f>
        <v/>
      </c>
      <c r="F37" s="5">
        <f>'總表'!I53</f>
        <v/>
      </c>
      <c r="G37" s="40">
        <f>'總表'!H53</f>
        <v/>
      </c>
      <c r="H37" s="41">
        <f>'總表'!J53</f>
        <v/>
      </c>
      <c r="I37" s="9">
        <f>'總表'!L53</f>
        <v/>
      </c>
      <c r="J37" s="41">
        <f>'總表'!R53</f>
        <v/>
      </c>
      <c r="K37" s="41">
        <f>'總表'!S53</f>
        <v/>
      </c>
      <c r="L37" s="9">
        <f>'總表'!W53</f>
        <v/>
      </c>
      <c r="M37" s="9">
        <f>'總表'!X53</f>
        <v/>
      </c>
      <c r="N37" s="11">
        <f>'總表'!AA53</f>
        <v/>
      </c>
      <c r="O37" s="11">
        <f>'總表'!AB53</f>
        <v/>
      </c>
      <c r="P37" s="5">
        <f>'總表'!AD53</f>
        <v/>
      </c>
      <c r="Q37" s="9">
        <f>'總表'!U53</f>
        <v/>
      </c>
      <c r="R37" s="19">
        <f>'總表'!AE53</f>
        <v/>
      </c>
      <c r="S37" s="5">
        <f>'總表'!AI53</f>
        <v/>
      </c>
      <c r="T37" s="5">
        <f>'總表'!AJ53</f>
        <v/>
      </c>
      <c r="U37" s="5">
        <f>'總表'!AK53</f>
        <v/>
      </c>
      <c r="V37" s="5">
        <f>'總表'!AL53</f>
        <v/>
      </c>
      <c r="W37" s="9">
        <f>'總表'!AQ53</f>
        <v/>
      </c>
      <c r="X37" s="9">
        <f>'總表'!AS53</f>
        <v/>
      </c>
      <c r="Y37" s="5">
        <f>'總表'!AT53</f>
        <v/>
      </c>
      <c r="Z37" s="11">
        <f>'總表'!AW53</f>
        <v/>
      </c>
      <c r="AA37" s="17">
        <f>'總表'!BE53</f>
        <v/>
      </c>
      <c r="AB37" s="17">
        <f>'總表'!BG53</f>
        <v/>
      </c>
      <c r="AC37" s="17">
        <f>'總表'!BH53</f>
        <v/>
      </c>
      <c r="AD37" s="17">
        <f>'總表'!BI53</f>
        <v/>
      </c>
      <c r="AE37" s="17">
        <f>'總表'!BJ53</f>
        <v/>
      </c>
      <c r="AF37" s="18">
        <f>'總表'!BK53</f>
        <v/>
      </c>
      <c r="AG37" s="5">
        <f>'總表'!B53</f>
        <v/>
      </c>
    </row>
    <row r="38">
      <c r="A38" s="5" t="n">
        <v>37</v>
      </c>
      <c r="B38" s="6" t="inlineStr">
        <is>
          <t>EXEL</t>
        </is>
      </c>
      <c r="C38" s="5">
        <f>'總表'!D54</f>
        <v/>
      </c>
      <c r="D38" s="5">
        <f>'總表'!F54</f>
        <v/>
      </c>
      <c r="E38" s="5">
        <f>'總表'!G54</f>
        <v/>
      </c>
      <c r="F38" s="5">
        <f>'總表'!I54</f>
        <v/>
      </c>
      <c r="G38" s="40">
        <f>'總表'!H54</f>
        <v/>
      </c>
      <c r="H38" s="41">
        <f>'總表'!J54</f>
        <v/>
      </c>
      <c r="I38" s="9">
        <f>'總表'!L54</f>
        <v/>
      </c>
      <c r="J38" s="41">
        <f>'總表'!R54</f>
        <v/>
      </c>
      <c r="K38" s="41">
        <f>'總表'!S54</f>
        <v/>
      </c>
      <c r="L38" s="9">
        <f>'總表'!W54</f>
        <v/>
      </c>
      <c r="M38" s="9">
        <f>'總表'!X54</f>
        <v/>
      </c>
      <c r="N38" s="11">
        <f>'總表'!AA54</f>
        <v/>
      </c>
      <c r="O38" s="11">
        <f>'總表'!AB54</f>
        <v/>
      </c>
      <c r="P38" s="5">
        <f>'總表'!AD54</f>
        <v/>
      </c>
      <c r="Q38" s="9">
        <f>'總表'!U54</f>
        <v/>
      </c>
      <c r="R38" s="5">
        <f>'總表'!AE54</f>
        <v/>
      </c>
      <c r="S38" s="5">
        <f>'總表'!AI54</f>
        <v/>
      </c>
      <c r="T38" s="5">
        <f>'總表'!AJ54</f>
        <v/>
      </c>
      <c r="U38" s="5">
        <f>'總表'!AK54</f>
        <v/>
      </c>
      <c r="V38" s="5">
        <f>'總表'!AL54</f>
        <v/>
      </c>
      <c r="W38" s="9">
        <f>'總表'!AQ54</f>
        <v/>
      </c>
      <c r="X38" s="9">
        <f>'總表'!AS54</f>
        <v/>
      </c>
      <c r="Y38" s="5">
        <f>'總表'!AT54</f>
        <v/>
      </c>
      <c r="Z38" s="11">
        <f>'總表'!AW54</f>
        <v/>
      </c>
      <c r="AA38" s="17">
        <f>'總表'!BE54</f>
        <v/>
      </c>
      <c r="AB38" s="17">
        <f>'總表'!BG54</f>
        <v/>
      </c>
      <c r="AC38" s="17">
        <f>'總表'!BH54</f>
        <v/>
      </c>
      <c r="AD38" s="17">
        <f>'總表'!BI54</f>
        <v/>
      </c>
      <c r="AE38" s="17">
        <f>'總表'!BJ54</f>
        <v/>
      </c>
      <c r="AF38" s="18">
        <f>'總表'!BK54</f>
        <v/>
      </c>
      <c r="AG38" s="5">
        <f>'總表'!B54</f>
        <v/>
      </c>
    </row>
    <row r="39">
      <c r="A39" s="5" t="n">
        <v>38</v>
      </c>
      <c r="B39" s="6" t="inlineStr">
        <is>
          <t>AZTA</t>
        </is>
      </c>
      <c r="C39" s="5">
        <f>'總表'!D55</f>
        <v/>
      </c>
      <c r="D39" s="5">
        <f>'總表'!F55</f>
        <v/>
      </c>
      <c r="E39" s="5">
        <f>'總表'!G55</f>
        <v/>
      </c>
      <c r="F39" s="5">
        <f>'總表'!I55</f>
        <v/>
      </c>
      <c r="G39" s="40">
        <f>'總表'!H55</f>
        <v/>
      </c>
      <c r="H39" s="41">
        <f>'總表'!J55</f>
        <v/>
      </c>
      <c r="I39" s="9">
        <f>'總表'!L55</f>
        <v/>
      </c>
      <c r="J39" s="41">
        <f>'總表'!R55</f>
        <v/>
      </c>
      <c r="K39" s="41">
        <f>'總表'!S55</f>
        <v/>
      </c>
      <c r="L39" s="9">
        <f>'總表'!W55</f>
        <v/>
      </c>
      <c r="M39" s="9">
        <f>'總表'!X55</f>
        <v/>
      </c>
      <c r="N39" s="11">
        <f>'總表'!AA55</f>
        <v/>
      </c>
      <c r="O39" s="11">
        <f>'總表'!AB55</f>
        <v/>
      </c>
      <c r="P39" s="5">
        <f>'總表'!AD55</f>
        <v/>
      </c>
      <c r="Q39" s="9">
        <f>'總表'!U55</f>
        <v/>
      </c>
      <c r="R39" s="5">
        <f>'總表'!AE55</f>
        <v/>
      </c>
      <c r="S39" s="5">
        <f>'總表'!AI55</f>
        <v/>
      </c>
      <c r="T39" s="5">
        <f>'總表'!AJ55</f>
        <v/>
      </c>
      <c r="U39" s="5">
        <f>'總表'!AK55</f>
        <v/>
      </c>
      <c r="V39" s="5">
        <f>'總表'!AL55</f>
        <v/>
      </c>
      <c r="W39" s="9">
        <f>'總表'!AQ55</f>
        <v/>
      </c>
      <c r="X39" s="9">
        <f>'總表'!AS55</f>
        <v/>
      </c>
      <c r="Y39" s="5">
        <f>'總表'!AT55</f>
        <v/>
      </c>
      <c r="Z39" s="11">
        <f>'總表'!AW55</f>
        <v/>
      </c>
      <c r="AA39" s="17">
        <f>'總表'!BE55</f>
        <v/>
      </c>
      <c r="AB39" s="17">
        <f>'總表'!BG55</f>
        <v/>
      </c>
      <c r="AC39" s="17">
        <f>'總表'!BH55</f>
        <v/>
      </c>
      <c r="AD39" s="17">
        <f>'總表'!BI55</f>
        <v/>
      </c>
      <c r="AE39" s="17">
        <f>'總表'!BJ55</f>
        <v/>
      </c>
      <c r="AF39" s="18">
        <f>'總表'!BK55</f>
        <v/>
      </c>
      <c r="AG39" s="5">
        <f>'總表'!B55</f>
        <v/>
      </c>
    </row>
    <row r="40">
      <c r="A40" s="5" t="n">
        <v>39</v>
      </c>
      <c r="B40" s="6" t="inlineStr">
        <is>
          <t>SWBI</t>
        </is>
      </c>
      <c r="C40" s="5">
        <f>'總表'!D56</f>
        <v/>
      </c>
      <c r="D40" s="5">
        <f>'總表'!F56</f>
        <v/>
      </c>
      <c r="E40" s="5">
        <f>'總表'!G56</f>
        <v/>
      </c>
      <c r="F40" s="5">
        <f>'總表'!I56</f>
        <v/>
      </c>
      <c r="G40" s="40">
        <f>'總表'!H56</f>
        <v/>
      </c>
      <c r="H40" s="41">
        <f>'總表'!J56</f>
        <v/>
      </c>
      <c r="I40" s="9">
        <f>'總表'!L56</f>
        <v/>
      </c>
      <c r="J40" s="41">
        <f>'總表'!R56</f>
        <v/>
      </c>
      <c r="K40" s="41">
        <f>'總表'!S56</f>
        <v/>
      </c>
      <c r="L40" s="9">
        <f>'總表'!W56</f>
        <v/>
      </c>
      <c r="M40" s="9">
        <f>'總表'!X56</f>
        <v/>
      </c>
      <c r="N40" s="11">
        <f>'總表'!AA56</f>
        <v/>
      </c>
      <c r="O40" s="11">
        <f>'總表'!AB56</f>
        <v/>
      </c>
      <c r="P40" s="5">
        <f>'總表'!AD56</f>
        <v/>
      </c>
      <c r="Q40" s="9">
        <f>'總表'!U56</f>
        <v/>
      </c>
      <c r="R40" s="5">
        <f>'總表'!AE56</f>
        <v/>
      </c>
      <c r="S40" s="5">
        <f>'總表'!AI56</f>
        <v/>
      </c>
      <c r="T40" s="5">
        <f>'總表'!AJ56</f>
        <v/>
      </c>
      <c r="U40" s="5">
        <f>'總表'!AK56</f>
        <v/>
      </c>
      <c r="V40" s="5">
        <f>'總表'!AL56</f>
        <v/>
      </c>
      <c r="W40" s="9">
        <f>'總表'!AQ56</f>
        <v/>
      </c>
      <c r="X40" s="9">
        <f>'總表'!AS56</f>
        <v/>
      </c>
      <c r="Y40" s="5">
        <f>'總表'!AT56</f>
        <v/>
      </c>
      <c r="Z40" s="11">
        <f>'總表'!AW56</f>
        <v/>
      </c>
      <c r="AA40" s="17">
        <f>'總表'!BE56</f>
        <v/>
      </c>
      <c r="AB40" s="17">
        <f>'總表'!BG56</f>
        <v/>
      </c>
      <c r="AC40" s="17">
        <f>'總表'!BH56</f>
        <v/>
      </c>
      <c r="AD40" s="17">
        <f>'總表'!BI56</f>
        <v/>
      </c>
      <c r="AE40" s="17">
        <f>'總表'!BJ56</f>
        <v/>
      </c>
      <c r="AF40" s="18">
        <f>'總表'!BK56</f>
        <v/>
      </c>
      <c r="AG40" s="5">
        <f>'總表'!B56</f>
        <v/>
      </c>
    </row>
    <row r="41">
      <c r="A41" s="5" t="n">
        <v>40</v>
      </c>
      <c r="B41" s="6" t="inlineStr">
        <is>
          <t>CSTL</t>
        </is>
      </c>
      <c r="C41" s="5">
        <f>'總表'!D57</f>
        <v/>
      </c>
      <c r="D41" s="5">
        <f>'總表'!F57</f>
        <v/>
      </c>
      <c r="E41" s="5">
        <f>'總表'!G57</f>
        <v/>
      </c>
      <c r="F41" s="5">
        <f>'總表'!I57</f>
        <v/>
      </c>
      <c r="G41" s="40">
        <f>'總表'!H57</f>
        <v/>
      </c>
      <c r="H41" s="41">
        <f>'總表'!J57</f>
        <v/>
      </c>
      <c r="I41" s="9">
        <f>'總表'!L57</f>
        <v/>
      </c>
      <c r="J41" s="41">
        <f>'總表'!R57</f>
        <v/>
      </c>
      <c r="K41" s="41">
        <f>'總表'!S57</f>
        <v/>
      </c>
      <c r="L41" s="9">
        <f>'總表'!W57</f>
        <v/>
      </c>
      <c r="M41" s="9">
        <f>'總表'!X57</f>
        <v/>
      </c>
      <c r="N41" s="11">
        <f>'總表'!AA57</f>
        <v/>
      </c>
      <c r="O41" s="11">
        <f>'總表'!AB57</f>
        <v/>
      </c>
      <c r="P41" s="5">
        <f>'總表'!AD57</f>
        <v/>
      </c>
      <c r="Q41" s="9">
        <f>'總表'!U57</f>
        <v/>
      </c>
      <c r="R41" s="5">
        <f>'總表'!AE57</f>
        <v/>
      </c>
      <c r="S41" s="5">
        <f>'總表'!AI57</f>
        <v/>
      </c>
      <c r="T41" s="5">
        <f>'總表'!AJ57</f>
        <v/>
      </c>
      <c r="U41" s="5">
        <f>'總表'!AK57</f>
        <v/>
      </c>
      <c r="V41" s="5">
        <f>'總表'!AL57</f>
        <v/>
      </c>
      <c r="W41" s="9">
        <f>'總表'!AQ57</f>
        <v/>
      </c>
      <c r="X41" s="9">
        <f>'總表'!AS57</f>
        <v/>
      </c>
      <c r="Y41" s="5">
        <f>'總表'!AT57</f>
        <v/>
      </c>
      <c r="Z41" s="11">
        <f>'總表'!AW57</f>
        <v/>
      </c>
      <c r="AA41" s="17">
        <f>'總表'!BE57</f>
        <v/>
      </c>
      <c r="AB41" s="17">
        <f>'總表'!BG57</f>
        <v/>
      </c>
      <c r="AC41" s="17">
        <f>'總表'!BH57</f>
        <v/>
      </c>
      <c r="AD41" s="17">
        <f>'總表'!BI57</f>
        <v/>
      </c>
      <c r="AE41" s="17">
        <f>'總表'!BJ57</f>
        <v/>
      </c>
      <c r="AF41" s="18">
        <f>'總表'!BK57</f>
        <v/>
      </c>
      <c r="AG41" s="5">
        <f>'總表'!B57</f>
        <v/>
      </c>
    </row>
    <row r="42">
      <c r="A42" s="5" t="n">
        <v>41</v>
      </c>
      <c r="B42" s="6" t="inlineStr">
        <is>
          <t>PBYI</t>
        </is>
      </c>
      <c r="C42" s="5">
        <f>'總表'!D58</f>
        <v/>
      </c>
      <c r="D42" s="5">
        <f>'總表'!F58</f>
        <v/>
      </c>
      <c r="E42" s="5">
        <f>'總表'!G58</f>
        <v/>
      </c>
      <c r="F42" s="5">
        <f>'總表'!I58</f>
        <v/>
      </c>
      <c r="G42" s="40">
        <f>'總表'!H58</f>
        <v/>
      </c>
      <c r="H42" s="41">
        <f>'總表'!J58</f>
        <v/>
      </c>
      <c r="I42" s="9">
        <f>'總表'!L58</f>
        <v/>
      </c>
      <c r="J42" s="41">
        <f>'總表'!R58</f>
        <v/>
      </c>
      <c r="K42" s="41">
        <f>'總表'!S58</f>
        <v/>
      </c>
      <c r="L42" s="9">
        <f>'總表'!W58</f>
        <v/>
      </c>
      <c r="M42" s="9">
        <f>'總表'!X58</f>
        <v/>
      </c>
      <c r="N42" s="11">
        <f>'總表'!AA58</f>
        <v/>
      </c>
      <c r="O42" s="11">
        <f>'總表'!AB58</f>
        <v/>
      </c>
      <c r="P42" s="5">
        <f>'總表'!AD58</f>
        <v/>
      </c>
      <c r="Q42" s="9">
        <f>'總表'!U58</f>
        <v/>
      </c>
      <c r="R42" s="5">
        <f>'總表'!AE58</f>
        <v/>
      </c>
      <c r="S42" s="5">
        <f>'總表'!AI58</f>
        <v/>
      </c>
      <c r="T42" s="5">
        <f>'總表'!AJ58</f>
        <v/>
      </c>
      <c r="U42" s="5">
        <f>'總表'!AK58</f>
        <v/>
      </c>
      <c r="V42" s="5">
        <f>'總表'!AL58</f>
        <v/>
      </c>
      <c r="W42" s="9">
        <f>'總表'!AQ58</f>
        <v/>
      </c>
      <c r="X42" s="9">
        <f>'總表'!AS58</f>
        <v/>
      </c>
      <c r="Y42" s="5">
        <f>'總表'!AT58</f>
        <v/>
      </c>
      <c r="Z42" s="11">
        <f>'總表'!AW58</f>
        <v/>
      </c>
      <c r="AA42" s="17">
        <f>'總表'!BE58</f>
        <v/>
      </c>
      <c r="AB42" s="17">
        <f>'總表'!BG58</f>
        <v/>
      </c>
      <c r="AC42" s="17">
        <f>'總表'!BH58</f>
        <v/>
      </c>
      <c r="AD42" s="17">
        <f>'總表'!BI58</f>
        <v/>
      </c>
      <c r="AE42" s="17">
        <f>'總表'!BJ58</f>
        <v/>
      </c>
      <c r="AF42" s="18">
        <f>'總表'!BK58</f>
        <v/>
      </c>
      <c r="AG42" s="5">
        <f>'總表'!B58</f>
        <v/>
      </c>
    </row>
    <row r="43">
      <c r="A43" s="5" t="n">
        <v>42</v>
      </c>
      <c r="B43" s="6" t="inlineStr">
        <is>
          <t>HWKN</t>
        </is>
      </c>
      <c r="C43" s="5">
        <f>'總表'!D59</f>
        <v/>
      </c>
      <c r="D43" s="5">
        <f>'總表'!F59</f>
        <v/>
      </c>
      <c r="E43" s="5">
        <f>'總表'!G59</f>
        <v/>
      </c>
      <c r="F43" s="5">
        <f>'總表'!I59</f>
        <v/>
      </c>
      <c r="G43" s="40">
        <f>'總表'!H59</f>
        <v/>
      </c>
      <c r="H43" s="41">
        <f>'總表'!J59</f>
        <v/>
      </c>
      <c r="I43" s="9">
        <f>'總表'!L59</f>
        <v/>
      </c>
      <c r="J43" s="41">
        <f>'總表'!R59</f>
        <v/>
      </c>
      <c r="K43" s="41">
        <f>'總表'!S59</f>
        <v/>
      </c>
      <c r="L43" s="9">
        <f>'總表'!W59</f>
        <v/>
      </c>
      <c r="M43" s="9">
        <f>'總表'!X59</f>
        <v/>
      </c>
      <c r="N43" s="11">
        <f>'總表'!AA59</f>
        <v/>
      </c>
      <c r="O43" s="11">
        <f>'總表'!AB59</f>
        <v/>
      </c>
      <c r="P43" s="5">
        <f>'總表'!AD59</f>
        <v/>
      </c>
      <c r="Q43" s="9">
        <f>'總表'!U59</f>
        <v/>
      </c>
      <c r="R43" s="19">
        <f>'總表'!AE59</f>
        <v/>
      </c>
      <c r="S43" s="5">
        <f>'總表'!AI59</f>
        <v/>
      </c>
      <c r="T43" s="5">
        <f>'總表'!AJ59</f>
        <v/>
      </c>
      <c r="U43" s="5">
        <f>'總表'!AK59</f>
        <v/>
      </c>
      <c r="V43" s="5">
        <f>'總表'!AL59</f>
        <v/>
      </c>
      <c r="W43" s="9">
        <f>'總表'!AQ59</f>
        <v/>
      </c>
      <c r="X43" s="9">
        <f>'總表'!AS59</f>
        <v/>
      </c>
      <c r="Y43" s="5">
        <f>'總表'!AT59</f>
        <v/>
      </c>
      <c r="Z43" s="11">
        <f>'總表'!AW59</f>
        <v/>
      </c>
      <c r="AA43" s="17">
        <f>'總表'!BE59</f>
        <v/>
      </c>
      <c r="AB43" s="17">
        <f>'總表'!BG59</f>
        <v/>
      </c>
      <c r="AC43" s="17">
        <f>'總表'!BH59</f>
        <v/>
      </c>
      <c r="AD43" s="17">
        <f>'總表'!BI59</f>
        <v/>
      </c>
      <c r="AE43" s="17">
        <f>'總表'!BJ59</f>
        <v/>
      </c>
      <c r="AF43" s="18">
        <f>'總表'!BK59</f>
        <v/>
      </c>
      <c r="AG43" s="5">
        <f>'總表'!B59</f>
        <v/>
      </c>
    </row>
    <row r="44">
      <c r="A44" s="5" t="n">
        <v>43</v>
      </c>
      <c r="B44" s="6" t="inlineStr">
        <is>
          <t>BRKR</t>
        </is>
      </c>
      <c r="C44" s="5">
        <f>'總表'!D61</f>
        <v/>
      </c>
      <c r="D44" s="5">
        <f>'總表'!F61</f>
        <v/>
      </c>
      <c r="E44" s="5">
        <f>'總表'!G61</f>
        <v/>
      </c>
      <c r="F44" s="5">
        <f>'總表'!I61</f>
        <v/>
      </c>
      <c r="G44" s="40">
        <f>'總表'!H61</f>
        <v/>
      </c>
      <c r="H44" s="41">
        <f>'總表'!J61</f>
        <v/>
      </c>
      <c r="I44" s="9">
        <f>'總表'!L61</f>
        <v/>
      </c>
      <c r="J44" s="41">
        <f>'總表'!R61</f>
        <v/>
      </c>
      <c r="K44" s="41">
        <f>'總表'!S61</f>
        <v/>
      </c>
      <c r="L44" s="9">
        <f>'總表'!W61</f>
        <v/>
      </c>
      <c r="M44" s="9">
        <f>'總表'!X61</f>
        <v/>
      </c>
      <c r="N44" s="11">
        <f>'總表'!AA61</f>
        <v/>
      </c>
      <c r="O44" s="11">
        <f>'總表'!AB61</f>
        <v/>
      </c>
      <c r="P44" s="5">
        <f>'總表'!AD61</f>
        <v/>
      </c>
      <c r="Q44" s="9">
        <f>'總表'!U61</f>
        <v/>
      </c>
      <c r="R44" s="5">
        <f>'總表'!AE61</f>
        <v/>
      </c>
      <c r="S44" s="5">
        <f>'總表'!AI61</f>
        <v/>
      </c>
      <c r="T44" s="5">
        <f>'總表'!AJ61</f>
        <v/>
      </c>
      <c r="U44" s="5">
        <f>'總表'!AK61</f>
        <v/>
      </c>
      <c r="V44" s="5">
        <f>'總表'!AL61</f>
        <v/>
      </c>
      <c r="W44" s="9">
        <f>'總表'!AQ61</f>
        <v/>
      </c>
      <c r="X44" s="9">
        <f>'總表'!AS61</f>
        <v/>
      </c>
      <c r="Y44" s="5">
        <f>'總表'!AT61</f>
        <v/>
      </c>
      <c r="Z44" s="11">
        <f>'總表'!AW61</f>
        <v/>
      </c>
      <c r="AA44" s="17">
        <f>'總表'!BE61</f>
        <v/>
      </c>
      <c r="AB44" s="17">
        <f>'總表'!BG61</f>
        <v/>
      </c>
      <c r="AC44" s="17">
        <f>'總表'!BH61</f>
        <v/>
      </c>
      <c r="AD44" s="17">
        <f>'總表'!BI61</f>
        <v/>
      </c>
      <c r="AE44" s="17">
        <f>'總表'!BJ61</f>
        <v/>
      </c>
      <c r="AF44" s="18">
        <f>'總表'!BK61</f>
        <v/>
      </c>
      <c r="AG44" s="5">
        <f>'總表'!B61</f>
        <v/>
      </c>
    </row>
    <row r="45">
      <c r="A45" s="5" t="n">
        <v>44</v>
      </c>
      <c r="B45" s="6" t="inlineStr">
        <is>
          <t>GFS</t>
        </is>
      </c>
      <c r="C45" s="5">
        <f>'總表'!D63</f>
        <v/>
      </c>
      <c r="D45" s="5">
        <f>'總表'!F63</f>
        <v/>
      </c>
      <c r="E45" s="5">
        <f>'總表'!G63</f>
        <v/>
      </c>
      <c r="F45" s="5">
        <f>'總表'!I63</f>
        <v/>
      </c>
      <c r="G45" s="40">
        <f>'總表'!H63</f>
        <v/>
      </c>
      <c r="H45" s="41">
        <f>'總表'!J63</f>
        <v/>
      </c>
      <c r="I45" s="9">
        <f>'總表'!L63</f>
        <v/>
      </c>
      <c r="J45" s="41">
        <f>'總表'!R63</f>
        <v/>
      </c>
      <c r="K45" s="41">
        <f>'總表'!S63</f>
        <v/>
      </c>
      <c r="L45" s="9">
        <f>'總表'!W63</f>
        <v/>
      </c>
      <c r="M45" s="9">
        <f>'總表'!X63</f>
        <v/>
      </c>
      <c r="N45" s="11">
        <f>'總表'!AA63</f>
        <v/>
      </c>
      <c r="O45" s="11">
        <f>'總表'!AB63</f>
        <v/>
      </c>
      <c r="P45" s="5">
        <f>'總表'!AD63</f>
        <v/>
      </c>
      <c r="Q45" s="9">
        <f>'總表'!U63</f>
        <v/>
      </c>
      <c r="R45" s="19">
        <f>'總表'!AE63</f>
        <v/>
      </c>
      <c r="S45" s="5">
        <f>'總表'!AI63</f>
        <v/>
      </c>
      <c r="T45" s="5">
        <f>'總表'!AJ63</f>
        <v/>
      </c>
      <c r="U45" s="5">
        <f>'總表'!AK63</f>
        <v/>
      </c>
      <c r="V45" s="5">
        <f>'總表'!AL63</f>
        <v/>
      </c>
      <c r="W45" s="9">
        <f>'總表'!AQ63</f>
        <v/>
      </c>
      <c r="X45" s="9">
        <f>'總表'!AS63</f>
        <v/>
      </c>
      <c r="Y45" s="5">
        <f>'總表'!AT63</f>
        <v/>
      </c>
      <c r="Z45" s="11">
        <f>'總表'!AW63</f>
        <v/>
      </c>
      <c r="AA45" s="17">
        <f>'總表'!BE63</f>
        <v/>
      </c>
      <c r="AB45" s="17">
        <f>'總表'!BG63</f>
        <v/>
      </c>
      <c r="AC45" s="17">
        <f>'總表'!BH63</f>
        <v/>
      </c>
      <c r="AD45" s="17">
        <f>'總表'!BI63</f>
        <v/>
      </c>
      <c r="AE45" s="17">
        <f>'總表'!BJ63</f>
        <v/>
      </c>
      <c r="AF45" s="18">
        <f>'總表'!BK63</f>
        <v/>
      </c>
      <c r="AG45" s="5">
        <f>'總表'!B63</f>
        <v/>
      </c>
    </row>
    <row r="46">
      <c r="A46" s="5" t="n">
        <v>45</v>
      </c>
      <c r="B46" s="6" t="inlineStr">
        <is>
          <t>EGBN</t>
        </is>
      </c>
      <c r="C46" s="5">
        <f>'總表'!D64</f>
        <v/>
      </c>
      <c r="D46" s="5">
        <f>'總表'!F64</f>
        <v/>
      </c>
      <c r="E46" s="5">
        <f>'總表'!G64</f>
        <v/>
      </c>
      <c r="F46" s="5">
        <f>'總表'!I64</f>
        <v/>
      </c>
      <c r="G46" s="40">
        <f>'總表'!H64</f>
        <v/>
      </c>
      <c r="H46" s="41">
        <f>'總表'!J64</f>
        <v/>
      </c>
      <c r="I46" s="9">
        <f>'總表'!L64</f>
        <v/>
      </c>
      <c r="J46" s="41">
        <f>'總表'!R64</f>
        <v/>
      </c>
      <c r="K46" s="41">
        <f>'總表'!S64</f>
        <v/>
      </c>
      <c r="L46" s="9">
        <f>'總表'!W64</f>
        <v/>
      </c>
      <c r="M46" s="9">
        <f>'總表'!X64</f>
        <v/>
      </c>
      <c r="N46" s="11">
        <f>'總表'!AA64</f>
        <v/>
      </c>
      <c r="O46" s="11">
        <f>'總表'!AB64</f>
        <v/>
      </c>
      <c r="P46" s="5">
        <f>'總表'!AD64</f>
        <v/>
      </c>
      <c r="Q46" s="9">
        <f>'總表'!U64</f>
        <v/>
      </c>
      <c r="R46" s="5">
        <f>'總表'!AE64</f>
        <v/>
      </c>
      <c r="S46" s="5">
        <f>'總表'!AI64</f>
        <v/>
      </c>
      <c r="T46" s="5">
        <f>'總表'!AJ64</f>
        <v/>
      </c>
      <c r="U46" s="5">
        <f>'總表'!AK64</f>
        <v/>
      </c>
      <c r="V46" s="5">
        <f>'總表'!AL64</f>
        <v/>
      </c>
      <c r="W46" s="9">
        <f>'總表'!AQ64</f>
        <v/>
      </c>
      <c r="X46" s="9">
        <f>'總表'!AS64</f>
        <v/>
      </c>
      <c r="Y46" s="5">
        <f>'總表'!AT64</f>
        <v/>
      </c>
      <c r="Z46" s="11">
        <f>'總表'!AW64</f>
        <v/>
      </c>
      <c r="AA46" s="17">
        <f>'總表'!BE64</f>
        <v/>
      </c>
      <c r="AB46" s="17">
        <f>'總表'!BG64</f>
        <v/>
      </c>
      <c r="AC46" s="17">
        <f>'總表'!BH64</f>
        <v/>
      </c>
      <c r="AD46" s="17">
        <f>'總表'!BI64</f>
        <v/>
      </c>
      <c r="AE46" s="17">
        <f>'總表'!BJ64</f>
        <v/>
      </c>
      <c r="AF46" s="18">
        <f>'總表'!BK64</f>
        <v/>
      </c>
      <c r="AG46" s="5">
        <f>'總表'!B64</f>
        <v/>
      </c>
    </row>
    <row r="47">
      <c r="A47" s="5" t="n">
        <v>46</v>
      </c>
      <c r="B47" s="6" t="inlineStr">
        <is>
          <t>DJCO</t>
        </is>
      </c>
      <c r="C47" s="5">
        <f>'總表'!D65</f>
        <v/>
      </c>
      <c r="D47" s="5">
        <f>'總表'!F65</f>
        <v/>
      </c>
      <c r="E47" s="5">
        <f>'總表'!G65</f>
        <v/>
      </c>
      <c r="F47" s="5">
        <f>'總表'!I65</f>
        <v/>
      </c>
      <c r="G47" s="40">
        <f>'總表'!H65</f>
        <v/>
      </c>
      <c r="H47" s="41">
        <f>'總表'!J65</f>
        <v/>
      </c>
      <c r="I47" s="9">
        <f>'總表'!L65</f>
        <v/>
      </c>
      <c r="J47" s="41">
        <f>'總表'!R65</f>
        <v/>
      </c>
      <c r="K47" s="41">
        <f>'總表'!S65</f>
        <v/>
      </c>
      <c r="L47" s="9">
        <f>'總表'!W65</f>
        <v/>
      </c>
      <c r="M47" s="9">
        <f>'總表'!X65</f>
        <v/>
      </c>
      <c r="N47" s="11">
        <f>'總表'!AA65</f>
        <v/>
      </c>
      <c r="O47" s="11">
        <f>'總表'!AB65</f>
        <v/>
      </c>
      <c r="P47" s="5">
        <f>'總表'!AD65</f>
        <v/>
      </c>
      <c r="Q47" s="9">
        <f>'總表'!U65</f>
        <v/>
      </c>
      <c r="R47" s="5">
        <f>'總表'!AE65</f>
        <v/>
      </c>
      <c r="S47" s="5">
        <f>'總表'!AI65</f>
        <v/>
      </c>
      <c r="T47" s="5">
        <f>'總表'!AJ65</f>
        <v/>
      </c>
      <c r="U47" s="5">
        <f>'總表'!AK65</f>
        <v/>
      </c>
      <c r="V47" s="5">
        <f>'總表'!AL65</f>
        <v/>
      </c>
      <c r="W47" s="9">
        <f>'總表'!AQ65</f>
        <v/>
      </c>
      <c r="X47" s="9">
        <f>'總表'!AS65</f>
        <v/>
      </c>
      <c r="Y47" s="5">
        <f>'總表'!AT65</f>
        <v/>
      </c>
      <c r="Z47" s="11">
        <f>'總表'!AW65</f>
        <v/>
      </c>
      <c r="AA47" s="17">
        <f>'總表'!BE65</f>
        <v/>
      </c>
      <c r="AB47" s="17">
        <f>'總表'!BG65</f>
        <v/>
      </c>
      <c r="AC47" s="17">
        <f>'總表'!BH65</f>
        <v/>
      </c>
      <c r="AD47" s="17">
        <f>'總表'!BI65</f>
        <v/>
      </c>
      <c r="AE47" s="17">
        <f>'總表'!BJ65</f>
        <v/>
      </c>
      <c r="AF47" s="18">
        <f>'總表'!BK65</f>
        <v/>
      </c>
      <c r="AG47" s="5">
        <f>'總表'!B65</f>
        <v/>
      </c>
    </row>
    <row r="48">
      <c r="A48" s="5" t="n">
        <v>47</v>
      </c>
      <c r="B48" s="6" t="inlineStr">
        <is>
          <t>XMTR</t>
        </is>
      </c>
      <c r="C48" s="5">
        <f>'總表'!D66</f>
        <v/>
      </c>
      <c r="D48" s="5">
        <f>'總表'!F66</f>
        <v/>
      </c>
      <c r="E48" s="5">
        <f>'總表'!G66</f>
        <v/>
      </c>
      <c r="F48" s="5">
        <f>'總表'!I66</f>
        <v/>
      </c>
      <c r="G48" s="40">
        <f>'總表'!H66</f>
        <v/>
      </c>
      <c r="H48" s="41">
        <f>'總表'!J66</f>
        <v/>
      </c>
      <c r="I48" s="9">
        <f>'總表'!L66</f>
        <v/>
      </c>
      <c r="J48" s="41">
        <f>'總表'!R66</f>
        <v/>
      </c>
      <c r="K48" s="41">
        <f>'總表'!S66</f>
        <v/>
      </c>
      <c r="L48" s="9">
        <f>'總表'!W66</f>
        <v/>
      </c>
      <c r="M48" s="9">
        <f>'總表'!X66</f>
        <v/>
      </c>
      <c r="N48" s="11">
        <f>'總表'!AA66</f>
        <v/>
      </c>
      <c r="O48" s="11">
        <f>'總表'!AB66</f>
        <v/>
      </c>
      <c r="P48" s="5">
        <f>'總表'!AD66</f>
        <v/>
      </c>
      <c r="Q48" s="9">
        <f>'總表'!U66</f>
        <v/>
      </c>
      <c r="R48" s="5">
        <f>'總表'!AE66</f>
        <v/>
      </c>
      <c r="S48" s="5">
        <f>'總表'!AI66</f>
        <v/>
      </c>
      <c r="T48" s="5">
        <f>'總表'!AJ66</f>
        <v/>
      </c>
      <c r="U48" s="5">
        <f>'總表'!AK66</f>
        <v/>
      </c>
      <c r="V48" s="5">
        <f>'總表'!AL66</f>
        <v/>
      </c>
      <c r="W48" s="9">
        <f>'總表'!AQ66</f>
        <v/>
      </c>
      <c r="X48" s="9">
        <f>'總表'!AS66</f>
        <v/>
      </c>
      <c r="Y48" s="5">
        <f>'總表'!AT66</f>
        <v/>
      </c>
      <c r="Z48" s="11">
        <f>'總表'!AW66</f>
        <v/>
      </c>
      <c r="AA48" s="17">
        <f>'總表'!BE66</f>
        <v/>
      </c>
      <c r="AB48" s="17">
        <f>'總表'!BG66</f>
        <v/>
      </c>
      <c r="AC48" s="17">
        <f>'總表'!BH66</f>
        <v/>
      </c>
      <c r="AD48" s="17">
        <f>'總表'!BI66</f>
        <v/>
      </c>
      <c r="AE48" s="17">
        <f>'總表'!BJ66</f>
        <v/>
      </c>
      <c r="AF48" s="18">
        <f>'總表'!BK66</f>
        <v/>
      </c>
      <c r="AG48" s="5">
        <f>'總表'!B66</f>
        <v/>
      </c>
    </row>
    <row r="49">
      <c r="A49" s="5" t="n">
        <v>48</v>
      </c>
      <c r="B49" s="6" t="inlineStr">
        <is>
          <t>BWIN</t>
        </is>
      </c>
      <c r="C49" s="5">
        <f>'總表'!D68</f>
        <v/>
      </c>
      <c r="D49" s="5">
        <f>'總表'!F68</f>
        <v/>
      </c>
      <c r="E49" s="5">
        <f>'總表'!G68</f>
        <v/>
      </c>
      <c r="F49" s="5">
        <f>'總表'!I68</f>
        <v/>
      </c>
      <c r="G49" s="40">
        <f>'總表'!H68</f>
        <v/>
      </c>
      <c r="H49" s="41">
        <f>'總表'!J68</f>
        <v/>
      </c>
      <c r="I49" s="9">
        <f>'總表'!L68</f>
        <v/>
      </c>
      <c r="J49" s="41">
        <f>'總表'!R68</f>
        <v/>
      </c>
      <c r="K49" s="41">
        <f>'總表'!S68</f>
        <v/>
      </c>
      <c r="L49" s="9">
        <f>'總表'!W68</f>
        <v/>
      </c>
      <c r="M49" s="9">
        <f>'總表'!X68</f>
        <v/>
      </c>
      <c r="N49" s="11">
        <f>'總表'!AA68</f>
        <v/>
      </c>
      <c r="O49" s="11">
        <f>'總表'!AB68</f>
        <v/>
      </c>
      <c r="P49" s="5">
        <f>'總表'!AD68</f>
        <v/>
      </c>
      <c r="Q49" s="9">
        <f>'總表'!U68</f>
        <v/>
      </c>
      <c r="R49" s="5">
        <f>'總表'!AE68</f>
        <v/>
      </c>
      <c r="S49" s="5">
        <f>'總表'!AI68</f>
        <v/>
      </c>
      <c r="T49" s="5">
        <f>'總表'!AJ68</f>
        <v/>
      </c>
      <c r="U49" s="5">
        <f>'總表'!AK68</f>
        <v/>
      </c>
      <c r="V49" s="5">
        <f>'總表'!AL68</f>
        <v/>
      </c>
      <c r="W49" s="9">
        <f>'總表'!AQ68</f>
        <v/>
      </c>
      <c r="X49" s="9">
        <f>'總表'!AS68</f>
        <v/>
      </c>
      <c r="Y49" s="5">
        <f>'總表'!AT68</f>
        <v/>
      </c>
      <c r="Z49" s="11">
        <f>'總表'!AW68</f>
        <v/>
      </c>
      <c r="AA49" s="17">
        <f>'總表'!BE68</f>
        <v/>
      </c>
      <c r="AB49" s="17">
        <f>'總表'!BG68</f>
        <v/>
      </c>
      <c r="AC49" s="17">
        <f>'總表'!BH68</f>
        <v/>
      </c>
      <c r="AD49" s="17">
        <f>'總表'!BI68</f>
        <v/>
      </c>
      <c r="AE49" s="17">
        <f>'總表'!BJ68</f>
        <v/>
      </c>
      <c r="AF49" s="18">
        <f>'總表'!BK68</f>
        <v/>
      </c>
      <c r="AG49" s="5">
        <f>'總表'!B68</f>
        <v/>
      </c>
    </row>
    <row r="50">
      <c r="A50" s="5" t="n">
        <v>49</v>
      </c>
      <c r="B50" s="6" t="inlineStr">
        <is>
          <t>CAT</t>
        </is>
      </c>
      <c r="C50" s="5">
        <f>'總表'!D69</f>
        <v/>
      </c>
      <c r="D50" s="5">
        <f>'總表'!F69</f>
        <v/>
      </c>
      <c r="E50" s="5">
        <f>'總表'!G69</f>
        <v/>
      </c>
      <c r="F50" s="5">
        <f>'總表'!I69</f>
        <v/>
      </c>
      <c r="G50" s="40">
        <f>'總表'!H69</f>
        <v/>
      </c>
      <c r="H50" s="41">
        <f>'總表'!J69</f>
        <v/>
      </c>
      <c r="I50" s="9">
        <f>'總表'!L69</f>
        <v/>
      </c>
      <c r="J50" s="41">
        <f>'總表'!R69</f>
        <v/>
      </c>
      <c r="K50" s="41">
        <f>'總表'!S69</f>
        <v/>
      </c>
      <c r="L50" s="9">
        <f>'總表'!W69</f>
        <v/>
      </c>
      <c r="M50" s="9">
        <f>'總表'!X69</f>
        <v/>
      </c>
      <c r="N50" s="11">
        <f>'總表'!AA69</f>
        <v/>
      </c>
      <c r="O50" s="11">
        <f>'總表'!AB69</f>
        <v/>
      </c>
      <c r="P50" s="5">
        <f>'總表'!AD69</f>
        <v/>
      </c>
      <c r="Q50" s="9">
        <f>'總表'!U69</f>
        <v/>
      </c>
      <c r="R50" s="19">
        <f>'總表'!AE69</f>
        <v/>
      </c>
      <c r="S50" s="5">
        <f>'總表'!AI69</f>
        <v/>
      </c>
      <c r="T50" s="5">
        <f>'總表'!AJ69</f>
        <v/>
      </c>
      <c r="U50" s="5">
        <f>'總表'!AK69</f>
        <v/>
      </c>
      <c r="V50" s="5">
        <f>'總表'!AL69</f>
        <v/>
      </c>
      <c r="W50" s="9">
        <f>'總表'!AQ69</f>
        <v/>
      </c>
      <c r="X50" s="9">
        <f>'總表'!AS69</f>
        <v/>
      </c>
      <c r="Y50" s="5">
        <f>'總表'!AT69</f>
        <v/>
      </c>
      <c r="Z50" s="11">
        <f>'總表'!AW69</f>
        <v/>
      </c>
      <c r="AA50" s="17">
        <f>'總表'!BE69</f>
        <v/>
      </c>
      <c r="AB50" s="17">
        <f>'總表'!BG69</f>
        <v/>
      </c>
      <c r="AC50" s="17">
        <f>'總表'!BH69</f>
        <v/>
      </c>
      <c r="AD50" s="17">
        <f>'總表'!BI69</f>
        <v/>
      </c>
      <c r="AE50" s="17">
        <f>'總表'!BJ69</f>
        <v/>
      </c>
      <c r="AF50" s="18">
        <f>'總表'!BK69</f>
        <v/>
      </c>
      <c r="AG50" s="5">
        <f>'總表'!B69</f>
        <v/>
      </c>
    </row>
    <row r="51">
      <c r="A51" s="5" t="n">
        <v>50</v>
      </c>
      <c r="B51" s="6" t="inlineStr">
        <is>
          <t>CRVL</t>
        </is>
      </c>
      <c r="C51" s="5">
        <f>'總表'!D70</f>
        <v/>
      </c>
      <c r="D51" s="5">
        <f>'總表'!F70</f>
        <v/>
      </c>
      <c r="E51" s="5">
        <f>'總表'!G70</f>
        <v/>
      </c>
      <c r="F51" s="5">
        <f>'總表'!I70</f>
        <v/>
      </c>
      <c r="G51" s="40">
        <f>'總表'!H70</f>
        <v/>
      </c>
      <c r="H51" s="41">
        <f>'總表'!J70</f>
        <v/>
      </c>
      <c r="I51" s="9">
        <f>'總表'!L70</f>
        <v/>
      </c>
      <c r="J51" s="41">
        <f>'總表'!R70</f>
        <v/>
      </c>
      <c r="K51" s="41">
        <f>'總表'!S70</f>
        <v/>
      </c>
      <c r="L51" s="9">
        <f>'總表'!W70</f>
        <v/>
      </c>
      <c r="M51" s="9">
        <f>'總表'!X70</f>
        <v/>
      </c>
      <c r="N51" s="11">
        <f>'總表'!AA70</f>
        <v/>
      </c>
      <c r="O51" s="11">
        <f>'總表'!AB70</f>
        <v/>
      </c>
      <c r="P51" s="5">
        <f>'總表'!AD70</f>
        <v/>
      </c>
      <c r="Q51" s="9">
        <f>'總表'!U70</f>
        <v/>
      </c>
      <c r="R51" s="5">
        <f>'總表'!AE70</f>
        <v/>
      </c>
      <c r="S51" s="5">
        <f>'總表'!AI70</f>
        <v/>
      </c>
      <c r="T51" s="5">
        <f>'總表'!AJ70</f>
        <v/>
      </c>
      <c r="U51" s="5">
        <f>'總表'!AK70</f>
        <v/>
      </c>
      <c r="V51" s="5">
        <f>'總表'!AL70</f>
        <v/>
      </c>
      <c r="W51" s="9">
        <f>'總表'!AQ70</f>
        <v/>
      </c>
      <c r="X51" s="9">
        <f>'總表'!AS70</f>
        <v/>
      </c>
      <c r="Y51" s="5">
        <f>'總表'!AT70</f>
        <v/>
      </c>
      <c r="Z51" s="11">
        <f>'總表'!AW70</f>
        <v/>
      </c>
      <c r="AA51" s="17">
        <f>'總表'!BE70</f>
        <v/>
      </c>
      <c r="AB51" s="17">
        <f>'總表'!BG70</f>
        <v/>
      </c>
      <c r="AC51" s="17">
        <f>'總表'!BH70</f>
        <v/>
      </c>
      <c r="AD51" s="17">
        <f>'總表'!BI70</f>
        <v/>
      </c>
      <c r="AE51" s="17">
        <f>'總表'!BJ70</f>
        <v/>
      </c>
      <c r="AF51" s="18">
        <f>'總表'!BK70</f>
        <v/>
      </c>
      <c r="AG51" s="5">
        <f>'總表'!B70</f>
        <v/>
      </c>
    </row>
    <row r="52">
      <c r="A52" s="5" t="n">
        <v>51</v>
      </c>
      <c r="B52" s="6" t="inlineStr">
        <is>
          <t>UTMD</t>
        </is>
      </c>
      <c r="C52" s="5">
        <f>'總表'!D71</f>
        <v/>
      </c>
      <c r="D52" s="5">
        <f>'總表'!F71</f>
        <v/>
      </c>
      <c r="E52" s="5">
        <f>'總表'!G71</f>
        <v/>
      </c>
      <c r="F52" s="5">
        <f>'總表'!I71</f>
        <v/>
      </c>
      <c r="G52" s="40">
        <f>'總表'!H71</f>
        <v/>
      </c>
      <c r="H52" s="41">
        <f>'總表'!J71</f>
        <v/>
      </c>
      <c r="I52" s="9">
        <f>'總表'!L71</f>
        <v/>
      </c>
      <c r="J52" s="41">
        <f>'總表'!R71</f>
        <v/>
      </c>
      <c r="K52" s="41">
        <f>'總表'!S71</f>
        <v/>
      </c>
      <c r="L52" s="9">
        <f>'總表'!W71</f>
        <v/>
      </c>
      <c r="M52" s="9">
        <f>'總表'!X71</f>
        <v/>
      </c>
      <c r="N52" s="11">
        <f>'總表'!AA71</f>
        <v/>
      </c>
      <c r="O52" s="11">
        <f>'總表'!AB71</f>
        <v/>
      </c>
      <c r="P52" s="5">
        <f>'總表'!AD71</f>
        <v/>
      </c>
      <c r="Q52" s="9">
        <f>'總表'!U71</f>
        <v/>
      </c>
      <c r="R52" s="5">
        <f>'總表'!AE71</f>
        <v/>
      </c>
      <c r="S52" s="5">
        <f>'總表'!AI71</f>
        <v/>
      </c>
      <c r="T52" s="5">
        <f>'總表'!AJ71</f>
        <v/>
      </c>
      <c r="U52" s="5">
        <f>'總表'!AK71</f>
        <v/>
      </c>
      <c r="V52" s="5">
        <f>'總表'!AL71</f>
        <v/>
      </c>
      <c r="W52" s="9">
        <f>'總表'!AQ71</f>
        <v/>
      </c>
      <c r="X52" s="9">
        <f>'總表'!AS71</f>
        <v/>
      </c>
      <c r="Y52" s="5">
        <f>'總表'!AT71</f>
        <v/>
      </c>
      <c r="Z52" s="11">
        <f>'總表'!AW71</f>
        <v/>
      </c>
      <c r="AA52" s="17">
        <f>'總表'!BE71</f>
        <v/>
      </c>
      <c r="AB52" s="17">
        <f>'總表'!BG71</f>
        <v/>
      </c>
      <c r="AC52" s="17">
        <f>'總表'!BH71</f>
        <v/>
      </c>
      <c r="AD52" s="17">
        <f>'總表'!BI71</f>
        <v/>
      </c>
      <c r="AE52" s="17">
        <f>'總表'!BJ71</f>
        <v/>
      </c>
      <c r="AF52" s="18">
        <f>'總表'!BK71</f>
        <v/>
      </c>
      <c r="AG52" s="5">
        <f>'總表'!B71</f>
        <v/>
      </c>
    </row>
    <row r="53">
      <c r="A53" s="5" t="n">
        <v>52</v>
      </c>
      <c r="B53" s="6" t="inlineStr">
        <is>
          <t>PWR</t>
        </is>
      </c>
      <c r="C53" s="5">
        <f>'總表'!D73</f>
        <v/>
      </c>
      <c r="D53" s="5">
        <f>'總表'!F73</f>
        <v/>
      </c>
      <c r="E53" s="5">
        <f>'總表'!G73</f>
        <v/>
      </c>
      <c r="F53" s="5">
        <f>'總表'!I73</f>
        <v/>
      </c>
      <c r="G53" s="40">
        <f>'總表'!H73</f>
        <v/>
      </c>
      <c r="H53" s="41">
        <f>'總表'!J73</f>
        <v/>
      </c>
      <c r="I53" s="9">
        <f>'總表'!L73</f>
        <v/>
      </c>
      <c r="J53" s="41">
        <f>'總表'!R73</f>
        <v/>
      </c>
      <c r="K53" s="41">
        <f>'總表'!S73</f>
        <v/>
      </c>
      <c r="L53" s="9">
        <f>'總表'!W73</f>
        <v/>
      </c>
      <c r="M53" s="9">
        <f>'總表'!X73</f>
        <v/>
      </c>
      <c r="N53" s="11">
        <f>'總表'!AA73</f>
        <v/>
      </c>
      <c r="O53" s="11">
        <f>'總表'!AB73</f>
        <v/>
      </c>
      <c r="P53" s="5">
        <f>'總表'!AD73</f>
        <v/>
      </c>
      <c r="Q53" s="9">
        <f>'總表'!U73</f>
        <v/>
      </c>
      <c r="R53" s="19">
        <f>'總表'!AE73</f>
        <v/>
      </c>
      <c r="S53" s="5">
        <f>'總表'!AI73</f>
        <v/>
      </c>
      <c r="T53" s="5">
        <f>'總表'!AJ73</f>
        <v/>
      </c>
      <c r="U53" s="5">
        <f>'總表'!AK73</f>
        <v/>
      </c>
      <c r="V53" s="5">
        <f>'總表'!AL73</f>
        <v/>
      </c>
      <c r="W53" s="9">
        <f>'總表'!AQ73</f>
        <v/>
      </c>
      <c r="X53" s="9">
        <f>'總表'!AS73</f>
        <v/>
      </c>
      <c r="Y53" s="5">
        <f>'總表'!AT73</f>
        <v/>
      </c>
      <c r="Z53" s="11">
        <f>'總表'!AW73</f>
        <v/>
      </c>
      <c r="AA53" s="17">
        <f>'總表'!BE73</f>
        <v/>
      </c>
      <c r="AB53" s="17">
        <f>'總表'!BG73</f>
        <v/>
      </c>
      <c r="AC53" s="17">
        <f>'總表'!BH73</f>
        <v/>
      </c>
      <c r="AD53" s="17">
        <f>'總表'!BI73</f>
        <v/>
      </c>
      <c r="AE53" s="17">
        <f>'總表'!BJ73</f>
        <v/>
      </c>
      <c r="AF53" s="18">
        <f>'總表'!BK73</f>
        <v/>
      </c>
      <c r="AG53" s="5">
        <f>'總表'!B73</f>
        <v/>
      </c>
    </row>
    <row r="54">
      <c r="A54" s="5" t="n">
        <v>53</v>
      </c>
      <c r="B54" s="6" t="inlineStr">
        <is>
          <t>M</t>
        </is>
      </c>
      <c r="C54" s="5">
        <f>'總表'!D74</f>
        <v/>
      </c>
      <c r="D54" s="5">
        <f>'總表'!F74</f>
        <v/>
      </c>
      <c r="E54" s="5">
        <f>'總表'!G74</f>
        <v/>
      </c>
      <c r="F54" s="5">
        <f>'總表'!I74</f>
        <v/>
      </c>
      <c r="G54" s="40">
        <f>'總表'!H74</f>
        <v/>
      </c>
      <c r="H54" s="41">
        <f>'總表'!J74</f>
        <v/>
      </c>
      <c r="I54" s="9">
        <f>'總表'!L74</f>
        <v/>
      </c>
      <c r="J54" s="41">
        <f>'總表'!R74</f>
        <v/>
      </c>
      <c r="K54" s="41">
        <f>'總表'!S74</f>
        <v/>
      </c>
      <c r="L54" s="9">
        <f>'總表'!W74</f>
        <v/>
      </c>
      <c r="M54" s="9">
        <f>'總表'!X74</f>
        <v/>
      </c>
      <c r="N54" s="11">
        <f>'總表'!AA74</f>
        <v/>
      </c>
      <c r="O54" s="11">
        <f>'總表'!AB74</f>
        <v/>
      </c>
      <c r="P54" s="5">
        <f>'總表'!AD74</f>
        <v/>
      </c>
      <c r="Q54" s="9">
        <f>'總表'!U74</f>
        <v/>
      </c>
      <c r="R54" s="19">
        <f>'總表'!AE74</f>
        <v/>
      </c>
      <c r="S54" s="5">
        <f>'總表'!AI74</f>
        <v/>
      </c>
      <c r="T54" s="5">
        <f>'總表'!AJ74</f>
        <v/>
      </c>
      <c r="U54" s="5">
        <f>'總表'!AK74</f>
        <v/>
      </c>
      <c r="V54" s="5">
        <f>'總表'!AL74</f>
        <v/>
      </c>
      <c r="W54" s="9">
        <f>'總表'!AQ74</f>
        <v/>
      </c>
      <c r="X54" s="9">
        <f>'總表'!AS74</f>
        <v/>
      </c>
      <c r="Y54" s="5">
        <f>'總表'!AT74</f>
        <v/>
      </c>
      <c r="Z54" s="11">
        <f>'總表'!AW74</f>
        <v/>
      </c>
      <c r="AA54" s="17">
        <f>'總表'!BE74</f>
        <v/>
      </c>
      <c r="AB54" s="17">
        <f>'總表'!BG74</f>
        <v/>
      </c>
      <c r="AC54" s="17">
        <f>'總表'!BH74</f>
        <v/>
      </c>
      <c r="AD54" s="17">
        <f>'總表'!BI74</f>
        <v/>
      </c>
      <c r="AE54" s="17">
        <f>'總表'!BJ74</f>
        <v/>
      </c>
      <c r="AF54" s="18">
        <f>'總表'!BK74</f>
        <v/>
      </c>
      <c r="AG54" s="5">
        <f>'總表'!B74</f>
        <v/>
      </c>
    </row>
    <row r="55">
      <c r="A55" s="5" t="n">
        <v>54</v>
      </c>
      <c r="B55" s="6" t="inlineStr">
        <is>
          <t>ITGR</t>
        </is>
      </c>
      <c r="C55" s="5">
        <f>'總表'!D75</f>
        <v/>
      </c>
      <c r="D55" s="5">
        <f>'總表'!F75</f>
        <v/>
      </c>
      <c r="E55" s="5">
        <f>'總表'!G75</f>
        <v/>
      </c>
      <c r="F55" s="5">
        <f>'總表'!I75</f>
        <v/>
      </c>
      <c r="G55" s="40">
        <f>'總表'!H75</f>
        <v/>
      </c>
      <c r="H55" s="41">
        <f>'總表'!J75</f>
        <v/>
      </c>
      <c r="I55" s="9">
        <f>'總表'!L75</f>
        <v/>
      </c>
      <c r="J55" s="41">
        <f>'總表'!R75</f>
        <v/>
      </c>
      <c r="K55" s="41">
        <f>'總表'!S75</f>
        <v/>
      </c>
      <c r="L55" s="9">
        <f>'總表'!W75</f>
        <v/>
      </c>
      <c r="M55" s="9">
        <f>'總表'!X75</f>
        <v/>
      </c>
      <c r="N55" s="11">
        <f>'總表'!AA75</f>
        <v/>
      </c>
      <c r="O55" s="11">
        <f>'總表'!AB75</f>
        <v/>
      </c>
      <c r="P55" s="5">
        <f>'總表'!AD75</f>
        <v/>
      </c>
      <c r="Q55" s="9">
        <f>'總表'!U75</f>
        <v/>
      </c>
      <c r="R55" s="5">
        <f>'總表'!AE75</f>
        <v/>
      </c>
      <c r="S55" s="5">
        <f>'總表'!AI75</f>
        <v/>
      </c>
      <c r="T55" s="5">
        <f>'總表'!AJ75</f>
        <v/>
      </c>
      <c r="U55" s="5">
        <f>'總表'!AK75</f>
        <v/>
      </c>
      <c r="V55" s="5">
        <f>'總表'!AL75</f>
        <v/>
      </c>
      <c r="W55" s="9">
        <f>'總表'!AQ75</f>
        <v/>
      </c>
      <c r="X55" s="9">
        <f>'總表'!AS75</f>
        <v/>
      </c>
      <c r="Y55" s="5">
        <f>'總表'!AT75</f>
        <v/>
      </c>
      <c r="Z55" s="11">
        <f>'總表'!AW75</f>
        <v/>
      </c>
      <c r="AA55" s="17">
        <f>'總表'!BE75</f>
        <v/>
      </c>
      <c r="AB55" s="17">
        <f>'總表'!BG75</f>
        <v/>
      </c>
      <c r="AC55" s="17">
        <f>'總表'!BH75</f>
        <v/>
      </c>
      <c r="AD55" s="17">
        <f>'總表'!BI75</f>
        <v/>
      </c>
      <c r="AE55" s="17">
        <f>'總表'!BJ75</f>
        <v/>
      </c>
      <c r="AF55" s="18">
        <f>'總表'!BK75</f>
        <v/>
      </c>
      <c r="AG55" s="5">
        <f>'總表'!B75</f>
        <v/>
      </c>
    </row>
    <row r="56">
      <c r="A56" s="5" t="n">
        <v>55</v>
      </c>
      <c r="B56" s="6" t="inlineStr">
        <is>
          <t>GSAT</t>
        </is>
      </c>
      <c r="C56" s="5">
        <f>'總表'!D76</f>
        <v/>
      </c>
      <c r="D56" s="5">
        <f>'總表'!F76</f>
        <v/>
      </c>
      <c r="E56" s="5">
        <f>'總表'!G76</f>
        <v/>
      </c>
      <c r="F56" s="5">
        <f>'總表'!I76</f>
        <v/>
      </c>
      <c r="G56" s="40">
        <f>'總表'!H76</f>
        <v/>
      </c>
      <c r="H56" s="41">
        <f>'總表'!J76</f>
        <v/>
      </c>
      <c r="I56" s="9">
        <f>'總表'!L76</f>
        <v/>
      </c>
      <c r="J56" s="41">
        <f>'總表'!R76</f>
        <v/>
      </c>
      <c r="K56" s="41">
        <f>'總表'!S76</f>
        <v/>
      </c>
      <c r="L56" s="9">
        <f>'總表'!W76</f>
        <v/>
      </c>
      <c r="M56" s="9">
        <f>'總表'!X76</f>
        <v/>
      </c>
      <c r="N56" s="11">
        <f>'總表'!AA76</f>
        <v/>
      </c>
      <c r="O56" s="11">
        <f>'總表'!AB76</f>
        <v/>
      </c>
      <c r="P56" s="5">
        <f>'總表'!AD76</f>
        <v/>
      </c>
      <c r="Q56" s="9">
        <f>'總表'!U76</f>
        <v/>
      </c>
      <c r="R56" s="5">
        <f>'總表'!AE76</f>
        <v/>
      </c>
      <c r="S56" s="5">
        <f>'總表'!AI76</f>
        <v/>
      </c>
      <c r="T56" s="5">
        <f>'總表'!AJ76</f>
        <v/>
      </c>
      <c r="U56" s="5">
        <f>'總表'!AK76</f>
        <v/>
      </c>
      <c r="V56" s="5">
        <f>'總表'!AL76</f>
        <v/>
      </c>
      <c r="W56" s="9">
        <f>'總表'!AQ76</f>
        <v/>
      </c>
      <c r="X56" s="9">
        <f>'總表'!AS76</f>
        <v/>
      </c>
      <c r="Y56" s="5">
        <f>'總表'!AT76</f>
        <v/>
      </c>
      <c r="Z56" s="11">
        <f>'總表'!AW76</f>
        <v/>
      </c>
      <c r="AA56" s="17">
        <f>'總表'!BE76</f>
        <v/>
      </c>
      <c r="AB56" s="17">
        <f>'總表'!BG76</f>
        <v/>
      </c>
      <c r="AC56" s="17">
        <f>'總表'!BH76</f>
        <v/>
      </c>
      <c r="AD56" s="17">
        <f>'總表'!BI76</f>
        <v/>
      </c>
      <c r="AE56" s="17">
        <f>'總表'!BJ76</f>
        <v/>
      </c>
      <c r="AF56" s="18">
        <f>'總表'!BK76</f>
        <v/>
      </c>
      <c r="AG56" s="5">
        <f>'總表'!B76</f>
        <v/>
      </c>
    </row>
    <row r="57">
      <c r="A57" s="5" t="n">
        <v>56</v>
      </c>
      <c r="B57" s="6" t="inlineStr">
        <is>
          <t>TH</t>
        </is>
      </c>
      <c r="C57" s="5">
        <f>'總表'!D77</f>
        <v/>
      </c>
      <c r="D57" s="5">
        <f>'總表'!F77</f>
        <v/>
      </c>
      <c r="E57" s="5">
        <f>'總表'!G77</f>
        <v/>
      </c>
      <c r="F57" s="5">
        <f>'總表'!I77</f>
        <v/>
      </c>
      <c r="G57" s="40">
        <f>'總表'!H77</f>
        <v/>
      </c>
      <c r="H57" s="41">
        <f>'總表'!J77</f>
        <v/>
      </c>
      <c r="I57" s="9">
        <f>'總表'!L77</f>
        <v/>
      </c>
      <c r="J57" s="41">
        <f>'總表'!R77</f>
        <v/>
      </c>
      <c r="K57" s="41">
        <f>'總表'!S77</f>
        <v/>
      </c>
      <c r="L57" s="9">
        <f>'總表'!W77</f>
        <v/>
      </c>
      <c r="M57" s="9">
        <f>'總表'!X77</f>
        <v/>
      </c>
      <c r="N57" s="11">
        <f>'總表'!AA77</f>
        <v/>
      </c>
      <c r="O57" s="11">
        <f>'總表'!AB77</f>
        <v/>
      </c>
      <c r="P57" s="5">
        <f>'總表'!AD77</f>
        <v/>
      </c>
      <c r="Q57" s="9">
        <f>'總表'!U77</f>
        <v/>
      </c>
      <c r="R57" s="5">
        <f>'總表'!AE77</f>
        <v/>
      </c>
      <c r="S57" s="5">
        <f>'總表'!AI77</f>
        <v/>
      </c>
      <c r="T57" s="5">
        <f>'總表'!AJ77</f>
        <v/>
      </c>
      <c r="U57" s="5">
        <f>'總表'!AK77</f>
        <v/>
      </c>
      <c r="V57" s="5">
        <f>'總表'!AL77</f>
        <v/>
      </c>
      <c r="W57" s="9">
        <f>'總表'!AQ77</f>
        <v/>
      </c>
      <c r="X57" s="9">
        <f>'總表'!AS77</f>
        <v/>
      </c>
      <c r="Y57" s="5">
        <f>'總表'!AT77</f>
        <v/>
      </c>
      <c r="Z57" s="11">
        <f>'總表'!AW77</f>
        <v/>
      </c>
      <c r="AA57" s="17">
        <f>'總表'!BE77</f>
        <v/>
      </c>
      <c r="AB57" s="17">
        <f>'總表'!BG77</f>
        <v/>
      </c>
      <c r="AC57" s="17">
        <f>'總表'!BH77</f>
        <v/>
      </c>
      <c r="AD57" s="17">
        <f>'總表'!BI77</f>
        <v/>
      </c>
      <c r="AE57" s="17">
        <f>'總表'!BJ77</f>
        <v/>
      </c>
      <c r="AF57" s="18">
        <f>'總表'!BK77</f>
        <v/>
      </c>
      <c r="AG57" s="5">
        <f>'總表'!B77</f>
        <v/>
      </c>
    </row>
    <row r="58">
      <c r="A58" s="5" t="n">
        <v>57</v>
      </c>
      <c r="B58" s="6" t="inlineStr">
        <is>
          <t>CLDT</t>
        </is>
      </c>
      <c r="C58" s="5">
        <f>'總表'!D78</f>
        <v/>
      </c>
      <c r="D58" s="5">
        <f>'總表'!F78</f>
        <v/>
      </c>
      <c r="E58" s="5">
        <f>'總表'!G78</f>
        <v/>
      </c>
      <c r="F58" s="5">
        <f>'總表'!I78</f>
        <v/>
      </c>
      <c r="G58" s="40">
        <f>'總表'!H78</f>
        <v/>
      </c>
      <c r="H58" s="41">
        <f>'總表'!J78</f>
        <v/>
      </c>
      <c r="I58" s="9">
        <f>'總表'!L78</f>
        <v/>
      </c>
      <c r="J58" s="41">
        <f>'總表'!R78</f>
        <v/>
      </c>
      <c r="K58" s="41">
        <f>'總表'!S78</f>
        <v/>
      </c>
      <c r="L58" s="9">
        <f>'總表'!W78</f>
        <v/>
      </c>
      <c r="M58" s="9">
        <f>'總表'!X78</f>
        <v/>
      </c>
      <c r="N58" s="11">
        <f>'總表'!AA78</f>
        <v/>
      </c>
      <c r="O58" s="11">
        <f>'總表'!AB78</f>
        <v/>
      </c>
      <c r="P58" s="5">
        <f>'總表'!AD78</f>
        <v/>
      </c>
      <c r="Q58" s="9">
        <f>'總表'!U78</f>
        <v/>
      </c>
      <c r="R58" s="19">
        <f>'總表'!AE78</f>
        <v/>
      </c>
      <c r="S58" s="5">
        <f>'總表'!AI78</f>
        <v/>
      </c>
      <c r="T58" s="5">
        <f>'總表'!AJ78</f>
        <v/>
      </c>
      <c r="U58" s="5">
        <f>'總表'!AK78</f>
        <v/>
      </c>
      <c r="V58" s="5">
        <f>'總表'!AL78</f>
        <v/>
      </c>
      <c r="W58" s="9">
        <f>'總表'!AQ78</f>
        <v/>
      </c>
      <c r="X58" s="9">
        <f>'總表'!AS78</f>
        <v/>
      </c>
      <c r="Y58" s="5">
        <f>'總表'!AT78</f>
        <v/>
      </c>
      <c r="Z58" s="11">
        <f>'總表'!AW78</f>
        <v/>
      </c>
      <c r="AA58" s="17">
        <f>'總表'!BE78</f>
        <v/>
      </c>
      <c r="AB58" s="17">
        <f>'總表'!BG78</f>
        <v/>
      </c>
      <c r="AC58" s="17">
        <f>'總表'!BH78</f>
        <v/>
      </c>
      <c r="AD58" s="17">
        <f>'總表'!BI78</f>
        <v/>
      </c>
      <c r="AE58" s="17">
        <f>'總表'!BJ78</f>
        <v/>
      </c>
      <c r="AF58" s="18">
        <f>'總表'!BK78</f>
        <v/>
      </c>
      <c r="AG58" s="5">
        <f>'總表'!B78</f>
        <v/>
      </c>
    </row>
    <row r="59">
      <c r="A59" s="5" t="n">
        <v>58</v>
      </c>
      <c r="B59" s="6" t="inlineStr">
        <is>
          <t>AMBA</t>
        </is>
      </c>
      <c r="C59" s="5">
        <f>'總表'!D79</f>
        <v/>
      </c>
      <c r="D59" s="5">
        <f>'總表'!F79</f>
        <v/>
      </c>
      <c r="E59" s="5">
        <f>'總表'!G79</f>
        <v/>
      </c>
      <c r="F59" s="5">
        <f>'總表'!I79</f>
        <v/>
      </c>
      <c r="G59" s="40">
        <f>'總表'!H79</f>
        <v/>
      </c>
      <c r="H59" s="41">
        <f>'總表'!J79</f>
        <v/>
      </c>
      <c r="I59" s="9">
        <f>'總表'!L79</f>
        <v/>
      </c>
      <c r="J59" s="41">
        <f>'總表'!R79</f>
        <v/>
      </c>
      <c r="K59" s="41">
        <f>'總表'!S79</f>
        <v/>
      </c>
      <c r="L59" s="9">
        <f>'總表'!W79</f>
        <v/>
      </c>
      <c r="M59" s="9">
        <f>'總表'!X79</f>
        <v/>
      </c>
      <c r="N59" s="11">
        <f>'總表'!AA79</f>
        <v/>
      </c>
      <c r="O59" s="11">
        <f>'總表'!AB79</f>
        <v/>
      </c>
      <c r="P59" s="5">
        <f>'總表'!AD79</f>
        <v/>
      </c>
      <c r="Q59" s="9">
        <f>'總表'!U79</f>
        <v/>
      </c>
      <c r="R59" s="19">
        <f>'總表'!AE79</f>
        <v/>
      </c>
      <c r="S59" s="5">
        <f>'總表'!AI79</f>
        <v/>
      </c>
      <c r="T59" s="5">
        <f>'總表'!AJ79</f>
        <v/>
      </c>
      <c r="U59" s="5">
        <f>'總表'!AK79</f>
        <v/>
      </c>
      <c r="V59" s="5">
        <f>'總表'!AL79</f>
        <v/>
      </c>
      <c r="W59" s="9">
        <f>'總表'!AQ79</f>
        <v/>
      </c>
      <c r="X59" s="9">
        <f>'總表'!AS79</f>
        <v/>
      </c>
      <c r="Y59" s="5">
        <f>'總表'!AT79</f>
        <v/>
      </c>
      <c r="Z59" s="11">
        <f>'總表'!AW79</f>
        <v/>
      </c>
      <c r="AA59" s="17">
        <f>'總表'!BE79</f>
        <v/>
      </c>
      <c r="AB59" s="17">
        <f>'總表'!BG79</f>
        <v/>
      </c>
      <c r="AC59" s="17">
        <f>'總表'!BH79</f>
        <v/>
      </c>
      <c r="AD59" s="17">
        <f>'總表'!BI79</f>
        <v/>
      </c>
      <c r="AE59" s="17">
        <f>'總表'!BJ79</f>
        <v/>
      </c>
      <c r="AF59" s="18">
        <f>'總表'!BK79</f>
        <v/>
      </c>
      <c r="AG59" s="5">
        <f>'總表'!B79</f>
        <v/>
      </c>
    </row>
    <row r="60">
      <c r="A60" s="5" t="n">
        <v>59</v>
      </c>
      <c r="B60" s="6" t="inlineStr">
        <is>
          <t>FAST</t>
        </is>
      </c>
      <c r="C60" s="5">
        <f>'總表'!D81</f>
        <v/>
      </c>
      <c r="D60" s="5">
        <f>'總表'!F81</f>
        <v/>
      </c>
      <c r="E60" s="5">
        <f>'總表'!G81</f>
        <v/>
      </c>
      <c r="F60" s="5">
        <f>'總表'!I81</f>
        <v/>
      </c>
      <c r="G60" s="40">
        <f>'總表'!H81</f>
        <v/>
      </c>
      <c r="H60" s="41">
        <f>'總表'!J81</f>
        <v/>
      </c>
      <c r="I60" s="9">
        <f>'總表'!L81</f>
        <v/>
      </c>
      <c r="J60" s="41">
        <f>'總表'!R81</f>
        <v/>
      </c>
      <c r="K60" s="41">
        <f>'總表'!S81</f>
        <v/>
      </c>
      <c r="L60" s="9">
        <f>'總表'!W81</f>
        <v/>
      </c>
      <c r="M60" s="9">
        <f>'總表'!X81</f>
        <v/>
      </c>
      <c r="N60" s="11">
        <f>'總表'!AA81</f>
        <v/>
      </c>
      <c r="O60" s="11">
        <f>'總表'!AB81</f>
        <v/>
      </c>
      <c r="P60" s="5">
        <f>'總表'!AD81</f>
        <v/>
      </c>
      <c r="Q60" s="9">
        <f>'總表'!U81</f>
        <v/>
      </c>
      <c r="R60" s="5">
        <f>'總表'!AE81</f>
        <v/>
      </c>
      <c r="S60" s="5">
        <f>'總表'!AI81</f>
        <v/>
      </c>
      <c r="T60" s="5">
        <f>'總表'!AJ81</f>
        <v/>
      </c>
      <c r="U60" s="5">
        <f>'總表'!AK81</f>
        <v/>
      </c>
      <c r="V60" s="5">
        <f>'總表'!AL81</f>
        <v/>
      </c>
      <c r="W60" s="9">
        <f>'總表'!AQ81</f>
        <v/>
      </c>
      <c r="X60" s="9">
        <f>'總表'!AS81</f>
        <v/>
      </c>
      <c r="Y60" s="5">
        <f>'總表'!AT81</f>
        <v/>
      </c>
      <c r="Z60" s="11">
        <f>'總表'!AW81</f>
        <v/>
      </c>
      <c r="AA60" s="17">
        <f>'總表'!BE81</f>
        <v/>
      </c>
      <c r="AB60" s="17">
        <f>'總表'!BG81</f>
        <v/>
      </c>
      <c r="AC60" s="17">
        <f>'總表'!BH81</f>
        <v/>
      </c>
      <c r="AD60" s="17">
        <f>'總表'!BI81</f>
        <v/>
      </c>
      <c r="AE60" s="17">
        <f>'總表'!BJ81</f>
        <v/>
      </c>
      <c r="AF60" s="18">
        <f>'總表'!BK81</f>
        <v/>
      </c>
      <c r="AG60" s="5">
        <f>'總表'!B81</f>
        <v/>
      </c>
    </row>
    <row r="61">
      <c r="A61" s="5" t="n">
        <v>60</v>
      </c>
      <c r="B61" s="6" t="inlineStr">
        <is>
          <t>SLAB</t>
        </is>
      </c>
      <c r="C61" s="5">
        <f>'總表'!D84</f>
        <v/>
      </c>
      <c r="D61" s="5">
        <f>'總表'!F84</f>
        <v/>
      </c>
      <c r="E61" s="5">
        <f>'總表'!G84</f>
        <v/>
      </c>
      <c r="F61" s="5">
        <f>'總表'!I84</f>
        <v/>
      </c>
      <c r="G61" s="40">
        <f>'總表'!H84</f>
        <v/>
      </c>
      <c r="H61" s="41">
        <f>'總表'!J84</f>
        <v/>
      </c>
      <c r="I61" s="9">
        <f>'總表'!L84</f>
        <v/>
      </c>
      <c r="J61" s="41">
        <f>'總表'!R84</f>
        <v/>
      </c>
      <c r="K61" s="41">
        <f>'總表'!S84</f>
        <v/>
      </c>
      <c r="L61" s="9">
        <f>'總表'!W84</f>
        <v/>
      </c>
      <c r="M61" s="9">
        <f>'總表'!X84</f>
        <v/>
      </c>
      <c r="N61" s="11">
        <f>'總表'!AA84</f>
        <v/>
      </c>
      <c r="O61" s="11">
        <f>'總表'!AB84</f>
        <v/>
      </c>
      <c r="P61" s="5">
        <f>'總表'!AD84</f>
        <v/>
      </c>
      <c r="Q61" s="9">
        <f>'總表'!U84</f>
        <v/>
      </c>
      <c r="R61" s="5">
        <f>'總表'!AE84</f>
        <v/>
      </c>
      <c r="S61" s="5">
        <f>'總表'!AI84</f>
        <v/>
      </c>
      <c r="T61" s="5">
        <f>'總表'!AJ84</f>
        <v/>
      </c>
      <c r="U61" s="5">
        <f>'總表'!AK84</f>
        <v/>
      </c>
      <c r="V61" s="5">
        <f>'總表'!AL84</f>
        <v/>
      </c>
      <c r="W61" s="9">
        <f>'總表'!AQ84</f>
        <v/>
      </c>
      <c r="X61" s="9">
        <f>'總表'!AS84</f>
        <v/>
      </c>
      <c r="Y61" s="5">
        <f>'總表'!AT84</f>
        <v/>
      </c>
      <c r="Z61" s="11">
        <f>'總表'!AW84</f>
        <v/>
      </c>
      <c r="AA61" s="17">
        <f>'總表'!BE84</f>
        <v/>
      </c>
      <c r="AB61" s="17">
        <f>'總表'!BG84</f>
        <v/>
      </c>
      <c r="AC61" s="17">
        <f>'總表'!BH84</f>
        <v/>
      </c>
      <c r="AD61" s="17">
        <f>'總表'!BI84</f>
        <v/>
      </c>
      <c r="AE61" s="17">
        <f>'總表'!BJ84</f>
        <v/>
      </c>
      <c r="AF61" s="18">
        <f>'總表'!BK84</f>
        <v/>
      </c>
      <c r="AG61" s="5">
        <f>'總表'!B84</f>
        <v/>
      </c>
    </row>
    <row r="62">
      <c r="A62" s="5" t="n">
        <v>61</v>
      </c>
      <c r="B62" s="6" t="inlineStr">
        <is>
          <t>ETN</t>
        </is>
      </c>
      <c r="C62" s="5">
        <f>'總表'!D85</f>
        <v/>
      </c>
      <c r="D62" s="5">
        <f>'總表'!F85</f>
        <v/>
      </c>
      <c r="E62" s="5">
        <f>'總表'!G85</f>
        <v/>
      </c>
      <c r="F62" s="5">
        <f>'總表'!I85</f>
        <v/>
      </c>
      <c r="G62" s="40">
        <f>'總表'!H85</f>
        <v/>
      </c>
      <c r="H62" s="41">
        <f>'總表'!J85</f>
        <v/>
      </c>
      <c r="I62" s="9">
        <f>'總表'!L85</f>
        <v/>
      </c>
      <c r="J62" s="41">
        <f>'總表'!R85</f>
        <v/>
      </c>
      <c r="K62" s="41">
        <f>'總表'!S85</f>
        <v/>
      </c>
      <c r="L62" s="9">
        <f>'總表'!W85</f>
        <v/>
      </c>
      <c r="M62" s="9">
        <f>'總表'!X85</f>
        <v/>
      </c>
      <c r="N62" s="11">
        <f>'總表'!AA85</f>
        <v/>
      </c>
      <c r="O62" s="11">
        <f>'總表'!AB85</f>
        <v/>
      </c>
      <c r="P62" s="5">
        <f>'總表'!AD85</f>
        <v/>
      </c>
      <c r="Q62" s="9">
        <f>'總表'!U85</f>
        <v/>
      </c>
      <c r="R62" s="5">
        <f>'總表'!AE85</f>
        <v/>
      </c>
      <c r="S62" s="5">
        <f>'總表'!AI85</f>
        <v/>
      </c>
      <c r="T62" s="5">
        <f>'總表'!AJ85</f>
        <v/>
      </c>
      <c r="U62" s="5">
        <f>'總表'!AK85</f>
        <v/>
      </c>
      <c r="V62" s="5">
        <f>'總表'!AL85</f>
        <v/>
      </c>
      <c r="W62" s="9">
        <f>'總表'!AQ85</f>
        <v/>
      </c>
      <c r="X62" s="9">
        <f>'總表'!AS85</f>
        <v/>
      </c>
      <c r="Y62" s="5">
        <f>'總表'!AT85</f>
        <v/>
      </c>
      <c r="Z62" s="11">
        <f>'總表'!AW85</f>
        <v/>
      </c>
      <c r="AA62" s="17">
        <f>'總表'!BE85</f>
        <v/>
      </c>
      <c r="AB62" s="17">
        <f>'總表'!BG85</f>
        <v/>
      </c>
      <c r="AC62" s="17">
        <f>'總表'!BH85</f>
        <v/>
      </c>
      <c r="AD62" s="17">
        <f>'總表'!BI85</f>
        <v/>
      </c>
      <c r="AE62" s="17">
        <f>'總表'!BJ85</f>
        <v/>
      </c>
      <c r="AF62" s="18">
        <f>'總表'!BK85</f>
        <v/>
      </c>
      <c r="AG62" s="5">
        <f>'總表'!B85</f>
        <v/>
      </c>
    </row>
    <row r="63">
      <c r="A63" s="5" t="n">
        <v>62</v>
      </c>
      <c r="B63" s="6" t="inlineStr">
        <is>
          <t>AIP</t>
        </is>
      </c>
      <c r="C63" s="5">
        <f>'總表'!D86</f>
        <v/>
      </c>
      <c r="D63" s="5">
        <f>'總表'!F86</f>
        <v/>
      </c>
      <c r="E63" s="5">
        <f>'總表'!G86</f>
        <v/>
      </c>
      <c r="F63" s="5">
        <f>'總表'!I86</f>
        <v/>
      </c>
      <c r="G63" s="40">
        <f>'總表'!H86</f>
        <v/>
      </c>
      <c r="H63" s="41">
        <f>'總表'!J86</f>
        <v/>
      </c>
      <c r="I63" s="9">
        <f>'總表'!L86</f>
        <v/>
      </c>
      <c r="J63" s="41">
        <f>'總表'!R86</f>
        <v/>
      </c>
      <c r="K63" s="41">
        <f>'總表'!S86</f>
        <v/>
      </c>
      <c r="L63" s="9">
        <f>'總表'!W86</f>
        <v/>
      </c>
      <c r="M63" s="9">
        <f>'總表'!X86</f>
        <v/>
      </c>
      <c r="N63" s="11">
        <f>'總表'!AA86</f>
        <v/>
      </c>
      <c r="O63" s="11">
        <f>'總表'!AB86</f>
        <v/>
      </c>
      <c r="P63" s="5">
        <f>'總表'!AD86</f>
        <v/>
      </c>
      <c r="Q63" s="9">
        <f>'總表'!U86</f>
        <v/>
      </c>
      <c r="R63" s="19">
        <f>'總表'!AE86</f>
        <v/>
      </c>
      <c r="S63" s="5">
        <f>'總表'!AI86</f>
        <v/>
      </c>
      <c r="T63" s="5">
        <f>'總表'!AJ86</f>
        <v/>
      </c>
      <c r="U63" s="5">
        <f>'總表'!AK86</f>
        <v/>
      </c>
      <c r="V63" s="5">
        <f>'總表'!AL86</f>
        <v/>
      </c>
      <c r="W63" s="9">
        <f>'總表'!AQ86</f>
        <v/>
      </c>
      <c r="X63" s="9">
        <f>'總表'!AS86</f>
        <v/>
      </c>
      <c r="Y63" s="5">
        <f>'總表'!AT86</f>
        <v/>
      </c>
      <c r="Z63" s="11">
        <f>'總表'!AW86</f>
        <v/>
      </c>
      <c r="AA63" s="17">
        <f>'總表'!BE86</f>
        <v/>
      </c>
      <c r="AB63" s="17">
        <f>'總表'!BG86</f>
        <v/>
      </c>
      <c r="AC63" s="17">
        <f>'總表'!BH86</f>
        <v/>
      </c>
      <c r="AD63" s="17">
        <f>'總表'!BI86</f>
        <v/>
      </c>
      <c r="AE63" s="17">
        <f>'總表'!BJ86</f>
        <v/>
      </c>
      <c r="AF63" s="18">
        <f>'總表'!BK86</f>
        <v/>
      </c>
      <c r="AG63" s="5">
        <f>'總表'!B86</f>
        <v/>
      </c>
    </row>
    <row r="64">
      <c r="A64" s="5" t="n">
        <v>63</v>
      </c>
      <c r="B64" s="6" t="inlineStr">
        <is>
          <t>FSBW</t>
        </is>
      </c>
      <c r="C64" s="5">
        <f>'總表'!D87</f>
        <v/>
      </c>
      <c r="D64" s="5">
        <f>'總表'!F87</f>
        <v/>
      </c>
      <c r="E64" s="5">
        <f>'總表'!G87</f>
        <v/>
      </c>
      <c r="F64" s="5">
        <f>'總表'!I87</f>
        <v/>
      </c>
      <c r="G64" s="40">
        <f>'總表'!H87</f>
        <v/>
      </c>
      <c r="H64" s="41">
        <f>'總表'!J87</f>
        <v/>
      </c>
      <c r="I64" s="9">
        <f>'總表'!L87</f>
        <v/>
      </c>
      <c r="J64" s="41">
        <f>'總表'!R87</f>
        <v/>
      </c>
      <c r="K64" s="41">
        <f>'總表'!S87</f>
        <v/>
      </c>
      <c r="L64" s="9">
        <f>'總表'!W87</f>
        <v/>
      </c>
      <c r="M64" s="9">
        <f>'總表'!X87</f>
        <v/>
      </c>
      <c r="N64" s="11">
        <f>'總表'!AA87</f>
        <v/>
      </c>
      <c r="O64" s="11">
        <f>'總表'!AB87</f>
        <v/>
      </c>
      <c r="P64" s="5">
        <f>'總表'!AD87</f>
        <v/>
      </c>
      <c r="Q64" s="9">
        <f>'總表'!U87</f>
        <v/>
      </c>
      <c r="R64" s="5">
        <f>'總表'!AE87</f>
        <v/>
      </c>
      <c r="S64" s="5">
        <f>'總表'!AI87</f>
        <v/>
      </c>
      <c r="T64" s="5">
        <f>'總表'!AJ87</f>
        <v/>
      </c>
      <c r="U64" s="5">
        <f>'總表'!AK87</f>
        <v/>
      </c>
      <c r="V64" s="5">
        <f>'總表'!AL87</f>
        <v/>
      </c>
      <c r="W64" s="9">
        <f>'總表'!AQ87</f>
        <v/>
      </c>
      <c r="X64" s="9">
        <f>'總表'!AS87</f>
        <v/>
      </c>
      <c r="Y64" s="5">
        <f>'總表'!AT87</f>
        <v/>
      </c>
      <c r="Z64" s="11">
        <f>'總表'!AW87</f>
        <v/>
      </c>
      <c r="AA64" s="17">
        <f>'總表'!BE87</f>
        <v/>
      </c>
      <c r="AB64" s="17">
        <f>'總表'!BG87</f>
        <v/>
      </c>
      <c r="AC64" s="17">
        <f>'總表'!BH87</f>
        <v/>
      </c>
      <c r="AD64" s="17">
        <f>'總表'!BI87</f>
        <v/>
      </c>
      <c r="AE64" s="17">
        <f>'總表'!BJ87</f>
        <v/>
      </c>
      <c r="AF64" s="18">
        <f>'總表'!BK87</f>
        <v/>
      </c>
      <c r="AG64" s="5">
        <f>'總表'!B87</f>
        <v/>
      </c>
    </row>
    <row r="65">
      <c r="A65" s="5" t="n">
        <v>64</v>
      </c>
      <c r="B65" s="6" t="inlineStr">
        <is>
          <t>AMG</t>
        </is>
      </c>
      <c r="C65" s="5">
        <f>'總表'!D88</f>
        <v/>
      </c>
      <c r="D65" s="5">
        <f>'總表'!F88</f>
        <v/>
      </c>
      <c r="E65" s="5">
        <f>'總表'!G88</f>
        <v/>
      </c>
      <c r="F65" s="5">
        <f>'總表'!I88</f>
        <v/>
      </c>
      <c r="G65" s="40">
        <f>'總表'!H88</f>
        <v/>
      </c>
      <c r="H65" s="41">
        <f>'總表'!J88</f>
        <v/>
      </c>
      <c r="I65" s="9">
        <f>'總表'!L88</f>
        <v/>
      </c>
      <c r="J65" s="41">
        <f>'總表'!R88</f>
        <v/>
      </c>
      <c r="K65" s="41">
        <f>'總表'!S88</f>
        <v/>
      </c>
      <c r="L65" s="9">
        <f>'總表'!W88</f>
        <v/>
      </c>
      <c r="M65" s="9">
        <f>'總表'!X88</f>
        <v/>
      </c>
      <c r="N65" s="11">
        <f>'總表'!AA88</f>
        <v/>
      </c>
      <c r="O65" s="11">
        <f>'總表'!AB88</f>
        <v/>
      </c>
      <c r="P65" s="5">
        <f>'總表'!AD88</f>
        <v/>
      </c>
      <c r="Q65" s="9">
        <f>'總表'!U88</f>
        <v/>
      </c>
      <c r="R65" s="19">
        <f>'總表'!AE88</f>
        <v/>
      </c>
      <c r="S65" s="5">
        <f>'總表'!AI88</f>
        <v/>
      </c>
      <c r="T65" s="5">
        <f>'總表'!AJ88</f>
        <v/>
      </c>
      <c r="U65" s="5">
        <f>'總表'!AK88</f>
        <v/>
      </c>
      <c r="V65" s="5">
        <f>'總表'!AL88</f>
        <v/>
      </c>
      <c r="W65" s="9">
        <f>'總表'!AQ88</f>
        <v/>
      </c>
      <c r="X65" s="9">
        <f>'總表'!AS88</f>
        <v/>
      </c>
      <c r="Y65" s="5">
        <f>'總表'!AT88</f>
        <v/>
      </c>
      <c r="Z65" s="11">
        <f>'總表'!AW88</f>
        <v/>
      </c>
      <c r="AA65" s="17">
        <f>'總表'!BE88</f>
        <v/>
      </c>
      <c r="AB65" s="17">
        <f>'總表'!BG88</f>
        <v/>
      </c>
      <c r="AC65" s="17">
        <f>'總表'!BH88</f>
        <v/>
      </c>
      <c r="AD65" s="17">
        <f>'總表'!BI88</f>
        <v/>
      </c>
      <c r="AE65" s="17">
        <f>'總表'!BJ88</f>
        <v/>
      </c>
      <c r="AF65" s="18">
        <f>'總表'!BK88</f>
        <v/>
      </c>
      <c r="AG65" s="5">
        <f>'總表'!B88</f>
        <v/>
      </c>
    </row>
    <row r="66">
      <c r="A66" s="5" t="n">
        <v>65</v>
      </c>
      <c r="B66" s="6" t="inlineStr">
        <is>
          <t>FNRN</t>
        </is>
      </c>
      <c r="C66" s="5">
        <f>'總表'!D89</f>
        <v/>
      </c>
      <c r="D66" s="5">
        <f>'總表'!F89</f>
        <v/>
      </c>
      <c r="E66" s="5">
        <f>'總表'!G89</f>
        <v/>
      </c>
      <c r="F66" s="5">
        <f>'總表'!I89</f>
        <v/>
      </c>
      <c r="G66" s="40">
        <f>'總表'!H89</f>
        <v/>
      </c>
      <c r="H66" s="41">
        <f>'總表'!J89</f>
        <v/>
      </c>
      <c r="I66" s="9">
        <f>'總表'!L89</f>
        <v/>
      </c>
      <c r="J66" s="41">
        <f>'總表'!R89</f>
        <v/>
      </c>
      <c r="K66" s="41">
        <f>'總表'!S89</f>
        <v/>
      </c>
      <c r="L66" s="9">
        <f>'總表'!W89</f>
        <v/>
      </c>
      <c r="M66" s="9">
        <f>'總表'!X89</f>
        <v/>
      </c>
      <c r="N66" s="11">
        <f>'總表'!AA89</f>
        <v/>
      </c>
      <c r="O66" s="11">
        <f>'總表'!AB89</f>
        <v/>
      </c>
      <c r="P66" s="5">
        <f>'總表'!AD89</f>
        <v/>
      </c>
      <c r="Q66" s="9">
        <f>'總表'!U89</f>
        <v/>
      </c>
      <c r="R66" s="19">
        <f>'總表'!AE89</f>
        <v/>
      </c>
      <c r="S66" s="5">
        <f>'總表'!AI89</f>
        <v/>
      </c>
      <c r="T66" s="5">
        <f>'總表'!AJ89</f>
        <v/>
      </c>
      <c r="U66" s="5">
        <f>'總表'!AK89</f>
        <v/>
      </c>
      <c r="V66" s="5">
        <f>'總表'!AL89</f>
        <v/>
      </c>
      <c r="W66" s="9">
        <f>'總表'!AQ89</f>
        <v/>
      </c>
      <c r="X66" s="9">
        <f>'總表'!AS89</f>
        <v/>
      </c>
      <c r="Y66" s="5">
        <f>'總表'!AT89</f>
        <v/>
      </c>
      <c r="Z66" s="11">
        <f>'總表'!AW89</f>
        <v/>
      </c>
      <c r="AA66" s="17">
        <f>'總表'!BE89</f>
        <v/>
      </c>
      <c r="AB66" s="17">
        <f>'總表'!BG89</f>
        <v/>
      </c>
      <c r="AC66" s="17">
        <f>'總表'!BH89</f>
        <v/>
      </c>
      <c r="AD66" s="17">
        <f>'總表'!BI89</f>
        <v/>
      </c>
      <c r="AE66" s="17">
        <f>'總表'!BJ89</f>
        <v/>
      </c>
      <c r="AF66" s="18">
        <f>'總表'!BK89</f>
        <v/>
      </c>
      <c r="AG66" s="5">
        <f>'總表'!B89</f>
        <v/>
      </c>
    </row>
    <row r="67">
      <c r="A67" s="5" t="n">
        <v>66</v>
      </c>
      <c r="B67" s="6" t="inlineStr">
        <is>
          <t>WAY</t>
        </is>
      </c>
      <c r="C67" s="5">
        <f>'總表'!D90</f>
        <v/>
      </c>
      <c r="D67" s="5">
        <f>'總表'!F90</f>
        <v/>
      </c>
      <c r="E67" s="5">
        <f>'總表'!G90</f>
        <v/>
      </c>
      <c r="F67" s="5">
        <f>'總表'!I90</f>
        <v/>
      </c>
      <c r="G67" s="40">
        <f>'總表'!H90</f>
        <v/>
      </c>
      <c r="H67" s="41">
        <f>'總表'!J90</f>
        <v/>
      </c>
      <c r="I67" s="9">
        <f>'總表'!L90</f>
        <v/>
      </c>
      <c r="J67" s="41">
        <f>'總表'!R90</f>
        <v/>
      </c>
      <c r="K67" s="41">
        <f>'總表'!S90</f>
        <v/>
      </c>
      <c r="L67" s="9">
        <f>'總表'!W90</f>
        <v/>
      </c>
      <c r="M67" s="9">
        <f>'總表'!X90</f>
        <v/>
      </c>
      <c r="N67" s="11">
        <f>'總表'!AA90</f>
        <v/>
      </c>
      <c r="O67" s="11">
        <f>'總表'!AB90</f>
        <v/>
      </c>
      <c r="P67" s="5">
        <f>'總表'!AD90</f>
        <v/>
      </c>
      <c r="Q67" s="9">
        <f>'總表'!U90</f>
        <v/>
      </c>
      <c r="R67" s="5">
        <f>'總表'!AE90</f>
        <v/>
      </c>
      <c r="S67" s="5">
        <f>'總表'!AI90</f>
        <v/>
      </c>
      <c r="T67" s="5">
        <f>'總表'!AJ90</f>
        <v/>
      </c>
      <c r="U67" s="5">
        <f>'總表'!AK90</f>
        <v/>
      </c>
      <c r="V67" s="5">
        <f>'總表'!AL90</f>
        <v/>
      </c>
      <c r="W67" s="9">
        <f>'總表'!AQ90</f>
        <v/>
      </c>
      <c r="X67" s="9">
        <f>'總表'!AS90</f>
        <v/>
      </c>
      <c r="Y67" s="5">
        <f>'總表'!AT90</f>
        <v/>
      </c>
      <c r="Z67" s="11">
        <f>'總表'!AW90</f>
        <v/>
      </c>
      <c r="AA67" s="17">
        <f>'總表'!BE90</f>
        <v/>
      </c>
      <c r="AB67" s="17">
        <f>'總表'!BG90</f>
        <v/>
      </c>
      <c r="AC67" s="17">
        <f>'總表'!BH90</f>
        <v/>
      </c>
      <c r="AD67" s="17">
        <f>'總表'!BI90</f>
        <v/>
      </c>
      <c r="AE67" s="17">
        <f>'總表'!BJ90</f>
        <v/>
      </c>
      <c r="AF67" s="18">
        <f>'總表'!BK90</f>
        <v/>
      </c>
      <c r="AG67" s="5">
        <f>'總表'!B90</f>
        <v/>
      </c>
    </row>
    <row r="68">
      <c r="A68" s="5" t="n">
        <v>67</v>
      </c>
      <c r="B68" s="6" t="inlineStr">
        <is>
          <t>TXNM</t>
        </is>
      </c>
      <c r="C68" s="5">
        <f>'總表'!D91</f>
        <v/>
      </c>
      <c r="D68" s="5">
        <f>'總表'!F91</f>
        <v/>
      </c>
      <c r="E68" s="5">
        <f>'總表'!G91</f>
        <v/>
      </c>
      <c r="F68" s="5">
        <f>'總表'!I91</f>
        <v/>
      </c>
      <c r="G68" s="40">
        <f>'總表'!H91</f>
        <v/>
      </c>
      <c r="H68" s="41">
        <f>'總表'!J91</f>
        <v/>
      </c>
      <c r="I68" s="9">
        <f>'總表'!L91</f>
        <v/>
      </c>
      <c r="J68" s="41">
        <f>'總表'!R91</f>
        <v/>
      </c>
      <c r="K68" s="41">
        <f>'總表'!S91</f>
        <v/>
      </c>
      <c r="L68" s="9">
        <f>'總表'!W91</f>
        <v/>
      </c>
      <c r="M68" s="9">
        <f>'總表'!X91</f>
        <v/>
      </c>
      <c r="N68" s="11">
        <f>'總表'!AA91</f>
        <v/>
      </c>
      <c r="O68" s="11">
        <f>'總表'!AB91</f>
        <v/>
      </c>
      <c r="P68" s="5">
        <f>'總表'!AD91</f>
        <v/>
      </c>
      <c r="Q68" s="9">
        <f>'總表'!U91</f>
        <v/>
      </c>
      <c r="R68" s="5">
        <f>'總表'!AE91</f>
        <v/>
      </c>
      <c r="S68" s="5">
        <f>'總表'!AI91</f>
        <v/>
      </c>
      <c r="T68" s="5">
        <f>'總表'!AJ91</f>
        <v/>
      </c>
      <c r="U68" s="5">
        <f>'總表'!AK91</f>
        <v/>
      </c>
      <c r="V68" s="5">
        <f>'總表'!AL91</f>
        <v/>
      </c>
      <c r="W68" s="9">
        <f>'總表'!AQ91</f>
        <v/>
      </c>
      <c r="X68" s="9">
        <f>'總表'!AS91</f>
        <v/>
      </c>
      <c r="Y68" s="5">
        <f>'總表'!AT91</f>
        <v/>
      </c>
      <c r="Z68" s="11">
        <f>'總表'!AW91</f>
        <v/>
      </c>
      <c r="AA68" s="17">
        <f>'總表'!BE91</f>
        <v/>
      </c>
      <c r="AB68" s="17">
        <f>'總表'!BG91</f>
        <v/>
      </c>
      <c r="AC68" s="17">
        <f>'總表'!BH91</f>
        <v/>
      </c>
      <c r="AD68" s="17">
        <f>'總表'!BI91</f>
        <v/>
      </c>
      <c r="AE68" s="17">
        <f>'總表'!BJ91</f>
        <v/>
      </c>
      <c r="AF68" s="18">
        <f>'總表'!BK91</f>
        <v/>
      </c>
      <c r="AG68" s="5">
        <f>'總表'!B91</f>
        <v/>
      </c>
    </row>
    <row r="69">
      <c r="A69" s="5" t="n">
        <v>68</v>
      </c>
      <c r="B69" s="6" t="inlineStr">
        <is>
          <t>VSTS</t>
        </is>
      </c>
      <c r="C69" s="5">
        <f>'總表'!D92</f>
        <v/>
      </c>
      <c r="D69" s="5">
        <f>'總表'!F92</f>
        <v/>
      </c>
      <c r="E69" s="5">
        <f>'總表'!G92</f>
        <v/>
      </c>
      <c r="F69" s="5">
        <f>'總表'!I92</f>
        <v/>
      </c>
      <c r="G69" s="40">
        <f>'總表'!H92</f>
        <v/>
      </c>
      <c r="H69" s="41">
        <f>'總表'!J92</f>
        <v/>
      </c>
      <c r="I69" s="9">
        <f>'總表'!L92</f>
        <v/>
      </c>
      <c r="J69" s="41">
        <f>'總表'!R92</f>
        <v/>
      </c>
      <c r="K69" s="41">
        <f>'總表'!S92</f>
        <v/>
      </c>
      <c r="L69" s="9">
        <f>'總表'!W92</f>
        <v/>
      </c>
      <c r="M69" s="9">
        <f>'總表'!X92</f>
        <v/>
      </c>
      <c r="N69" s="11">
        <f>'總表'!AA92</f>
        <v/>
      </c>
      <c r="O69" s="11">
        <f>'總表'!AB92</f>
        <v/>
      </c>
      <c r="P69" s="5">
        <f>'總表'!AD92</f>
        <v/>
      </c>
      <c r="Q69" s="9">
        <f>'總表'!U92</f>
        <v/>
      </c>
      <c r="R69" s="5">
        <f>'總表'!AE92</f>
        <v/>
      </c>
      <c r="S69" s="5">
        <f>'總表'!AI92</f>
        <v/>
      </c>
      <c r="T69" s="5">
        <f>'總表'!AJ92</f>
        <v/>
      </c>
      <c r="U69" s="5">
        <f>'總表'!AK92</f>
        <v/>
      </c>
      <c r="V69" s="5">
        <f>'總表'!AL92</f>
        <v/>
      </c>
      <c r="W69" s="9">
        <f>'總表'!AQ92</f>
        <v/>
      </c>
      <c r="X69" s="9">
        <f>'總表'!AS92</f>
        <v/>
      </c>
      <c r="Y69" s="5">
        <f>'總表'!AT92</f>
        <v/>
      </c>
      <c r="Z69" s="11">
        <f>'總表'!AW92</f>
        <v/>
      </c>
      <c r="AA69" s="17">
        <f>'總表'!BE92</f>
        <v/>
      </c>
      <c r="AB69" s="17">
        <f>'總表'!BG92</f>
        <v/>
      </c>
      <c r="AC69" s="17">
        <f>'總表'!BH92</f>
        <v/>
      </c>
      <c r="AD69" s="17">
        <f>'總表'!BI92</f>
        <v/>
      </c>
      <c r="AE69" s="17">
        <f>'總表'!BJ92</f>
        <v/>
      </c>
      <c r="AF69" s="18">
        <f>'總表'!BK92</f>
        <v/>
      </c>
      <c r="AG69" s="5">
        <f>'總表'!B92</f>
        <v/>
      </c>
    </row>
    <row r="70">
      <c r="A70" s="5" t="n">
        <v>69</v>
      </c>
      <c r="B70" s="6" t="inlineStr">
        <is>
          <t>MKTX</t>
        </is>
      </c>
      <c r="C70" s="5">
        <f>'總表'!D93</f>
        <v/>
      </c>
      <c r="D70" s="5">
        <f>'總表'!F93</f>
        <v/>
      </c>
      <c r="E70" s="5">
        <f>'總表'!G93</f>
        <v/>
      </c>
      <c r="F70" s="5">
        <f>'總表'!I93</f>
        <v/>
      </c>
      <c r="G70" s="40">
        <f>'總表'!H93</f>
        <v/>
      </c>
      <c r="H70" s="41">
        <f>'總表'!J93</f>
        <v/>
      </c>
      <c r="I70" s="9">
        <f>'總表'!L93</f>
        <v/>
      </c>
      <c r="J70" s="41">
        <f>'總表'!R93</f>
        <v/>
      </c>
      <c r="K70" s="41">
        <f>'總表'!S93</f>
        <v/>
      </c>
      <c r="L70" s="9">
        <f>'總表'!W93</f>
        <v/>
      </c>
      <c r="M70" s="9">
        <f>'總表'!X93</f>
        <v/>
      </c>
      <c r="N70" s="11">
        <f>'總表'!AA93</f>
        <v/>
      </c>
      <c r="O70" s="11">
        <f>'總表'!AB93</f>
        <v/>
      </c>
      <c r="P70" s="5">
        <f>'總表'!AD93</f>
        <v/>
      </c>
      <c r="Q70" s="9">
        <f>'總表'!U93</f>
        <v/>
      </c>
      <c r="R70" s="5">
        <f>'總表'!AE93</f>
        <v/>
      </c>
      <c r="S70" s="5">
        <f>'總表'!AI93</f>
        <v/>
      </c>
      <c r="T70" s="5">
        <f>'總表'!AJ93</f>
        <v/>
      </c>
      <c r="U70" s="5">
        <f>'總表'!AK93</f>
        <v/>
      </c>
      <c r="V70" s="5">
        <f>'總表'!AL93</f>
        <v/>
      </c>
      <c r="W70" s="9">
        <f>'總表'!AQ93</f>
        <v/>
      </c>
      <c r="X70" s="9">
        <f>'總表'!AS93</f>
        <v/>
      </c>
      <c r="Y70" s="5">
        <f>'總表'!AT93</f>
        <v/>
      </c>
      <c r="Z70" s="11">
        <f>'總表'!AW93</f>
        <v/>
      </c>
      <c r="AA70" s="17">
        <f>'總表'!BE93</f>
        <v/>
      </c>
      <c r="AB70" s="17">
        <f>'總表'!BG93</f>
        <v/>
      </c>
      <c r="AC70" s="17">
        <f>'總表'!BH93</f>
        <v/>
      </c>
      <c r="AD70" s="17">
        <f>'總表'!BI93</f>
        <v/>
      </c>
      <c r="AE70" s="17">
        <f>'總表'!BJ93</f>
        <v/>
      </c>
      <c r="AF70" s="18">
        <f>'總表'!BK93</f>
        <v/>
      </c>
      <c r="AG70" s="5">
        <f>'總表'!B93</f>
        <v/>
      </c>
    </row>
    <row r="71">
      <c r="A71" s="5" t="n">
        <v>70</v>
      </c>
      <c r="B71" s="6" t="inlineStr">
        <is>
          <t>PSX</t>
        </is>
      </c>
      <c r="C71" s="5">
        <f>'總表'!D94</f>
        <v/>
      </c>
      <c r="D71" s="5">
        <f>'總表'!F94</f>
        <v/>
      </c>
      <c r="E71" s="5">
        <f>'總表'!G94</f>
        <v/>
      </c>
      <c r="F71" s="5">
        <f>'總表'!I94</f>
        <v/>
      </c>
      <c r="G71" s="40">
        <f>'總表'!H94</f>
        <v/>
      </c>
      <c r="H71" s="41">
        <f>'總表'!J94</f>
        <v/>
      </c>
      <c r="I71" s="9">
        <f>'總表'!L94</f>
        <v/>
      </c>
      <c r="J71" s="41">
        <f>'總表'!R94</f>
        <v/>
      </c>
      <c r="K71" s="41">
        <f>'總表'!S94</f>
        <v/>
      </c>
      <c r="L71" s="9">
        <f>'總表'!W94</f>
        <v/>
      </c>
      <c r="M71" s="9">
        <f>'總表'!X94</f>
        <v/>
      </c>
      <c r="N71" s="11">
        <f>'總表'!AA94</f>
        <v/>
      </c>
      <c r="O71" s="11">
        <f>'總表'!AB94</f>
        <v/>
      </c>
      <c r="P71" s="5">
        <f>'總表'!AD94</f>
        <v/>
      </c>
      <c r="Q71" s="9">
        <f>'總表'!U94</f>
        <v/>
      </c>
      <c r="R71" s="5">
        <f>'總表'!AE94</f>
        <v/>
      </c>
      <c r="S71" s="5">
        <f>'總表'!AI94</f>
        <v/>
      </c>
      <c r="T71" s="5">
        <f>'總表'!AJ94</f>
        <v/>
      </c>
      <c r="U71" s="5">
        <f>'總表'!AK94</f>
        <v/>
      </c>
      <c r="V71" s="5">
        <f>'總表'!AL94</f>
        <v/>
      </c>
      <c r="W71" s="9">
        <f>'總表'!AQ94</f>
        <v/>
      </c>
      <c r="X71" s="9">
        <f>'總表'!AS94</f>
        <v/>
      </c>
      <c r="Y71" s="5">
        <f>'總表'!AT94</f>
        <v/>
      </c>
      <c r="Z71" s="11">
        <f>'總表'!AW94</f>
        <v/>
      </c>
      <c r="AA71" s="17">
        <f>'總表'!BE94</f>
        <v/>
      </c>
      <c r="AB71" s="17">
        <f>'總表'!BG94</f>
        <v/>
      </c>
      <c r="AC71" s="17">
        <f>'總表'!BH94</f>
        <v/>
      </c>
      <c r="AD71" s="17">
        <f>'總表'!BI94</f>
        <v/>
      </c>
      <c r="AE71" s="17">
        <f>'總表'!BJ94</f>
        <v/>
      </c>
      <c r="AF71" s="18">
        <f>'總表'!BK94</f>
        <v/>
      </c>
      <c r="AG71" s="5">
        <f>'總表'!B94</f>
        <v/>
      </c>
    </row>
    <row r="72">
      <c r="A72" s="5" t="n">
        <v>71</v>
      </c>
      <c r="B72" s="6" t="inlineStr">
        <is>
          <t>ATKR</t>
        </is>
      </c>
      <c r="C72" s="5">
        <f>'總表'!D95</f>
        <v/>
      </c>
      <c r="D72" s="5">
        <f>'總表'!F95</f>
        <v/>
      </c>
      <c r="E72" s="5">
        <f>'總表'!G95</f>
        <v/>
      </c>
      <c r="F72" s="5">
        <f>'總表'!I95</f>
        <v/>
      </c>
      <c r="G72" s="40">
        <f>'總表'!H95</f>
        <v/>
      </c>
      <c r="H72" s="41">
        <f>'總表'!J95</f>
        <v/>
      </c>
      <c r="I72" s="9">
        <f>'總表'!L95</f>
        <v/>
      </c>
      <c r="J72" s="41">
        <f>'總表'!R95</f>
        <v/>
      </c>
      <c r="K72" s="41">
        <f>'總表'!S95</f>
        <v/>
      </c>
      <c r="L72" s="9">
        <f>'總表'!W95</f>
        <v/>
      </c>
      <c r="M72" s="9">
        <f>'總表'!X95</f>
        <v/>
      </c>
      <c r="N72" s="11">
        <f>'總表'!AA95</f>
        <v/>
      </c>
      <c r="O72" s="11">
        <f>'總表'!AB95</f>
        <v/>
      </c>
      <c r="P72" s="5">
        <f>'總表'!AD95</f>
        <v/>
      </c>
      <c r="Q72" s="9">
        <f>'總表'!U95</f>
        <v/>
      </c>
      <c r="R72" s="5">
        <f>'總表'!AE95</f>
        <v/>
      </c>
      <c r="S72" s="5">
        <f>'總表'!AI95</f>
        <v/>
      </c>
      <c r="T72" s="5">
        <f>'總表'!AJ95</f>
        <v/>
      </c>
      <c r="U72" s="5">
        <f>'總表'!AK95</f>
        <v/>
      </c>
      <c r="V72" s="5">
        <f>'總表'!AL95</f>
        <v/>
      </c>
      <c r="W72" s="9">
        <f>'總表'!AQ95</f>
        <v/>
      </c>
      <c r="X72" s="9">
        <f>'總表'!AS95</f>
        <v/>
      </c>
      <c r="Y72" s="5">
        <f>'總表'!AT95</f>
        <v/>
      </c>
      <c r="Z72" s="11">
        <f>'總表'!AW95</f>
        <v/>
      </c>
      <c r="AA72" s="17">
        <f>'總表'!BE95</f>
        <v/>
      </c>
      <c r="AB72" s="17">
        <f>'總表'!BG95</f>
        <v/>
      </c>
      <c r="AC72" s="17">
        <f>'總表'!BH95</f>
        <v/>
      </c>
      <c r="AD72" s="17">
        <f>'總表'!BI95</f>
        <v/>
      </c>
      <c r="AE72" s="17">
        <f>'總表'!BJ95</f>
        <v/>
      </c>
      <c r="AF72" s="18">
        <f>'總表'!BK95</f>
        <v/>
      </c>
      <c r="AG72" s="5">
        <f>'總表'!B95</f>
        <v/>
      </c>
    </row>
    <row r="73">
      <c r="A73" s="5" t="n">
        <v>72</v>
      </c>
      <c r="B73" s="6" t="inlineStr">
        <is>
          <t>COLM</t>
        </is>
      </c>
      <c r="C73" s="5">
        <f>'總表'!D96</f>
        <v/>
      </c>
      <c r="D73" s="5">
        <f>'總表'!F96</f>
        <v/>
      </c>
      <c r="E73" s="5">
        <f>'總表'!G96</f>
        <v/>
      </c>
      <c r="F73" s="5">
        <f>'總表'!I96</f>
        <v/>
      </c>
      <c r="G73" s="40">
        <f>'總表'!H96</f>
        <v/>
      </c>
      <c r="H73" s="41">
        <f>'總表'!J96</f>
        <v/>
      </c>
      <c r="I73" s="9">
        <f>'總表'!L96</f>
        <v/>
      </c>
      <c r="J73" s="41">
        <f>'總表'!R96</f>
        <v/>
      </c>
      <c r="K73" s="41">
        <f>'總表'!S96</f>
        <v/>
      </c>
      <c r="L73" s="9">
        <f>'總表'!W96</f>
        <v/>
      </c>
      <c r="M73" s="9">
        <f>'總表'!X96</f>
        <v/>
      </c>
      <c r="N73" s="11">
        <f>'總表'!AA96</f>
        <v/>
      </c>
      <c r="O73" s="11">
        <f>'總表'!AB96</f>
        <v/>
      </c>
      <c r="P73" s="5">
        <f>'總表'!AD96</f>
        <v/>
      </c>
      <c r="Q73" s="9">
        <f>'總表'!U96</f>
        <v/>
      </c>
      <c r="R73" s="19">
        <f>'總表'!AE96</f>
        <v/>
      </c>
      <c r="S73" s="5">
        <f>'總表'!AI96</f>
        <v/>
      </c>
      <c r="T73" s="5">
        <f>'總表'!AJ96</f>
        <v/>
      </c>
      <c r="U73" s="5">
        <f>'總表'!AK96</f>
        <v/>
      </c>
      <c r="V73" s="5">
        <f>'總表'!AL96</f>
        <v/>
      </c>
      <c r="W73" s="9">
        <f>'總表'!AQ96</f>
        <v/>
      </c>
      <c r="X73" s="9">
        <f>'總表'!AS96</f>
        <v/>
      </c>
      <c r="Y73" s="5">
        <f>'總表'!AT96</f>
        <v/>
      </c>
      <c r="Z73" s="11">
        <f>'總表'!AW96</f>
        <v/>
      </c>
      <c r="AA73" s="17">
        <f>'總表'!BE96</f>
        <v/>
      </c>
      <c r="AB73" s="17">
        <f>'總表'!BG96</f>
        <v/>
      </c>
      <c r="AC73" s="17">
        <f>'總表'!BH96</f>
        <v/>
      </c>
      <c r="AD73" s="17">
        <f>'總表'!BI96</f>
        <v/>
      </c>
      <c r="AE73" s="17">
        <f>'總表'!BJ96</f>
        <v/>
      </c>
      <c r="AF73" s="18">
        <f>'總表'!BK96</f>
        <v/>
      </c>
      <c r="AG73" s="5">
        <f>'總表'!B96</f>
        <v/>
      </c>
    </row>
    <row r="74">
      <c r="A74" s="5" t="n">
        <v>73</v>
      </c>
      <c r="B74" s="6" t="inlineStr">
        <is>
          <t>SAFT</t>
        </is>
      </c>
      <c r="C74" s="5">
        <f>'總表'!D98</f>
        <v/>
      </c>
      <c r="D74" s="5">
        <f>'總表'!F98</f>
        <v/>
      </c>
      <c r="E74" s="5">
        <f>'總表'!G98</f>
        <v/>
      </c>
      <c r="F74" s="5">
        <f>'總表'!I98</f>
        <v/>
      </c>
      <c r="G74" s="40">
        <f>'總表'!H98</f>
        <v/>
      </c>
      <c r="H74" s="41">
        <f>'總表'!J98</f>
        <v/>
      </c>
      <c r="I74" s="9">
        <f>'總表'!L98</f>
        <v/>
      </c>
      <c r="J74" s="41">
        <f>'總表'!R98</f>
        <v/>
      </c>
      <c r="K74" s="41">
        <f>'總表'!S98</f>
        <v/>
      </c>
      <c r="L74" s="9">
        <f>'總表'!W98</f>
        <v/>
      </c>
      <c r="M74" s="9">
        <f>'總表'!X98</f>
        <v/>
      </c>
      <c r="N74" s="11">
        <f>'總表'!AA98</f>
        <v/>
      </c>
      <c r="O74" s="11">
        <f>'總表'!AB98</f>
        <v/>
      </c>
      <c r="P74" s="5">
        <f>'總表'!AD98</f>
        <v/>
      </c>
      <c r="Q74" s="9">
        <f>'總表'!U98</f>
        <v/>
      </c>
      <c r="R74" s="5">
        <f>'總表'!AE98</f>
        <v/>
      </c>
      <c r="S74" s="5">
        <f>'總表'!AI98</f>
        <v/>
      </c>
      <c r="T74" s="5">
        <f>'總表'!AJ98</f>
        <v/>
      </c>
      <c r="U74" s="5">
        <f>'總表'!AK98</f>
        <v/>
      </c>
      <c r="V74" s="5">
        <f>'總表'!AL98</f>
        <v/>
      </c>
      <c r="W74" s="9">
        <f>'總表'!AQ98</f>
        <v/>
      </c>
      <c r="X74" s="9">
        <f>'總表'!AS98</f>
        <v/>
      </c>
      <c r="Y74" s="5">
        <f>'總表'!AT98</f>
        <v/>
      </c>
      <c r="Z74" s="11">
        <f>'總表'!AW98</f>
        <v/>
      </c>
      <c r="AA74" s="17">
        <f>'總表'!BE98</f>
        <v/>
      </c>
      <c r="AB74" s="17">
        <f>'總表'!BG98</f>
        <v/>
      </c>
      <c r="AC74" s="17">
        <f>'總表'!BH98</f>
        <v/>
      </c>
      <c r="AD74" s="17">
        <f>'總表'!BI98</f>
        <v/>
      </c>
      <c r="AE74" s="17">
        <f>'總表'!BJ98</f>
        <v/>
      </c>
      <c r="AF74" s="18">
        <f>'總表'!BK98</f>
        <v/>
      </c>
      <c r="AG74" s="5">
        <f>'總表'!B98</f>
        <v/>
      </c>
    </row>
    <row r="75">
      <c r="A75" s="5" t="n">
        <v>74</v>
      </c>
      <c r="B75" s="6" t="inlineStr">
        <is>
          <t>TRNS</t>
        </is>
      </c>
      <c r="C75" s="5">
        <f>'總表'!D99</f>
        <v/>
      </c>
      <c r="D75" s="5">
        <f>'總表'!F99</f>
        <v/>
      </c>
      <c r="E75" s="5">
        <f>'總表'!G99</f>
        <v/>
      </c>
      <c r="F75" s="5">
        <f>'總表'!I99</f>
        <v/>
      </c>
      <c r="G75" s="40">
        <f>'總表'!H99</f>
        <v/>
      </c>
      <c r="H75" s="41">
        <f>'總表'!J99</f>
        <v/>
      </c>
      <c r="I75" s="9">
        <f>'總表'!L99</f>
        <v/>
      </c>
      <c r="J75" s="41">
        <f>'總表'!R99</f>
        <v/>
      </c>
      <c r="K75" s="41">
        <f>'總表'!S99</f>
        <v/>
      </c>
      <c r="L75" s="9">
        <f>'總表'!W99</f>
        <v/>
      </c>
      <c r="M75" s="9">
        <f>'總表'!X99</f>
        <v/>
      </c>
      <c r="N75" s="11">
        <f>'總表'!AA99</f>
        <v/>
      </c>
      <c r="O75" s="11">
        <f>'總表'!AB99</f>
        <v/>
      </c>
      <c r="P75" s="5">
        <f>'總表'!AD99</f>
        <v/>
      </c>
      <c r="Q75" s="9">
        <f>'總表'!U99</f>
        <v/>
      </c>
      <c r="R75" s="5">
        <f>'總表'!AE99</f>
        <v/>
      </c>
      <c r="S75" s="5">
        <f>'總表'!AI99</f>
        <v/>
      </c>
      <c r="T75" s="5">
        <f>'總表'!AJ99</f>
        <v/>
      </c>
      <c r="U75" s="5">
        <f>'總表'!AK99</f>
        <v/>
      </c>
      <c r="V75" s="5">
        <f>'總表'!AL99</f>
        <v/>
      </c>
      <c r="W75" s="9">
        <f>'總表'!AQ99</f>
        <v/>
      </c>
      <c r="X75" s="9">
        <f>'總表'!AS99</f>
        <v/>
      </c>
      <c r="Y75" s="5">
        <f>'總表'!AT99</f>
        <v/>
      </c>
      <c r="Z75" s="11">
        <f>'總表'!AW99</f>
        <v/>
      </c>
      <c r="AA75" s="17">
        <f>'總表'!BE99</f>
        <v/>
      </c>
      <c r="AB75" s="17">
        <f>'總表'!BG99</f>
        <v/>
      </c>
      <c r="AC75" s="17">
        <f>'總表'!BH99</f>
        <v/>
      </c>
      <c r="AD75" s="17">
        <f>'總表'!BI99</f>
        <v/>
      </c>
      <c r="AE75" s="17">
        <f>'總表'!BJ99</f>
        <v/>
      </c>
      <c r="AF75" s="18">
        <f>'總表'!BK99</f>
        <v/>
      </c>
      <c r="AG75" s="5">
        <f>'總表'!B99</f>
        <v/>
      </c>
    </row>
    <row r="76">
      <c r="A76" s="5" t="n">
        <v>75</v>
      </c>
      <c r="B76" s="6" t="inlineStr">
        <is>
          <t>APXT</t>
        </is>
      </c>
      <c r="C76" s="5">
        <f>'總表'!D100</f>
        <v/>
      </c>
      <c r="D76" s="5">
        <f>'總表'!F100</f>
        <v/>
      </c>
      <c r="E76" s="5">
        <f>'總表'!G100</f>
        <v/>
      </c>
      <c r="F76" s="5">
        <f>'總表'!I100</f>
        <v/>
      </c>
      <c r="G76" s="40">
        <f>'總表'!H100</f>
        <v/>
      </c>
      <c r="H76" s="41">
        <f>'總表'!J100</f>
        <v/>
      </c>
      <c r="I76" s="9">
        <f>'總表'!L100</f>
        <v/>
      </c>
      <c r="J76" s="41">
        <f>'總表'!R100</f>
        <v/>
      </c>
      <c r="K76" s="41">
        <f>'總表'!S100</f>
        <v/>
      </c>
      <c r="L76" s="9">
        <f>'總表'!W100</f>
        <v/>
      </c>
      <c r="M76" s="9">
        <f>'總表'!X100</f>
        <v/>
      </c>
      <c r="N76" s="11">
        <f>'總表'!AA100</f>
        <v/>
      </c>
      <c r="O76" s="11">
        <f>'總表'!AB100</f>
        <v/>
      </c>
      <c r="P76" s="5">
        <f>'總表'!AD100</f>
        <v/>
      </c>
      <c r="Q76" s="9">
        <f>'總表'!U100</f>
        <v/>
      </c>
      <c r="R76" s="5">
        <f>'總表'!AE100</f>
        <v/>
      </c>
      <c r="S76" s="5">
        <f>'總表'!AI100</f>
        <v/>
      </c>
      <c r="T76" s="5">
        <f>'總表'!AJ100</f>
        <v/>
      </c>
      <c r="U76" s="5">
        <f>'總表'!AK100</f>
        <v/>
      </c>
      <c r="V76" s="5">
        <f>'總表'!AL100</f>
        <v/>
      </c>
      <c r="W76" s="9">
        <f>'總表'!AQ100</f>
        <v/>
      </c>
      <c r="X76" s="9">
        <f>'總表'!AS100</f>
        <v/>
      </c>
      <c r="Y76" s="5">
        <f>'總表'!AT100</f>
        <v/>
      </c>
      <c r="Z76" s="11">
        <f>'總表'!AW100</f>
        <v/>
      </c>
      <c r="AA76" s="17">
        <f>'總表'!BE100</f>
        <v/>
      </c>
      <c r="AB76" s="17">
        <f>'總表'!BG100</f>
        <v/>
      </c>
      <c r="AC76" s="17">
        <f>'總表'!BH100</f>
        <v/>
      </c>
      <c r="AD76" s="17">
        <f>'總表'!BI100</f>
        <v/>
      </c>
      <c r="AE76" s="17">
        <f>'總表'!BJ100</f>
        <v/>
      </c>
      <c r="AF76" s="18">
        <f>'總表'!BK100</f>
        <v/>
      </c>
      <c r="AG76" s="5">
        <f>'總表'!B100</f>
        <v/>
      </c>
    </row>
    <row r="77">
      <c r="A77" s="5" t="n">
        <v>76</v>
      </c>
      <c r="B77" s="6" t="inlineStr">
        <is>
          <t>OPY</t>
        </is>
      </c>
      <c r="C77" s="5">
        <f>'總表'!D101</f>
        <v/>
      </c>
      <c r="D77" s="5">
        <f>'總表'!F101</f>
        <v/>
      </c>
      <c r="E77" s="5">
        <f>'總表'!G101</f>
        <v/>
      </c>
      <c r="F77" s="5">
        <f>'總表'!I101</f>
        <v/>
      </c>
      <c r="G77" s="40">
        <f>'總表'!H101</f>
        <v/>
      </c>
      <c r="H77" s="41">
        <f>'總表'!J101</f>
        <v/>
      </c>
      <c r="I77" s="9">
        <f>'總表'!L101</f>
        <v/>
      </c>
      <c r="J77" s="41">
        <f>'總表'!R101</f>
        <v/>
      </c>
      <c r="K77" s="41">
        <f>'總表'!S101</f>
        <v/>
      </c>
      <c r="L77" s="9">
        <f>'總表'!W101</f>
        <v/>
      </c>
      <c r="M77" s="9">
        <f>'總表'!X101</f>
        <v/>
      </c>
      <c r="N77" s="11">
        <f>'總表'!AA101</f>
        <v/>
      </c>
      <c r="O77" s="11">
        <f>'總表'!AB101</f>
        <v/>
      </c>
      <c r="P77" s="5">
        <f>'總表'!AD101</f>
        <v/>
      </c>
      <c r="Q77" s="9">
        <f>'總表'!U101</f>
        <v/>
      </c>
      <c r="R77" s="19">
        <f>'總表'!AE101</f>
        <v/>
      </c>
      <c r="S77" s="5">
        <f>'總表'!AI101</f>
        <v/>
      </c>
      <c r="T77" s="5">
        <f>'總表'!AJ101</f>
        <v/>
      </c>
      <c r="U77" s="5">
        <f>'總表'!AK101</f>
        <v/>
      </c>
      <c r="V77" s="5">
        <f>'總表'!AL101</f>
        <v/>
      </c>
      <c r="W77" s="9">
        <f>'總表'!AQ101</f>
        <v/>
      </c>
      <c r="X77" s="9">
        <f>'總表'!AS101</f>
        <v/>
      </c>
      <c r="Y77" s="5">
        <f>'總表'!AT101</f>
        <v/>
      </c>
      <c r="Z77" s="11">
        <f>'總表'!AW101</f>
        <v/>
      </c>
      <c r="AA77" s="17">
        <f>'總表'!BE101</f>
        <v/>
      </c>
      <c r="AB77" s="17">
        <f>'總表'!BG101</f>
        <v/>
      </c>
      <c r="AC77" s="17">
        <f>'總表'!BH101</f>
        <v/>
      </c>
      <c r="AD77" s="17">
        <f>'總表'!BI101</f>
        <v/>
      </c>
      <c r="AE77" s="17">
        <f>'總表'!BJ101</f>
        <v/>
      </c>
      <c r="AF77" s="18">
        <f>'總表'!BK101</f>
        <v/>
      </c>
      <c r="AG77" s="5">
        <f>'總表'!B101</f>
        <v/>
      </c>
    </row>
    <row r="79">
      <c r="A79" s="42" t="inlineStr">
        <is>
          <t>核心四條件全過，而且收市離 EMA9 ≤3% 兼（≤0.75 ATR14 或近 3 日最低價觸及 EMA9），而且唔喺 b 頁（呢頁係較淺嘅回調）。 每格引用總表同一行，改總表會跟住變。</t>
        </is>
      </c>
    </row>
  </sheetData>
  <autoFilter ref="A1:A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24" customWidth="1" min="5" max="5"/>
    <col width="9" customWidth="1" min="6" max="6"/>
    <col width="9" customWidth="1" min="7" max="7"/>
    <col width="7" customWidth="1" min="8" max="8"/>
    <col width="9" customWidth="1" min="9" max="9"/>
    <col width="9" customWidth="1" min="10" max="10"/>
    <col width="7" customWidth="1" min="11" max="11"/>
    <col width="7" customWidth="1" min="12" max="12"/>
    <col width="7" customWidth="1" min="13" max="13"/>
    <col width="9" customWidth="1" min="14" max="14"/>
    <col width="6" customWidth="1" min="15" max="15"/>
    <col width="6" customWidth="1" min="16" max="16"/>
    <col width="7" customWidth="1" min="17" max="17"/>
    <col width="13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6" customWidth="1" min="26" max="26"/>
  </cols>
  <sheetData>
    <row r="1" ht="42" customHeight="1">
      <c r="A1" s="4" t="inlineStr">
        <is>
          <t>組內排名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市值(十億美元)</t>
        </is>
      </c>
      <c r="G1" s="4" t="inlineStr">
        <is>
          <t>收市價</t>
        </is>
      </c>
      <c r="H1" s="4" t="inlineStr">
        <is>
          <t>當日%</t>
        </is>
      </c>
      <c r="I1" s="4" t="inlineStr">
        <is>
          <t>EMA9</t>
        </is>
      </c>
      <c r="J1" s="4" t="inlineStr">
        <is>
          <t>EMA21</t>
        </is>
      </c>
      <c r="K1" s="4" t="inlineStr">
        <is>
          <t>距EMA9%</t>
        </is>
      </c>
      <c r="L1" s="4" t="inlineStr">
        <is>
          <t>距EMA21%</t>
        </is>
      </c>
      <c r="M1" s="4" t="inlineStr">
        <is>
          <t>EMA21 5日斜率%</t>
        </is>
      </c>
      <c r="N1" s="4" t="inlineStr">
        <is>
          <t>9/21狀態</t>
        </is>
      </c>
      <c r="O1" s="4" t="inlineStr">
        <is>
          <t>金叉後日數</t>
        </is>
      </c>
      <c r="P1" s="4" t="inlineStr">
        <is>
          <t>連續上升底數目</t>
        </is>
      </c>
      <c r="Q1" s="4" t="inlineStr">
        <is>
          <t>距15日高%</t>
        </is>
      </c>
      <c r="R1" s="4" t="inlineStr">
        <is>
          <t>形態（25日）</t>
        </is>
      </c>
      <c r="S1" s="4" t="inlineStr">
        <is>
          <t>重心</t>
        </is>
      </c>
      <c r="T1" s="4" t="inlineStr">
        <is>
          <t>RS21%</t>
        </is>
      </c>
      <c r="U1" s="4" t="inlineStr">
        <is>
          <t>趨勢分數</t>
        </is>
      </c>
      <c r="V1" s="4" t="inlineStr">
        <is>
          <t>回調質素</t>
        </is>
      </c>
      <c r="W1" s="4" t="inlineStr">
        <is>
          <t>底部結構</t>
        </is>
      </c>
      <c r="X1" s="4" t="inlineStr">
        <is>
          <t>三角形分數</t>
        </is>
      </c>
      <c r="Y1" s="4" t="inlineStr">
        <is>
          <t>綜合分數</t>
        </is>
      </c>
      <c r="Z1" s="4" t="inlineStr">
        <is>
          <t>總表排名</t>
        </is>
      </c>
    </row>
    <row r="2">
      <c r="A2" s="5" t="n">
        <v>1</v>
      </c>
      <c r="B2" s="6" t="inlineStr">
        <is>
          <t>TTMI</t>
        </is>
      </c>
      <c r="C2" s="5">
        <f>'總表'!D6</f>
        <v/>
      </c>
      <c r="D2" s="5">
        <f>'總表'!F6</f>
        <v/>
      </c>
      <c r="E2" s="5">
        <f>'總表'!G6</f>
        <v/>
      </c>
      <c r="F2" s="40">
        <f>'總表'!H6</f>
        <v/>
      </c>
      <c r="G2" s="41">
        <f>'總表'!J6</f>
        <v/>
      </c>
      <c r="H2" s="9">
        <f>'總表'!L6</f>
        <v/>
      </c>
      <c r="I2" s="41">
        <f>'總表'!R6</f>
        <v/>
      </c>
      <c r="J2" s="41">
        <f>'總表'!S6</f>
        <v/>
      </c>
      <c r="K2" s="9">
        <f>'總表'!W6</f>
        <v/>
      </c>
      <c r="L2" s="9">
        <f>'總表'!X6</f>
        <v/>
      </c>
      <c r="M2" s="9">
        <f>'總表'!U6</f>
        <v/>
      </c>
      <c r="N2" s="5">
        <f>'總表'!AE6</f>
        <v/>
      </c>
      <c r="O2" s="5">
        <f>'總表'!AJ6</f>
        <v/>
      </c>
      <c r="P2" s="5">
        <f>'總表'!AK6</f>
        <v/>
      </c>
      <c r="Q2" s="9">
        <f>'總表'!AS6</f>
        <v/>
      </c>
      <c r="R2" s="5">
        <f>'總表'!AT6</f>
        <v/>
      </c>
      <c r="S2" s="11">
        <f>'總表'!AW6</f>
        <v/>
      </c>
      <c r="T2" s="17">
        <f>'總表'!BE6</f>
        <v/>
      </c>
      <c r="U2" s="17">
        <f>'總表'!BG6</f>
        <v/>
      </c>
      <c r="V2" s="17">
        <f>'總表'!BH6</f>
        <v/>
      </c>
      <c r="W2" s="17">
        <f>'總表'!BI6</f>
        <v/>
      </c>
      <c r="X2" s="17">
        <f>'總表'!BJ6</f>
        <v/>
      </c>
      <c r="Y2" s="18">
        <f>'總表'!BK6</f>
        <v/>
      </c>
      <c r="Z2" s="5">
        <f>'總表'!B6</f>
        <v/>
      </c>
    </row>
    <row r="3">
      <c r="A3" s="5" t="n">
        <v>2</v>
      </c>
      <c r="B3" s="6" t="inlineStr">
        <is>
          <t>NET</t>
        </is>
      </c>
      <c r="C3" s="5">
        <f>'總表'!D9</f>
        <v/>
      </c>
      <c r="D3" s="5">
        <f>'總表'!F9</f>
        <v/>
      </c>
      <c r="E3" s="5">
        <f>'總表'!G9</f>
        <v/>
      </c>
      <c r="F3" s="40">
        <f>'總表'!H9</f>
        <v/>
      </c>
      <c r="G3" s="41">
        <f>'總表'!J9</f>
        <v/>
      </c>
      <c r="H3" s="9">
        <f>'總表'!L9</f>
        <v/>
      </c>
      <c r="I3" s="41">
        <f>'總表'!R9</f>
        <v/>
      </c>
      <c r="J3" s="41">
        <f>'總表'!S9</f>
        <v/>
      </c>
      <c r="K3" s="9">
        <f>'總表'!W9</f>
        <v/>
      </c>
      <c r="L3" s="9">
        <f>'總表'!X9</f>
        <v/>
      </c>
      <c r="M3" s="9">
        <f>'總表'!U9</f>
        <v/>
      </c>
      <c r="N3" s="5">
        <f>'總表'!AE9</f>
        <v/>
      </c>
      <c r="O3" s="5">
        <f>'總表'!AJ9</f>
        <v/>
      </c>
      <c r="P3" s="5">
        <f>'總表'!AK9</f>
        <v/>
      </c>
      <c r="Q3" s="9">
        <f>'總表'!AS9</f>
        <v/>
      </c>
      <c r="R3" s="5">
        <f>'總表'!AT9</f>
        <v/>
      </c>
      <c r="S3" s="11">
        <f>'總表'!AW9</f>
        <v/>
      </c>
      <c r="T3" s="17">
        <f>'總表'!BE9</f>
        <v/>
      </c>
      <c r="U3" s="17">
        <f>'總表'!BG9</f>
        <v/>
      </c>
      <c r="V3" s="17">
        <f>'總表'!BH9</f>
        <v/>
      </c>
      <c r="W3" s="17">
        <f>'總表'!BI9</f>
        <v/>
      </c>
      <c r="X3" s="17">
        <f>'總表'!BJ9</f>
        <v/>
      </c>
      <c r="Y3" s="18">
        <f>'總表'!BK9</f>
        <v/>
      </c>
      <c r="Z3" s="5">
        <f>'總表'!B9</f>
        <v/>
      </c>
    </row>
    <row r="4">
      <c r="A4" s="5" t="n">
        <v>3</v>
      </c>
      <c r="B4" s="6" t="inlineStr">
        <is>
          <t>MTSI</t>
        </is>
      </c>
      <c r="C4" s="5">
        <f>'總表'!D10</f>
        <v/>
      </c>
      <c r="D4" s="5">
        <f>'總表'!F10</f>
        <v/>
      </c>
      <c r="E4" s="5">
        <f>'總表'!G10</f>
        <v/>
      </c>
      <c r="F4" s="40">
        <f>'總表'!H10</f>
        <v/>
      </c>
      <c r="G4" s="41">
        <f>'總表'!J10</f>
        <v/>
      </c>
      <c r="H4" s="9">
        <f>'總表'!L10</f>
        <v/>
      </c>
      <c r="I4" s="41">
        <f>'總表'!R10</f>
        <v/>
      </c>
      <c r="J4" s="41">
        <f>'總表'!S10</f>
        <v/>
      </c>
      <c r="K4" s="9">
        <f>'總表'!W10</f>
        <v/>
      </c>
      <c r="L4" s="9">
        <f>'總表'!X10</f>
        <v/>
      </c>
      <c r="M4" s="9">
        <f>'總表'!U10</f>
        <v/>
      </c>
      <c r="N4" s="5">
        <f>'總表'!AE10</f>
        <v/>
      </c>
      <c r="O4" s="5">
        <f>'總表'!AJ10</f>
        <v/>
      </c>
      <c r="P4" s="5">
        <f>'總表'!AK10</f>
        <v/>
      </c>
      <c r="Q4" s="9">
        <f>'總表'!AS10</f>
        <v/>
      </c>
      <c r="R4" s="5">
        <f>'總表'!AT10</f>
        <v/>
      </c>
      <c r="S4" s="11">
        <f>'總表'!AW10</f>
        <v/>
      </c>
      <c r="T4" s="17">
        <f>'總表'!BE10</f>
        <v/>
      </c>
      <c r="U4" s="17">
        <f>'總表'!BG10</f>
        <v/>
      </c>
      <c r="V4" s="17">
        <f>'總表'!BH10</f>
        <v/>
      </c>
      <c r="W4" s="17">
        <f>'總表'!BI10</f>
        <v/>
      </c>
      <c r="X4" s="17">
        <f>'總表'!BJ10</f>
        <v/>
      </c>
      <c r="Y4" s="18">
        <f>'總表'!BK10</f>
        <v/>
      </c>
      <c r="Z4" s="5">
        <f>'總表'!B10</f>
        <v/>
      </c>
    </row>
    <row r="5">
      <c r="A5" s="5" t="n">
        <v>4</v>
      </c>
      <c r="B5" s="6" t="inlineStr">
        <is>
          <t>PANW</t>
        </is>
      </c>
      <c r="C5" s="5">
        <f>'總表'!D13</f>
        <v/>
      </c>
      <c r="D5" s="5">
        <f>'總表'!F13</f>
        <v/>
      </c>
      <c r="E5" s="5">
        <f>'總表'!G13</f>
        <v/>
      </c>
      <c r="F5" s="40">
        <f>'總表'!H13</f>
        <v/>
      </c>
      <c r="G5" s="41">
        <f>'總表'!J13</f>
        <v/>
      </c>
      <c r="H5" s="9">
        <f>'總表'!L13</f>
        <v/>
      </c>
      <c r="I5" s="41">
        <f>'總表'!R13</f>
        <v/>
      </c>
      <c r="J5" s="41">
        <f>'總表'!S13</f>
        <v/>
      </c>
      <c r="K5" s="9">
        <f>'總表'!W13</f>
        <v/>
      </c>
      <c r="L5" s="9">
        <f>'總表'!X13</f>
        <v/>
      </c>
      <c r="M5" s="9">
        <f>'總表'!U13</f>
        <v/>
      </c>
      <c r="N5" s="5">
        <f>'總表'!AE13</f>
        <v/>
      </c>
      <c r="O5" s="5">
        <f>'總表'!AJ13</f>
        <v/>
      </c>
      <c r="P5" s="5">
        <f>'總表'!AK13</f>
        <v/>
      </c>
      <c r="Q5" s="9">
        <f>'總表'!AS13</f>
        <v/>
      </c>
      <c r="R5" s="5">
        <f>'總表'!AT13</f>
        <v/>
      </c>
      <c r="S5" s="11">
        <f>'總表'!AW13</f>
        <v/>
      </c>
      <c r="T5" s="17">
        <f>'總表'!BE13</f>
        <v/>
      </c>
      <c r="U5" s="17">
        <f>'總表'!BG13</f>
        <v/>
      </c>
      <c r="V5" s="17">
        <f>'總表'!BH13</f>
        <v/>
      </c>
      <c r="W5" s="17">
        <f>'總表'!BI13</f>
        <v/>
      </c>
      <c r="X5" s="17">
        <f>'總表'!BJ13</f>
        <v/>
      </c>
      <c r="Y5" s="18">
        <f>'總表'!BK13</f>
        <v/>
      </c>
      <c r="Z5" s="5">
        <f>'總表'!B13</f>
        <v/>
      </c>
    </row>
    <row r="6">
      <c r="A6" s="5" t="n">
        <v>5</v>
      </c>
      <c r="B6" s="6" t="inlineStr">
        <is>
          <t>DT</t>
        </is>
      </c>
      <c r="C6" s="5">
        <f>'總表'!D15</f>
        <v/>
      </c>
      <c r="D6" s="5">
        <f>'總表'!F15</f>
        <v/>
      </c>
      <c r="E6" s="5">
        <f>'總表'!G15</f>
        <v/>
      </c>
      <c r="F6" s="40">
        <f>'總表'!H15</f>
        <v/>
      </c>
      <c r="G6" s="41">
        <f>'總表'!J15</f>
        <v/>
      </c>
      <c r="H6" s="9">
        <f>'總表'!L15</f>
        <v/>
      </c>
      <c r="I6" s="41">
        <f>'總表'!R15</f>
        <v/>
      </c>
      <c r="J6" s="41">
        <f>'總表'!S15</f>
        <v/>
      </c>
      <c r="K6" s="9">
        <f>'總表'!W15</f>
        <v/>
      </c>
      <c r="L6" s="9">
        <f>'總表'!X15</f>
        <v/>
      </c>
      <c r="M6" s="9">
        <f>'總表'!U15</f>
        <v/>
      </c>
      <c r="N6" s="5">
        <f>'總表'!AE15</f>
        <v/>
      </c>
      <c r="O6" s="5">
        <f>'總表'!AJ15</f>
        <v/>
      </c>
      <c r="P6" s="5">
        <f>'總表'!AK15</f>
        <v/>
      </c>
      <c r="Q6" s="9">
        <f>'總表'!AS15</f>
        <v/>
      </c>
      <c r="R6" s="5">
        <f>'總表'!AT15</f>
        <v/>
      </c>
      <c r="S6" s="11">
        <f>'總表'!AW15</f>
        <v/>
      </c>
      <c r="T6" s="17">
        <f>'總表'!BE15</f>
        <v/>
      </c>
      <c r="U6" s="17">
        <f>'總表'!BG15</f>
        <v/>
      </c>
      <c r="V6" s="17">
        <f>'總表'!BH15</f>
        <v/>
      </c>
      <c r="W6" s="17">
        <f>'總表'!BI15</f>
        <v/>
      </c>
      <c r="X6" s="17">
        <f>'總表'!BJ15</f>
        <v/>
      </c>
      <c r="Y6" s="18">
        <f>'總表'!BK15</f>
        <v/>
      </c>
      <c r="Z6" s="5">
        <f>'總表'!B15</f>
        <v/>
      </c>
    </row>
    <row r="7">
      <c r="A7" s="5" t="n">
        <v>6</v>
      </c>
      <c r="B7" s="6" t="inlineStr">
        <is>
          <t>ISRG</t>
        </is>
      </c>
      <c r="C7" s="5">
        <f>'總表'!D19</f>
        <v/>
      </c>
      <c r="D7" s="5">
        <f>'總表'!F19</f>
        <v/>
      </c>
      <c r="E7" s="5">
        <f>'總表'!G19</f>
        <v/>
      </c>
      <c r="F7" s="40">
        <f>'總表'!H19</f>
        <v/>
      </c>
      <c r="G7" s="41">
        <f>'總表'!J19</f>
        <v/>
      </c>
      <c r="H7" s="9">
        <f>'總表'!L19</f>
        <v/>
      </c>
      <c r="I7" s="41">
        <f>'總表'!R19</f>
        <v/>
      </c>
      <c r="J7" s="41">
        <f>'總表'!S19</f>
        <v/>
      </c>
      <c r="K7" s="9">
        <f>'總表'!W19</f>
        <v/>
      </c>
      <c r="L7" s="9">
        <f>'總表'!X19</f>
        <v/>
      </c>
      <c r="M7" s="9">
        <f>'總表'!U19</f>
        <v/>
      </c>
      <c r="N7" s="5">
        <f>'總表'!AE19</f>
        <v/>
      </c>
      <c r="O7" s="5">
        <f>'總表'!AJ19</f>
        <v/>
      </c>
      <c r="P7" s="5">
        <f>'總表'!AK19</f>
        <v/>
      </c>
      <c r="Q7" s="9">
        <f>'總表'!AS19</f>
        <v/>
      </c>
      <c r="R7" s="5">
        <f>'總表'!AT19</f>
        <v/>
      </c>
      <c r="S7" s="11">
        <f>'總表'!AW19</f>
        <v/>
      </c>
      <c r="T7" s="17">
        <f>'總表'!BE19</f>
        <v/>
      </c>
      <c r="U7" s="17">
        <f>'總表'!BG19</f>
        <v/>
      </c>
      <c r="V7" s="17">
        <f>'總表'!BH19</f>
        <v/>
      </c>
      <c r="W7" s="17">
        <f>'總表'!BI19</f>
        <v/>
      </c>
      <c r="X7" s="17">
        <f>'總表'!BJ19</f>
        <v/>
      </c>
      <c r="Y7" s="18">
        <f>'總表'!BK19</f>
        <v/>
      </c>
      <c r="Z7" s="5">
        <f>'總表'!B19</f>
        <v/>
      </c>
    </row>
    <row r="8">
      <c r="A8" s="5" t="n">
        <v>7</v>
      </c>
      <c r="B8" s="6" t="inlineStr">
        <is>
          <t>FTNT</t>
        </is>
      </c>
      <c r="C8" s="5">
        <f>'總表'!D21</f>
        <v/>
      </c>
      <c r="D8" s="5">
        <f>'總表'!F21</f>
        <v/>
      </c>
      <c r="E8" s="5">
        <f>'總表'!G21</f>
        <v/>
      </c>
      <c r="F8" s="40">
        <f>'總表'!H21</f>
        <v/>
      </c>
      <c r="G8" s="41">
        <f>'總表'!J21</f>
        <v/>
      </c>
      <c r="H8" s="9">
        <f>'總表'!L21</f>
        <v/>
      </c>
      <c r="I8" s="41">
        <f>'總表'!R21</f>
        <v/>
      </c>
      <c r="J8" s="41">
        <f>'總表'!S21</f>
        <v/>
      </c>
      <c r="K8" s="9">
        <f>'總表'!W21</f>
        <v/>
      </c>
      <c r="L8" s="9">
        <f>'總表'!X21</f>
        <v/>
      </c>
      <c r="M8" s="9">
        <f>'總表'!U21</f>
        <v/>
      </c>
      <c r="N8" s="5">
        <f>'總表'!AE21</f>
        <v/>
      </c>
      <c r="O8" s="5">
        <f>'總表'!AJ21</f>
        <v/>
      </c>
      <c r="P8" s="5">
        <f>'總表'!AK21</f>
        <v/>
      </c>
      <c r="Q8" s="9">
        <f>'總表'!AS21</f>
        <v/>
      </c>
      <c r="R8" s="5">
        <f>'總表'!AT21</f>
        <v/>
      </c>
      <c r="S8" s="11">
        <f>'總表'!AW21</f>
        <v/>
      </c>
      <c r="T8" s="17">
        <f>'總表'!BE21</f>
        <v/>
      </c>
      <c r="U8" s="17">
        <f>'總表'!BG21</f>
        <v/>
      </c>
      <c r="V8" s="17">
        <f>'總表'!BH21</f>
        <v/>
      </c>
      <c r="W8" s="17">
        <f>'總表'!BI21</f>
        <v/>
      </c>
      <c r="X8" s="17">
        <f>'總表'!BJ21</f>
        <v/>
      </c>
      <c r="Y8" s="18">
        <f>'總表'!BK21</f>
        <v/>
      </c>
      <c r="Z8" s="5">
        <f>'總表'!B21</f>
        <v/>
      </c>
    </row>
    <row r="9">
      <c r="A9" s="5" t="n">
        <v>8</v>
      </c>
      <c r="B9" s="6" t="inlineStr">
        <is>
          <t>MRVL</t>
        </is>
      </c>
      <c r="C9" s="5">
        <f>'總表'!D23</f>
        <v/>
      </c>
      <c r="D9" s="5">
        <f>'總表'!F23</f>
        <v/>
      </c>
      <c r="E9" s="5">
        <f>'總表'!G23</f>
        <v/>
      </c>
      <c r="F9" s="40">
        <f>'總表'!H23</f>
        <v/>
      </c>
      <c r="G9" s="41">
        <f>'總表'!J23</f>
        <v/>
      </c>
      <c r="H9" s="9">
        <f>'總表'!L23</f>
        <v/>
      </c>
      <c r="I9" s="41">
        <f>'總表'!R23</f>
        <v/>
      </c>
      <c r="J9" s="41">
        <f>'總表'!S23</f>
        <v/>
      </c>
      <c r="K9" s="9">
        <f>'總表'!W23</f>
        <v/>
      </c>
      <c r="L9" s="9">
        <f>'總表'!X23</f>
        <v/>
      </c>
      <c r="M9" s="9">
        <f>'總表'!U23</f>
        <v/>
      </c>
      <c r="N9" s="5">
        <f>'總表'!AE23</f>
        <v/>
      </c>
      <c r="O9" s="5">
        <f>'總表'!AJ23</f>
        <v/>
      </c>
      <c r="P9" s="5">
        <f>'總表'!AK23</f>
        <v/>
      </c>
      <c r="Q9" s="9">
        <f>'總表'!AS23</f>
        <v/>
      </c>
      <c r="R9" s="5">
        <f>'總表'!AT23</f>
        <v/>
      </c>
      <c r="S9" s="11">
        <f>'總表'!AW23</f>
        <v/>
      </c>
      <c r="T9" s="17">
        <f>'總表'!BE23</f>
        <v/>
      </c>
      <c r="U9" s="17">
        <f>'總表'!BG23</f>
        <v/>
      </c>
      <c r="V9" s="17">
        <f>'總表'!BH23</f>
        <v/>
      </c>
      <c r="W9" s="17">
        <f>'總表'!BI23</f>
        <v/>
      </c>
      <c r="X9" s="17">
        <f>'總表'!BJ23</f>
        <v/>
      </c>
      <c r="Y9" s="18">
        <f>'總表'!BK23</f>
        <v/>
      </c>
      <c r="Z9" s="5">
        <f>'總表'!B23</f>
        <v/>
      </c>
    </row>
    <row r="10">
      <c r="A10" s="5" t="n">
        <v>9</v>
      </c>
      <c r="B10" s="6" t="inlineStr">
        <is>
          <t>DELL</t>
        </is>
      </c>
      <c r="C10" s="5">
        <f>'總表'!D26</f>
        <v/>
      </c>
      <c r="D10" s="5">
        <f>'總表'!F26</f>
        <v/>
      </c>
      <c r="E10" s="5">
        <f>'總表'!G26</f>
        <v/>
      </c>
      <c r="F10" s="40">
        <f>'總表'!H26</f>
        <v/>
      </c>
      <c r="G10" s="41">
        <f>'總表'!J26</f>
        <v/>
      </c>
      <c r="H10" s="9">
        <f>'總表'!L26</f>
        <v/>
      </c>
      <c r="I10" s="41">
        <f>'總表'!R26</f>
        <v/>
      </c>
      <c r="J10" s="41">
        <f>'總表'!S26</f>
        <v/>
      </c>
      <c r="K10" s="9">
        <f>'總表'!W26</f>
        <v/>
      </c>
      <c r="L10" s="9">
        <f>'總表'!X26</f>
        <v/>
      </c>
      <c r="M10" s="9">
        <f>'總表'!U26</f>
        <v/>
      </c>
      <c r="N10" s="5">
        <f>'總表'!AE26</f>
        <v/>
      </c>
      <c r="O10" s="5">
        <f>'總表'!AJ26</f>
        <v/>
      </c>
      <c r="P10" s="5">
        <f>'總表'!AK26</f>
        <v/>
      </c>
      <c r="Q10" s="9">
        <f>'總表'!AS26</f>
        <v/>
      </c>
      <c r="R10" s="5">
        <f>'總表'!AT26</f>
        <v/>
      </c>
      <c r="S10" s="11">
        <f>'總表'!AW26</f>
        <v/>
      </c>
      <c r="T10" s="17">
        <f>'總表'!BE26</f>
        <v/>
      </c>
      <c r="U10" s="17">
        <f>'總表'!BG26</f>
        <v/>
      </c>
      <c r="V10" s="17">
        <f>'總表'!BH26</f>
        <v/>
      </c>
      <c r="W10" s="17">
        <f>'總表'!BI26</f>
        <v/>
      </c>
      <c r="X10" s="17">
        <f>'總表'!BJ26</f>
        <v/>
      </c>
      <c r="Y10" s="18">
        <f>'總表'!BK26</f>
        <v/>
      </c>
      <c r="Z10" s="5">
        <f>'總表'!B26</f>
        <v/>
      </c>
    </row>
    <row r="11">
      <c r="A11" s="5" t="n">
        <v>10</v>
      </c>
      <c r="B11" s="6" t="inlineStr">
        <is>
          <t>STX</t>
        </is>
      </c>
      <c r="C11" s="5">
        <f>'總表'!D27</f>
        <v/>
      </c>
      <c r="D11" s="5">
        <f>'總表'!F27</f>
        <v/>
      </c>
      <c r="E11" s="5">
        <f>'總表'!G27</f>
        <v/>
      </c>
      <c r="F11" s="40">
        <f>'總表'!H27</f>
        <v/>
      </c>
      <c r="G11" s="41">
        <f>'總表'!J27</f>
        <v/>
      </c>
      <c r="H11" s="9">
        <f>'總表'!L27</f>
        <v/>
      </c>
      <c r="I11" s="41">
        <f>'總表'!R27</f>
        <v/>
      </c>
      <c r="J11" s="41">
        <f>'總表'!S27</f>
        <v/>
      </c>
      <c r="K11" s="9">
        <f>'總表'!W27</f>
        <v/>
      </c>
      <c r="L11" s="9">
        <f>'總表'!X27</f>
        <v/>
      </c>
      <c r="M11" s="9">
        <f>'總表'!U27</f>
        <v/>
      </c>
      <c r="N11" s="5">
        <f>'總表'!AE27</f>
        <v/>
      </c>
      <c r="O11" s="5">
        <f>'總表'!AJ27</f>
        <v/>
      </c>
      <c r="P11" s="5">
        <f>'總表'!AK27</f>
        <v/>
      </c>
      <c r="Q11" s="9">
        <f>'總表'!AS27</f>
        <v/>
      </c>
      <c r="R11" s="5">
        <f>'總表'!AT27</f>
        <v/>
      </c>
      <c r="S11" s="11">
        <f>'總表'!AW27</f>
        <v/>
      </c>
      <c r="T11" s="17">
        <f>'總表'!BE27</f>
        <v/>
      </c>
      <c r="U11" s="17">
        <f>'總表'!BG27</f>
        <v/>
      </c>
      <c r="V11" s="17">
        <f>'總表'!BH27</f>
        <v/>
      </c>
      <c r="W11" s="17">
        <f>'總表'!BI27</f>
        <v/>
      </c>
      <c r="X11" s="17">
        <f>'總表'!BJ27</f>
        <v/>
      </c>
      <c r="Y11" s="18">
        <f>'總表'!BK27</f>
        <v/>
      </c>
      <c r="Z11" s="5">
        <f>'總表'!B27</f>
        <v/>
      </c>
    </row>
    <row r="12">
      <c r="A12" s="5" t="n">
        <v>11</v>
      </c>
      <c r="B12" s="6" t="inlineStr">
        <is>
          <t>ANET</t>
        </is>
      </c>
      <c r="C12" s="5">
        <f>'總表'!D29</f>
        <v/>
      </c>
      <c r="D12" s="5">
        <f>'總表'!F29</f>
        <v/>
      </c>
      <c r="E12" s="5">
        <f>'總表'!G29</f>
        <v/>
      </c>
      <c r="F12" s="40">
        <f>'總表'!H29</f>
        <v/>
      </c>
      <c r="G12" s="41">
        <f>'總表'!J29</f>
        <v/>
      </c>
      <c r="H12" s="9">
        <f>'總表'!L29</f>
        <v/>
      </c>
      <c r="I12" s="41">
        <f>'總表'!R29</f>
        <v/>
      </c>
      <c r="J12" s="41">
        <f>'總表'!S29</f>
        <v/>
      </c>
      <c r="K12" s="9">
        <f>'總表'!W29</f>
        <v/>
      </c>
      <c r="L12" s="9">
        <f>'總表'!X29</f>
        <v/>
      </c>
      <c r="M12" s="9">
        <f>'總表'!U29</f>
        <v/>
      </c>
      <c r="N12" s="5">
        <f>'總表'!AE29</f>
        <v/>
      </c>
      <c r="O12" s="5">
        <f>'總表'!AJ29</f>
        <v/>
      </c>
      <c r="P12" s="5">
        <f>'總表'!AK29</f>
        <v/>
      </c>
      <c r="Q12" s="9">
        <f>'總表'!AS29</f>
        <v/>
      </c>
      <c r="R12" s="5">
        <f>'總表'!AT29</f>
        <v/>
      </c>
      <c r="S12" s="11">
        <f>'總表'!AW29</f>
        <v/>
      </c>
      <c r="T12" s="17">
        <f>'總表'!BE29</f>
        <v/>
      </c>
      <c r="U12" s="17">
        <f>'總表'!BG29</f>
        <v/>
      </c>
      <c r="V12" s="17">
        <f>'總表'!BH29</f>
        <v/>
      </c>
      <c r="W12" s="17">
        <f>'總表'!BI29</f>
        <v/>
      </c>
      <c r="X12" s="17">
        <f>'總表'!BJ29</f>
        <v/>
      </c>
      <c r="Y12" s="18">
        <f>'總表'!BK29</f>
        <v/>
      </c>
      <c r="Z12" s="5">
        <f>'總表'!B29</f>
        <v/>
      </c>
    </row>
    <row r="13">
      <c r="A13" s="5" t="n">
        <v>12</v>
      </c>
      <c r="B13" s="6" t="inlineStr">
        <is>
          <t>ARW</t>
        </is>
      </c>
      <c r="C13" s="5">
        <f>'總表'!D30</f>
        <v/>
      </c>
      <c r="D13" s="5">
        <f>'總表'!F30</f>
        <v/>
      </c>
      <c r="E13" s="5">
        <f>'總表'!G30</f>
        <v/>
      </c>
      <c r="F13" s="40">
        <f>'總表'!H30</f>
        <v/>
      </c>
      <c r="G13" s="41">
        <f>'總表'!J30</f>
        <v/>
      </c>
      <c r="H13" s="9">
        <f>'總表'!L30</f>
        <v/>
      </c>
      <c r="I13" s="41">
        <f>'總表'!R30</f>
        <v/>
      </c>
      <c r="J13" s="41">
        <f>'總表'!S30</f>
        <v/>
      </c>
      <c r="K13" s="9">
        <f>'總表'!W30</f>
        <v/>
      </c>
      <c r="L13" s="9">
        <f>'總表'!X30</f>
        <v/>
      </c>
      <c r="M13" s="9">
        <f>'總表'!U30</f>
        <v/>
      </c>
      <c r="N13" s="5">
        <f>'總表'!AE30</f>
        <v/>
      </c>
      <c r="O13" s="5">
        <f>'總表'!AJ30</f>
        <v/>
      </c>
      <c r="P13" s="5">
        <f>'總表'!AK30</f>
        <v/>
      </c>
      <c r="Q13" s="9">
        <f>'總表'!AS30</f>
        <v/>
      </c>
      <c r="R13" s="5">
        <f>'總表'!AT30</f>
        <v/>
      </c>
      <c r="S13" s="11">
        <f>'總表'!AW30</f>
        <v/>
      </c>
      <c r="T13" s="17">
        <f>'總表'!BE30</f>
        <v/>
      </c>
      <c r="U13" s="17">
        <f>'總表'!BG30</f>
        <v/>
      </c>
      <c r="V13" s="17">
        <f>'總表'!BH30</f>
        <v/>
      </c>
      <c r="W13" s="17">
        <f>'總表'!BI30</f>
        <v/>
      </c>
      <c r="X13" s="17">
        <f>'總表'!BJ30</f>
        <v/>
      </c>
      <c r="Y13" s="18">
        <f>'總表'!BK30</f>
        <v/>
      </c>
      <c r="Z13" s="5">
        <f>'總表'!B30</f>
        <v/>
      </c>
    </row>
    <row r="14">
      <c r="A14" s="5" t="n">
        <v>13</v>
      </c>
      <c r="B14" s="6" t="inlineStr">
        <is>
          <t>NTAP</t>
        </is>
      </c>
      <c r="C14" s="5">
        <f>'總表'!D34</f>
        <v/>
      </c>
      <c r="D14" s="5">
        <f>'總表'!F34</f>
        <v/>
      </c>
      <c r="E14" s="5">
        <f>'總表'!G34</f>
        <v/>
      </c>
      <c r="F14" s="40">
        <f>'總表'!H34</f>
        <v/>
      </c>
      <c r="G14" s="41">
        <f>'總表'!J34</f>
        <v/>
      </c>
      <c r="H14" s="9">
        <f>'總表'!L34</f>
        <v/>
      </c>
      <c r="I14" s="41">
        <f>'總表'!R34</f>
        <v/>
      </c>
      <c r="J14" s="41">
        <f>'總表'!S34</f>
        <v/>
      </c>
      <c r="K14" s="9">
        <f>'總表'!W34</f>
        <v/>
      </c>
      <c r="L14" s="9">
        <f>'總表'!X34</f>
        <v/>
      </c>
      <c r="M14" s="9">
        <f>'總表'!U34</f>
        <v/>
      </c>
      <c r="N14" s="5">
        <f>'總表'!AE34</f>
        <v/>
      </c>
      <c r="O14" s="5">
        <f>'總表'!AJ34</f>
        <v/>
      </c>
      <c r="P14" s="5">
        <f>'總表'!AK34</f>
        <v/>
      </c>
      <c r="Q14" s="9">
        <f>'總表'!AS34</f>
        <v/>
      </c>
      <c r="R14" s="5">
        <f>'總表'!AT34</f>
        <v/>
      </c>
      <c r="S14" s="11">
        <f>'總表'!AW34</f>
        <v/>
      </c>
      <c r="T14" s="17">
        <f>'總表'!BE34</f>
        <v/>
      </c>
      <c r="U14" s="17">
        <f>'總表'!BG34</f>
        <v/>
      </c>
      <c r="V14" s="17">
        <f>'總表'!BH34</f>
        <v/>
      </c>
      <c r="W14" s="17">
        <f>'總表'!BI34</f>
        <v/>
      </c>
      <c r="X14" s="17">
        <f>'總表'!BJ34</f>
        <v/>
      </c>
      <c r="Y14" s="18">
        <f>'總表'!BK34</f>
        <v/>
      </c>
      <c r="Z14" s="5">
        <f>'總表'!B34</f>
        <v/>
      </c>
    </row>
    <row r="15">
      <c r="A15" s="5" t="n">
        <v>14</v>
      </c>
      <c r="B15" s="6" t="inlineStr">
        <is>
          <t>HPE</t>
        </is>
      </c>
      <c r="C15" s="5">
        <f>'總表'!D40</f>
        <v/>
      </c>
      <c r="D15" s="5">
        <f>'總表'!F40</f>
        <v/>
      </c>
      <c r="E15" s="5">
        <f>'總表'!G40</f>
        <v/>
      </c>
      <c r="F15" s="40">
        <f>'總表'!H40</f>
        <v/>
      </c>
      <c r="G15" s="41">
        <f>'總表'!J40</f>
        <v/>
      </c>
      <c r="H15" s="9">
        <f>'總表'!L40</f>
        <v/>
      </c>
      <c r="I15" s="41">
        <f>'總表'!R40</f>
        <v/>
      </c>
      <c r="J15" s="41">
        <f>'總表'!S40</f>
        <v/>
      </c>
      <c r="K15" s="9">
        <f>'總表'!W40</f>
        <v/>
      </c>
      <c r="L15" s="9">
        <f>'總表'!X40</f>
        <v/>
      </c>
      <c r="M15" s="9">
        <f>'總表'!U40</f>
        <v/>
      </c>
      <c r="N15" s="5">
        <f>'總表'!AE40</f>
        <v/>
      </c>
      <c r="O15" s="5">
        <f>'總表'!AJ40</f>
        <v/>
      </c>
      <c r="P15" s="5">
        <f>'總表'!AK40</f>
        <v/>
      </c>
      <c r="Q15" s="9">
        <f>'總表'!AS40</f>
        <v/>
      </c>
      <c r="R15" s="5">
        <f>'總表'!AT40</f>
        <v/>
      </c>
      <c r="S15" s="11">
        <f>'總表'!AW40</f>
        <v/>
      </c>
      <c r="T15" s="17">
        <f>'總表'!BE40</f>
        <v/>
      </c>
      <c r="U15" s="17">
        <f>'總表'!BG40</f>
        <v/>
      </c>
      <c r="V15" s="17">
        <f>'總表'!BH40</f>
        <v/>
      </c>
      <c r="W15" s="17">
        <f>'總表'!BI40</f>
        <v/>
      </c>
      <c r="X15" s="17">
        <f>'總表'!BJ40</f>
        <v/>
      </c>
      <c r="Y15" s="18">
        <f>'總表'!BK40</f>
        <v/>
      </c>
      <c r="Z15" s="5">
        <f>'總表'!B40</f>
        <v/>
      </c>
    </row>
    <row r="16">
      <c r="A16" s="5" t="n">
        <v>15</v>
      </c>
      <c r="B16" s="6" t="inlineStr">
        <is>
          <t>CRWD</t>
        </is>
      </c>
      <c r="C16" s="5">
        <f>'總表'!D43</f>
        <v/>
      </c>
      <c r="D16" s="5">
        <f>'總表'!F43</f>
        <v/>
      </c>
      <c r="E16" s="5">
        <f>'總表'!G43</f>
        <v/>
      </c>
      <c r="F16" s="40">
        <f>'總表'!H43</f>
        <v/>
      </c>
      <c r="G16" s="41">
        <f>'總表'!J43</f>
        <v/>
      </c>
      <c r="H16" s="9">
        <f>'總表'!L43</f>
        <v/>
      </c>
      <c r="I16" s="41">
        <f>'總表'!R43</f>
        <v/>
      </c>
      <c r="J16" s="41">
        <f>'總表'!S43</f>
        <v/>
      </c>
      <c r="K16" s="9">
        <f>'總表'!W43</f>
        <v/>
      </c>
      <c r="L16" s="9">
        <f>'總表'!X43</f>
        <v/>
      </c>
      <c r="M16" s="9">
        <f>'總表'!U43</f>
        <v/>
      </c>
      <c r="N16" s="5">
        <f>'總表'!AE43</f>
        <v/>
      </c>
      <c r="O16" s="5">
        <f>'總表'!AJ43</f>
        <v/>
      </c>
      <c r="P16" s="5">
        <f>'總表'!AK43</f>
        <v/>
      </c>
      <c r="Q16" s="9">
        <f>'總表'!AS43</f>
        <v/>
      </c>
      <c r="R16" s="5">
        <f>'總表'!AT43</f>
        <v/>
      </c>
      <c r="S16" s="11">
        <f>'總表'!AW43</f>
        <v/>
      </c>
      <c r="T16" s="17">
        <f>'總表'!BE43</f>
        <v/>
      </c>
      <c r="U16" s="17">
        <f>'總表'!BG43</f>
        <v/>
      </c>
      <c r="V16" s="17">
        <f>'總表'!BH43</f>
        <v/>
      </c>
      <c r="W16" s="17">
        <f>'總表'!BI43</f>
        <v/>
      </c>
      <c r="X16" s="17">
        <f>'總表'!BJ43</f>
        <v/>
      </c>
      <c r="Y16" s="18">
        <f>'總表'!BK43</f>
        <v/>
      </c>
      <c r="Z16" s="5">
        <f>'總表'!B43</f>
        <v/>
      </c>
    </row>
    <row r="17">
      <c r="A17" s="5" t="n">
        <v>16</v>
      </c>
      <c r="B17" s="6" t="inlineStr">
        <is>
          <t>NVDA</t>
        </is>
      </c>
      <c r="C17" s="5">
        <f>'總表'!D44</f>
        <v/>
      </c>
      <c r="D17" s="5">
        <f>'總表'!F44</f>
        <v/>
      </c>
      <c r="E17" s="5">
        <f>'總表'!G44</f>
        <v/>
      </c>
      <c r="F17" s="40">
        <f>'總表'!H44</f>
        <v/>
      </c>
      <c r="G17" s="41">
        <f>'總表'!J44</f>
        <v/>
      </c>
      <c r="H17" s="9">
        <f>'總表'!L44</f>
        <v/>
      </c>
      <c r="I17" s="41">
        <f>'總表'!R44</f>
        <v/>
      </c>
      <c r="J17" s="41">
        <f>'總表'!S44</f>
        <v/>
      </c>
      <c r="K17" s="9">
        <f>'總表'!W44</f>
        <v/>
      </c>
      <c r="L17" s="9">
        <f>'總表'!X44</f>
        <v/>
      </c>
      <c r="M17" s="9">
        <f>'總表'!U44</f>
        <v/>
      </c>
      <c r="N17" s="5">
        <f>'總表'!AE44</f>
        <v/>
      </c>
      <c r="O17" s="5">
        <f>'總表'!AJ44</f>
        <v/>
      </c>
      <c r="P17" s="5">
        <f>'總表'!AK44</f>
        <v/>
      </c>
      <c r="Q17" s="9">
        <f>'總表'!AS44</f>
        <v/>
      </c>
      <c r="R17" s="5">
        <f>'總表'!AT44</f>
        <v/>
      </c>
      <c r="S17" s="11">
        <f>'總表'!AW44</f>
        <v/>
      </c>
      <c r="T17" s="17">
        <f>'總表'!BE44</f>
        <v/>
      </c>
      <c r="U17" s="17">
        <f>'總表'!BG44</f>
        <v/>
      </c>
      <c r="V17" s="17">
        <f>'總表'!BH44</f>
        <v/>
      </c>
      <c r="W17" s="17">
        <f>'總表'!BI44</f>
        <v/>
      </c>
      <c r="X17" s="17">
        <f>'總表'!BJ44</f>
        <v/>
      </c>
      <c r="Y17" s="18">
        <f>'總表'!BK44</f>
        <v/>
      </c>
      <c r="Z17" s="5">
        <f>'總表'!B44</f>
        <v/>
      </c>
    </row>
    <row r="18">
      <c r="A18" s="5" t="n">
        <v>17</v>
      </c>
      <c r="B18" s="6" t="inlineStr">
        <is>
          <t>EXEL</t>
        </is>
      </c>
      <c r="C18" s="5">
        <f>'總表'!D54</f>
        <v/>
      </c>
      <c r="D18" s="5">
        <f>'總表'!F54</f>
        <v/>
      </c>
      <c r="E18" s="5">
        <f>'總表'!G54</f>
        <v/>
      </c>
      <c r="F18" s="40">
        <f>'總表'!H54</f>
        <v/>
      </c>
      <c r="G18" s="41">
        <f>'總表'!J54</f>
        <v/>
      </c>
      <c r="H18" s="9">
        <f>'總表'!L54</f>
        <v/>
      </c>
      <c r="I18" s="41">
        <f>'總表'!R54</f>
        <v/>
      </c>
      <c r="J18" s="41">
        <f>'總表'!S54</f>
        <v/>
      </c>
      <c r="K18" s="9">
        <f>'總表'!W54</f>
        <v/>
      </c>
      <c r="L18" s="9">
        <f>'總表'!X54</f>
        <v/>
      </c>
      <c r="M18" s="9">
        <f>'總表'!U54</f>
        <v/>
      </c>
      <c r="N18" s="5">
        <f>'總表'!AE54</f>
        <v/>
      </c>
      <c r="O18" s="5">
        <f>'總表'!AJ54</f>
        <v/>
      </c>
      <c r="P18" s="5">
        <f>'總表'!AK54</f>
        <v/>
      </c>
      <c r="Q18" s="9">
        <f>'總表'!AS54</f>
        <v/>
      </c>
      <c r="R18" s="5">
        <f>'總表'!AT54</f>
        <v/>
      </c>
      <c r="S18" s="11">
        <f>'總表'!AW54</f>
        <v/>
      </c>
      <c r="T18" s="17">
        <f>'總表'!BE54</f>
        <v/>
      </c>
      <c r="U18" s="17">
        <f>'總表'!BG54</f>
        <v/>
      </c>
      <c r="V18" s="17">
        <f>'總表'!BH54</f>
        <v/>
      </c>
      <c r="W18" s="17">
        <f>'總表'!BI54</f>
        <v/>
      </c>
      <c r="X18" s="17">
        <f>'總表'!BJ54</f>
        <v/>
      </c>
      <c r="Y18" s="18">
        <f>'總表'!BK54</f>
        <v/>
      </c>
      <c r="Z18" s="5">
        <f>'總表'!B54</f>
        <v/>
      </c>
    </row>
    <row r="19">
      <c r="A19" s="5" t="n">
        <v>18</v>
      </c>
      <c r="B19" s="6" t="inlineStr">
        <is>
          <t>GFS</t>
        </is>
      </c>
      <c r="C19" s="5">
        <f>'總表'!D63</f>
        <v/>
      </c>
      <c r="D19" s="5">
        <f>'總表'!F63</f>
        <v/>
      </c>
      <c r="E19" s="5">
        <f>'總表'!G63</f>
        <v/>
      </c>
      <c r="F19" s="40">
        <f>'總表'!H63</f>
        <v/>
      </c>
      <c r="G19" s="41">
        <f>'總表'!J63</f>
        <v/>
      </c>
      <c r="H19" s="9">
        <f>'總表'!L63</f>
        <v/>
      </c>
      <c r="I19" s="41">
        <f>'總表'!R63</f>
        <v/>
      </c>
      <c r="J19" s="41">
        <f>'總表'!S63</f>
        <v/>
      </c>
      <c r="K19" s="9">
        <f>'總表'!W63</f>
        <v/>
      </c>
      <c r="L19" s="9">
        <f>'總表'!X63</f>
        <v/>
      </c>
      <c r="M19" s="9">
        <f>'總表'!U63</f>
        <v/>
      </c>
      <c r="N19" s="19">
        <f>'總表'!AE63</f>
        <v/>
      </c>
      <c r="O19" s="5">
        <f>'總表'!AJ63</f>
        <v/>
      </c>
      <c r="P19" s="5">
        <f>'總表'!AK63</f>
        <v/>
      </c>
      <c r="Q19" s="9">
        <f>'總表'!AS63</f>
        <v/>
      </c>
      <c r="R19" s="5">
        <f>'總表'!AT63</f>
        <v/>
      </c>
      <c r="S19" s="11">
        <f>'總表'!AW63</f>
        <v/>
      </c>
      <c r="T19" s="17">
        <f>'總表'!BE63</f>
        <v/>
      </c>
      <c r="U19" s="17">
        <f>'總表'!BG63</f>
        <v/>
      </c>
      <c r="V19" s="17">
        <f>'總表'!BH63</f>
        <v/>
      </c>
      <c r="W19" s="17">
        <f>'總表'!BI63</f>
        <v/>
      </c>
      <c r="X19" s="17">
        <f>'總表'!BJ63</f>
        <v/>
      </c>
      <c r="Y19" s="18">
        <f>'總表'!BK63</f>
        <v/>
      </c>
      <c r="Z19" s="5">
        <f>'總表'!B63</f>
        <v/>
      </c>
    </row>
    <row r="20">
      <c r="A20" s="5" t="n">
        <v>19</v>
      </c>
      <c r="B20" s="6" t="inlineStr">
        <is>
          <t>CAT</t>
        </is>
      </c>
      <c r="C20" s="5">
        <f>'總表'!D69</f>
        <v/>
      </c>
      <c r="D20" s="5">
        <f>'總表'!F69</f>
        <v/>
      </c>
      <c r="E20" s="5">
        <f>'總表'!G69</f>
        <v/>
      </c>
      <c r="F20" s="40">
        <f>'總表'!H69</f>
        <v/>
      </c>
      <c r="G20" s="41">
        <f>'總表'!J69</f>
        <v/>
      </c>
      <c r="H20" s="9">
        <f>'總表'!L69</f>
        <v/>
      </c>
      <c r="I20" s="41">
        <f>'總表'!R69</f>
        <v/>
      </c>
      <c r="J20" s="41">
        <f>'總表'!S69</f>
        <v/>
      </c>
      <c r="K20" s="9">
        <f>'總表'!W69</f>
        <v/>
      </c>
      <c r="L20" s="9">
        <f>'總表'!X69</f>
        <v/>
      </c>
      <c r="M20" s="9">
        <f>'總表'!U69</f>
        <v/>
      </c>
      <c r="N20" s="19">
        <f>'總表'!AE69</f>
        <v/>
      </c>
      <c r="O20" s="5">
        <f>'總表'!AJ69</f>
        <v/>
      </c>
      <c r="P20" s="5">
        <f>'總表'!AK69</f>
        <v/>
      </c>
      <c r="Q20" s="9">
        <f>'總表'!AS69</f>
        <v/>
      </c>
      <c r="R20" s="5">
        <f>'總表'!AT69</f>
        <v/>
      </c>
      <c r="S20" s="11">
        <f>'總表'!AW69</f>
        <v/>
      </c>
      <c r="T20" s="17">
        <f>'總表'!BE69</f>
        <v/>
      </c>
      <c r="U20" s="17">
        <f>'總表'!BG69</f>
        <v/>
      </c>
      <c r="V20" s="17">
        <f>'總表'!BH69</f>
        <v/>
      </c>
      <c r="W20" s="17">
        <f>'總表'!BI69</f>
        <v/>
      </c>
      <c r="X20" s="17">
        <f>'總表'!BJ69</f>
        <v/>
      </c>
      <c r="Y20" s="18">
        <f>'總表'!BK69</f>
        <v/>
      </c>
      <c r="Z20" s="5">
        <f>'總表'!B69</f>
        <v/>
      </c>
    </row>
    <row r="21">
      <c r="A21" s="5" t="n">
        <v>20</v>
      </c>
      <c r="B21" s="6" t="inlineStr">
        <is>
          <t>WAT</t>
        </is>
      </c>
      <c r="C21" s="5">
        <f>'總表'!D72</f>
        <v/>
      </c>
      <c r="D21" s="5">
        <f>'總表'!F72</f>
        <v/>
      </c>
      <c r="E21" s="5">
        <f>'總表'!G72</f>
        <v/>
      </c>
      <c r="F21" s="40">
        <f>'總表'!H72</f>
        <v/>
      </c>
      <c r="G21" s="41">
        <f>'總表'!J72</f>
        <v/>
      </c>
      <c r="H21" s="9">
        <f>'總表'!L72</f>
        <v/>
      </c>
      <c r="I21" s="41">
        <f>'總表'!R72</f>
        <v/>
      </c>
      <c r="J21" s="41">
        <f>'總表'!S72</f>
        <v/>
      </c>
      <c r="K21" s="9">
        <f>'總表'!W72</f>
        <v/>
      </c>
      <c r="L21" s="9">
        <f>'總表'!X72</f>
        <v/>
      </c>
      <c r="M21" s="9">
        <f>'總表'!U72</f>
        <v/>
      </c>
      <c r="N21" s="5">
        <f>'總表'!AE72</f>
        <v/>
      </c>
      <c r="O21" s="5">
        <f>'總表'!AJ72</f>
        <v/>
      </c>
      <c r="P21" s="5">
        <f>'總表'!AK72</f>
        <v/>
      </c>
      <c r="Q21" s="9">
        <f>'總表'!AS72</f>
        <v/>
      </c>
      <c r="R21" s="5">
        <f>'總表'!AT72</f>
        <v/>
      </c>
      <c r="S21" s="11">
        <f>'總表'!AW72</f>
        <v/>
      </c>
      <c r="T21" s="17">
        <f>'總表'!BE72</f>
        <v/>
      </c>
      <c r="U21" s="17">
        <f>'總表'!BG72</f>
        <v/>
      </c>
      <c r="V21" s="17">
        <f>'總表'!BH72</f>
        <v/>
      </c>
      <c r="W21" s="17">
        <f>'總表'!BI72</f>
        <v/>
      </c>
      <c r="X21" s="17">
        <f>'總表'!BJ72</f>
        <v/>
      </c>
      <c r="Y21" s="18">
        <f>'總表'!BK72</f>
        <v/>
      </c>
      <c r="Z21" s="5">
        <f>'總表'!B72</f>
        <v/>
      </c>
    </row>
    <row r="22">
      <c r="A22" s="5" t="n">
        <v>21</v>
      </c>
      <c r="B22" s="6" t="inlineStr">
        <is>
          <t>PWR</t>
        </is>
      </c>
      <c r="C22" s="5">
        <f>'總表'!D73</f>
        <v/>
      </c>
      <c r="D22" s="5">
        <f>'總表'!F73</f>
        <v/>
      </c>
      <c r="E22" s="5">
        <f>'總表'!G73</f>
        <v/>
      </c>
      <c r="F22" s="40">
        <f>'總表'!H73</f>
        <v/>
      </c>
      <c r="G22" s="41">
        <f>'總表'!J73</f>
        <v/>
      </c>
      <c r="H22" s="9">
        <f>'總表'!L73</f>
        <v/>
      </c>
      <c r="I22" s="41">
        <f>'總表'!R73</f>
        <v/>
      </c>
      <c r="J22" s="41">
        <f>'總表'!S73</f>
        <v/>
      </c>
      <c r="K22" s="9">
        <f>'總表'!W73</f>
        <v/>
      </c>
      <c r="L22" s="9">
        <f>'總表'!X73</f>
        <v/>
      </c>
      <c r="M22" s="9">
        <f>'總表'!U73</f>
        <v/>
      </c>
      <c r="N22" s="19">
        <f>'總表'!AE73</f>
        <v/>
      </c>
      <c r="O22" s="5">
        <f>'總表'!AJ73</f>
        <v/>
      </c>
      <c r="P22" s="5">
        <f>'總表'!AK73</f>
        <v/>
      </c>
      <c r="Q22" s="9">
        <f>'總表'!AS73</f>
        <v/>
      </c>
      <c r="R22" s="5">
        <f>'總表'!AT73</f>
        <v/>
      </c>
      <c r="S22" s="11">
        <f>'總表'!AW73</f>
        <v/>
      </c>
      <c r="T22" s="17">
        <f>'總表'!BE73</f>
        <v/>
      </c>
      <c r="U22" s="17">
        <f>'總表'!BG73</f>
        <v/>
      </c>
      <c r="V22" s="17">
        <f>'總表'!BH73</f>
        <v/>
      </c>
      <c r="W22" s="17">
        <f>'總表'!BI73</f>
        <v/>
      </c>
      <c r="X22" s="17">
        <f>'總表'!BJ73</f>
        <v/>
      </c>
      <c r="Y22" s="18">
        <f>'總表'!BK73</f>
        <v/>
      </c>
      <c r="Z22" s="5">
        <f>'總表'!B73</f>
        <v/>
      </c>
    </row>
    <row r="23">
      <c r="A23" s="5" t="n">
        <v>22</v>
      </c>
      <c r="B23" s="6" t="inlineStr">
        <is>
          <t>GSAT</t>
        </is>
      </c>
      <c r="C23" s="5">
        <f>'總表'!D76</f>
        <v/>
      </c>
      <c r="D23" s="5">
        <f>'總表'!F76</f>
        <v/>
      </c>
      <c r="E23" s="5">
        <f>'總表'!G76</f>
        <v/>
      </c>
      <c r="F23" s="40">
        <f>'總表'!H76</f>
        <v/>
      </c>
      <c r="G23" s="41">
        <f>'總表'!J76</f>
        <v/>
      </c>
      <c r="H23" s="9">
        <f>'總表'!L76</f>
        <v/>
      </c>
      <c r="I23" s="41">
        <f>'總表'!R76</f>
        <v/>
      </c>
      <c r="J23" s="41">
        <f>'總表'!S76</f>
        <v/>
      </c>
      <c r="K23" s="9">
        <f>'總表'!W76</f>
        <v/>
      </c>
      <c r="L23" s="9">
        <f>'總表'!X76</f>
        <v/>
      </c>
      <c r="M23" s="9">
        <f>'總表'!U76</f>
        <v/>
      </c>
      <c r="N23" s="5">
        <f>'總表'!AE76</f>
        <v/>
      </c>
      <c r="O23" s="5">
        <f>'總表'!AJ76</f>
        <v/>
      </c>
      <c r="P23" s="5">
        <f>'總表'!AK76</f>
        <v/>
      </c>
      <c r="Q23" s="9">
        <f>'總表'!AS76</f>
        <v/>
      </c>
      <c r="R23" s="5">
        <f>'總表'!AT76</f>
        <v/>
      </c>
      <c r="S23" s="11">
        <f>'總表'!AW76</f>
        <v/>
      </c>
      <c r="T23" s="17">
        <f>'總表'!BE76</f>
        <v/>
      </c>
      <c r="U23" s="17">
        <f>'總表'!BG76</f>
        <v/>
      </c>
      <c r="V23" s="17">
        <f>'總表'!BH76</f>
        <v/>
      </c>
      <c r="W23" s="17">
        <f>'總表'!BI76</f>
        <v/>
      </c>
      <c r="X23" s="17">
        <f>'總表'!BJ76</f>
        <v/>
      </c>
      <c r="Y23" s="18">
        <f>'總表'!BK76</f>
        <v/>
      </c>
      <c r="Z23" s="5">
        <f>'總表'!B76</f>
        <v/>
      </c>
    </row>
    <row r="24">
      <c r="A24" s="5" t="n">
        <v>23</v>
      </c>
      <c r="B24" s="6" t="inlineStr">
        <is>
          <t>FAST</t>
        </is>
      </c>
      <c r="C24" s="5">
        <f>'總表'!D81</f>
        <v/>
      </c>
      <c r="D24" s="5">
        <f>'總表'!F81</f>
        <v/>
      </c>
      <c r="E24" s="5">
        <f>'總表'!G81</f>
        <v/>
      </c>
      <c r="F24" s="40">
        <f>'總表'!H81</f>
        <v/>
      </c>
      <c r="G24" s="41">
        <f>'總表'!J81</f>
        <v/>
      </c>
      <c r="H24" s="9">
        <f>'總表'!L81</f>
        <v/>
      </c>
      <c r="I24" s="41">
        <f>'總表'!R81</f>
        <v/>
      </c>
      <c r="J24" s="41">
        <f>'總表'!S81</f>
        <v/>
      </c>
      <c r="K24" s="9">
        <f>'總表'!W81</f>
        <v/>
      </c>
      <c r="L24" s="9">
        <f>'總表'!X81</f>
        <v/>
      </c>
      <c r="M24" s="9">
        <f>'總表'!U81</f>
        <v/>
      </c>
      <c r="N24" s="5">
        <f>'總表'!AE81</f>
        <v/>
      </c>
      <c r="O24" s="5">
        <f>'總表'!AJ81</f>
        <v/>
      </c>
      <c r="P24" s="5">
        <f>'總表'!AK81</f>
        <v/>
      </c>
      <c r="Q24" s="9">
        <f>'總表'!AS81</f>
        <v/>
      </c>
      <c r="R24" s="5">
        <f>'總表'!AT81</f>
        <v/>
      </c>
      <c r="S24" s="11">
        <f>'總表'!AW81</f>
        <v/>
      </c>
      <c r="T24" s="17">
        <f>'總表'!BE81</f>
        <v/>
      </c>
      <c r="U24" s="17">
        <f>'總表'!BG81</f>
        <v/>
      </c>
      <c r="V24" s="17">
        <f>'總表'!BH81</f>
        <v/>
      </c>
      <c r="W24" s="17">
        <f>'總表'!BI81</f>
        <v/>
      </c>
      <c r="X24" s="17">
        <f>'總表'!BJ81</f>
        <v/>
      </c>
      <c r="Y24" s="18">
        <f>'總表'!BK81</f>
        <v/>
      </c>
      <c r="Z24" s="5">
        <f>'總表'!B81</f>
        <v/>
      </c>
    </row>
    <row r="25">
      <c r="A25" s="5" t="n">
        <v>24</v>
      </c>
      <c r="B25" s="6" t="inlineStr">
        <is>
          <t>ETN</t>
        </is>
      </c>
      <c r="C25" s="5">
        <f>'總表'!D85</f>
        <v/>
      </c>
      <c r="D25" s="5">
        <f>'總表'!F85</f>
        <v/>
      </c>
      <c r="E25" s="5">
        <f>'總表'!G85</f>
        <v/>
      </c>
      <c r="F25" s="40">
        <f>'總表'!H85</f>
        <v/>
      </c>
      <c r="G25" s="41">
        <f>'總表'!J85</f>
        <v/>
      </c>
      <c r="H25" s="9">
        <f>'總表'!L85</f>
        <v/>
      </c>
      <c r="I25" s="41">
        <f>'總表'!R85</f>
        <v/>
      </c>
      <c r="J25" s="41">
        <f>'總表'!S85</f>
        <v/>
      </c>
      <c r="K25" s="9">
        <f>'總表'!W85</f>
        <v/>
      </c>
      <c r="L25" s="9">
        <f>'總表'!X85</f>
        <v/>
      </c>
      <c r="M25" s="9">
        <f>'總表'!U85</f>
        <v/>
      </c>
      <c r="N25" s="5">
        <f>'總表'!AE85</f>
        <v/>
      </c>
      <c r="O25" s="5">
        <f>'總表'!AJ85</f>
        <v/>
      </c>
      <c r="P25" s="5">
        <f>'總表'!AK85</f>
        <v/>
      </c>
      <c r="Q25" s="9">
        <f>'總表'!AS85</f>
        <v/>
      </c>
      <c r="R25" s="5">
        <f>'總表'!AT85</f>
        <v/>
      </c>
      <c r="S25" s="11">
        <f>'總表'!AW85</f>
        <v/>
      </c>
      <c r="T25" s="17">
        <f>'總表'!BE85</f>
        <v/>
      </c>
      <c r="U25" s="17">
        <f>'總表'!BG85</f>
        <v/>
      </c>
      <c r="V25" s="17">
        <f>'總表'!BH85</f>
        <v/>
      </c>
      <c r="W25" s="17">
        <f>'總表'!BI85</f>
        <v/>
      </c>
      <c r="X25" s="17">
        <f>'總表'!BJ85</f>
        <v/>
      </c>
      <c r="Y25" s="18">
        <f>'總表'!BK85</f>
        <v/>
      </c>
      <c r="Z25" s="5">
        <f>'總表'!B85</f>
        <v/>
      </c>
    </row>
    <row r="26">
      <c r="A26" s="5" t="n">
        <v>25</v>
      </c>
      <c r="B26" s="6" t="inlineStr">
        <is>
          <t>PSX</t>
        </is>
      </c>
      <c r="C26" s="5">
        <f>'總表'!D94</f>
        <v/>
      </c>
      <c r="D26" s="5">
        <f>'總表'!F94</f>
        <v/>
      </c>
      <c r="E26" s="5">
        <f>'總表'!G94</f>
        <v/>
      </c>
      <c r="F26" s="40">
        <f>'總表'!H94</f>
        <v/>
      </c>
      <c r="G26" s="41">
        <f>'總表'!J94</f>
        <v/>
      </c>
      <c r="H26" s="9">
        <f>'總表'!L94</f>
        <v/>
      </c>
      <c r="I26" s="41">
        <f>'總表'!R94</f>
        <v/>
      </c>
      <c r="J26" s="41">
        <f>'總表'!S94</f>
        <v/>
      </c>
      <c r="K26" s="9">
        <f>'總表'!W94</f>
        <v/>
      </c>
      <c r="L26" s="9">
        <f>'總表'!X94</f>
        <v/>
      </c>
      <c r="M26" s="9">
        <f>'總表'!U94</f>
        <v/>
      </c>
      <c r="N26" s="5">
        <f>'總表'!AE94</f>
        <v/>
      </c>
      <c r="O26" s="5">
        <f>'總表'!AJ94</f>
        <v/>
      </c>
      <c r="P26" s="5">
        <f>'總表'!AK94</f>
        <v/>
      </c>
      <c r="Q26" s="9">
        <f>'總表'!AS94</f>
        <v/>
      </c>
      <c r="R26" s="5">
        <f>'總表'!AT94</f>
        <v/>
      </c>
      <c r="S26" s="11">
        <f>'總表'!AW94</f>
        <v/>
      </c>
      <c r="T26" s="17">
        <f>'總表'!BE94</f>
        <v/>
      </c>
      <c r="U26" s="17">
        <f>'總表'!BG94</f>
        <v/>
      </c>
      <c r="V26" s="17">
        <f>'總表'!BH94</f>
        <v/>
      </c>
      <c r="W26" s="17">
        <f>'總表'!BI94</f>
        <v/>
      </c>
      <c r="X26" s="17">
        <f>'總表'!BJ94</f>
        <v/>
      </c>
      <c r="Y26" s="18">
        <f>'總表'!BK94</f>
        <v/>
      </c>
      <c r="Z26" s="5">
        <f>'總表'!B94</f>
        <v/>
      </c>
    </row>
    <row r="27">
      <c r="A27" s="5" t="n">
        <v>26</v>
      </c>
      <c r="B27" s="6" t="inlineStr">
        <is>
          <t>BIIB</t>
        </is>
      </c>
      <c r="C27" s="5">
        <f>'總表'!D97</f>
        <v/>
      </c>
      <c r="D27" s="5">
        <f>'總表'!F97</f>
        <v/>
      </c>
      <c r="E27" s="5">
        <f>'總表'!G97</f>
        <v/>
      </c>
      <c r="F27" s="40">
        <f>'總表'!H97</f>
        <v/>
      </c>
      <c r="G27" s="41">
        <f>'總表'!J97</f>
        <v/>
      </c>
      <c r="H27" s="9">
        <f>'總表'!L97</f>
        <v/>
      </c>
      <c r="I27" s="41">
        <f>'總表'!R97</f>
        <v/>
      </c>
      <c r="J27" s="41">
        <f>'總表'!S97</f>
        <v/>
      </c>
      <c r="K27" s="9">
        <f>'總表'!W97</f>
        <v/>
      </c>
      <c r="L27" s="9">
        <f>'總表'!X97</f>
        <v/>
      </c>
      <c r="M27" s="9">
        <f>'總表'!U97</f>
        <v/>
      </c>
      <c r="N27" s="5">
        <f>'總表'!AE97</f>
        <v/>
      </c>
      <c r="O27" s="5">
        <f>'總表'!AJ97</f>
        <v/>
      </c>
      <c r="P27" s="5">
        <f>'總表'!AK97</f>
        <v/>
      </c>
      <c r="Q27" s="9">
        <f>'總表'!AS97</f>
        <v/>
      </c>
      <c r="R27" s="5">
        <f>'總表'!AT97</f>
        <v/>
      </c>
      <c r="S27" s="11">
        <f>'總表'!AW97</f>
        <v/>
      </c>
      <c r="T27" s="17">
        <f>'總表'!BE97</f>
        <v/>
      </c>
      <c r="U27" s="17">
        <f>'總表'!BG97</f>
        <v/>
      </c>
      <c r="V27" s="17">
        <f>'總表'!BH97</f>
        <v/>
      </c>
      <c r="W27" s="17">
        <f>'總表'!BI97</f>
        <v/>
      </c>
      <c r="X27" s="17">
        <f>'總表'!BJ97</f>
        <v/>
      </c>
      <c r="Y27" s="18">
        <f>'總表'!BK97</f>
        <v/>
      </c>
      <c r="Z27" s="5">
        <f>'總表'!B97</f>
        <v/>
      </c>
    </row>
    <row r="29">
      <c r="A29" s="42" t="inlineStr">
        <is>
          <t>大型股（市值 ≥ $100 億）：第一梯隊入面屬呢個市值組嘅股票，每格都係引用總表同一行，改總表會跟住變。</t>
        </is>
      </c>
    </row>
  </sheetData>
  <autoFilter ref="A1:Z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24" customWidth="1" min="5" max="5"/>
    <col width="9" customWidth="1" min="6" max="6"/>
    <col width="9" customWidth="1" min="7" max="7"/>
    <col width="7" customWidth="1" min="8" max="8"/>
    <col width="9" customWidth="1" min="9" max="9"/>
    <col width="9" customWidth="1" min="10" max="10"/>
    <col width="7" customWidth="1" min="11" max="11"/>
    <col width="7" customWidth="1" min="12" max="12"/>
    <col width="7" customWidth="1" min="13" max="13"/>
    <col width="9" customWidth="1" min="14" max="14"/>
    <col width="6" customWidth="1" min="15" max="15"/>
    <col width="6" customWidth="1" min="16" max="16"/>
    <col width="7" customWidth="1" min="17" max="17"/>
    <col width="13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6" customWidth="1" min="26" max="26"/>
  </cols>
  <sheetData>
    <row r="1" ht="42" customHeight="1">
      <c r="A1" s="4" t="inlineStr">
        <is>
          <t>組內排名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市值(十億美元)</t>
        </is>
      </c>
      <c r="G1" s="4" t="inlineStr">
        <is>
          <t>收市價</t>
        </is>
      </c>
      <c r="H1" s="4" t="inlineStr">
        <is>
          <t>當日%</t>
        </is>
      </c>
      <c r="I1" s="4" t="inlineStr">
        <is>
          <t>EMA9</t>
        </is>
      </c>
      <c r="J1" s="4" t="inlineStr">
        <is>
          <t>EMA21</t>
        </is>
      </c>
      <c r="K1" s="4" t="inlineStr">
        <is>
          <t>距EMA9%</t>
        </is>
      </c>
      <c r="L1" s="4" t="inlineStr">
        <is>
          <t>距EMA21%</t>
        </is>
      </c>
      <c r="M1" s="4" t="inlineStr">
        <is>
          <t>EMA21 5日斜率%</t>
        </is>
      </c>
      <c r="N1" s="4" t="inlineStr">
        <is>
          <t>9/21狀態</t>
        </is>
      </c>
      <c r="O1" s="4" t="inlineStr">
        <is>
          <t>金叉後日數</t>
        </is>
      </c>
      <c r="P1" s="4" t="inlineStr">
        <is>
          <t>連續上升底數目</t>
        </is>
      </c>
      <c r="Q1" s="4" t="inlineStr">
        <is>
          <t>距15日高%</t>
        </is>
      </c>
      <c r="R1" s="4" t="inlineStr">
        <is>
          <t>形態（25日）</t>
        </is>
      </c>
      <c r="S1" s="4" t="inlineStr">
        <is>
          <t>重心</t>
        </is>
      </c>
      <c r="T1" s="4" t="inlineStr">
        <is>
          <t>RS21%</t>
        </is>
      </c>
      <c r="U1" s="4" t="inlineStr">
        <is>
          <t>趨勢分數</t>
        </is>
      </c>
      <c r="V1" s="4" t="inlineStr">
        <is>
          <t>回調質素</t>
        </is>
      </c>
      <c r="W1" s="4" t="inlineStr">
        <is>
          <t>底部結構</t>
        </is>
      </c>
      <c r="X1" s="4" t="inlineStr">
        <is>
          <t>三角形分數</t>
        </is>
      </c>
      <c r="Y1" s="4" t="inlineStr">
        <is>
          <t>綜合分數</t>
        </is>
      </c>
      <c r="Z1" s="4" t="inlineStr">
        <is>
          <t>總表排名</t>
        </is>
      </c>
    </row>
    <row r="2">
      <c r="A2" s="5" t="n">
        <v>1</v>
      </c>
      <c r="B2" s="6" t="inlineStr">
        <is>
          <t>HNGE</t>
        </is>
      </c>
      <c r="C2" s="5">
        <f>'總表'!D5</f>
        <v/>
      </c>
      <c r="D2" s="5">
        <f>'總表'!F5</f>
        <v/>
      </c>
      <c r="E2" s="5">
        <f>'總表'!G5</f>
        <v/>
      </c>
      <c r="F2" s="40">
        <f>'總表'!H5</f>
        <v/>
      </c>
      <c r="G2" s="41">
        <f>'總表'!J5</f>
        <v/>
      </c>
      <c r="H2" s="9">
        <f>'總表'!L5</f>
        <v/>
      </c>
      <c r="I2" s="41">
        <f>'總表'!R5</f>
        <v/>
      </c>
      <c r="J2" s="41">
        <f>'總表'!S5</f>
        <v/>
      </c>
      <c r="K2" s="9">
        <f>'總表'!W5</f>
        <v/>
      </c>
      <c r="L2" s="9">
        <f>'總表'!X5</f>
        <v/>
      </c>
      <c r="M2" s="9">
        <f>'總表'!U5</f>
        <v/>
      </c>
      <c r="N2" s="5">
        <f>'總表'!AE5</f>
        <v/>
      </c>
      <c r="O2" s="5">
        <f>'總表'!AJ5</f>
        <v/>
      </c>
      <c r="P2" s="5">
        <f>'總表'!AK5</f>
        <v/>
      </c>
      <c r="Q2" s="9">
        <f>'總表'!AS5</f>
        <v/>
      </c>
      <c r="R2" s="5">
        <f>'總表'!AT5</f>
        <v/>
      </c>
      <c r="S2" s="11">
        <f>'總表'!AW5</f>
        <v/>
      </c>
      <c r="T2" s="17">
        <f>'總表'!BE5</f>
        <v/>
      </c>
      <c r="U2" s="17">
        <f>'總表'!BG5</f>
        <v/>
      </c>
      <c r="V2" s="17">
        <f>'總表'!BH5</f>
        <v/>
      </c>
      <c r="W2" s="17">
        <f>'總表'!BI5</f>
        <v/>
      </c>
      <c r="X2" s="17">
        <f>'總表'!BJ5</f>
        <v/>
      </c>
      <c r="Y2" s="18">
        <f>'總表'!BK5</f>
        <v/>
      </c>
      <c r="Z2" s="5">
        <f>'總表'!B5</f>
        <v/>
      </c>
    </row>
    <row r="3">
      <c r="A3" s="5" t="n">
        <v>2</v>
      </c>
      <c r="B3" s="6" t="inlineStr">
        <is>
          <t>LTC</t>
        </is>
      </c>
      <c r="C3" s="5">
        <f>'總表'!D12</f>
        <v/>
      </c>
      <c r="D3" s="5">
        <f>'總表'!F12</f>
        <v/>
      </c>
      <c r="E3" s="5">
        <f>'總表'!G12</f>
        <v/>
      </c>
      <c r="F3" s="40">
        <f>'總表'!H12</f>
        <v/>
      </c>
      <c r="G3" s="41">
        <f>'總表'!J12</f>
        <v/>
      </c>
      <c r="H3" s="9">
        <f>'總表'!L12</f>
        <v/>
      </c>
      <c r="I3" s="41">
        <f>'總表'!R12</f>
        <v/>
      </c>
      <c r="J3" s="41">
        <f>'總表'!S12</f>
        <v/>
      </c>
      <c r="K3" s="9">
        <f>'總表'!W12</f>
        <v/>
      </c>
      <c r="L3" s="9">
        <f>'總表'!X12</f>
        <v/>
      </c>
      <c r="M3" s="9">
        <f>'總表'!U12</f>
        <v/>
      </c>
      <c r="N3" s="5">
        <f>'總表'!AE12</f>
        <v/>
      </c>
      <c r="O3" s="5">
        <f>'總表'!AJ12</f>
        <v/>
      </c>
      <c r="P3" s="5">
        <f>'總表'!AK12</f>
        <v/>
      </c>
      <c r="Q3" s="9">
        <f>'總表'!AS12</f>
        <v/>
      </c>
      <c r="R3" s="5">
        <f>'總表'!AT12</f>
        <v/>
      </c>
      <c r="S3" s="11">
        <f>'總表'!AW12</f>
        <v/>
      </c>
      <c r="T3" s="17">
        <f>'總表'!BE12</f>
        <v/>
      </c>
      <c r="U3" s="17">
        <f>'總表'!BG12</f>
        <v/>
      </c>
      <c r="V3" s="17">
        <f>'總表'!BH12</f>
        <v/>
      </c>
      <c r="W3" s="17">
        <f>'總表'!BI12</f>
        <v/>
      </c>
      <c r="X3" s="17">
        <f>'總表'!BJ12</f>
        <v/>
      </c>
      <c r="Y3" s="18">
        <f>'總表'!BK12</f>
        <v/>
      </c>
      <c r="Z3" s="5">
        <f>'總表'!B12</f>
        <v/>
      </c>
    </row>
    <row r="4">
      <c r="A4" s="5" t="n">
        <v>3</v>
      </c>
      <c r="B4" s="6" t="inlineStr">
        <is>
          <t>PENG</t>
        </is>
      </c>
      <c r="C4" s="5">
        <f>'總表'!D14</f>
        <v/>
      </c>
      <c r="D4" s="5">
        <f>'總表'!F14</f>
        <v/>
      </c>
      <c r="E4" s="5">
        <f>'總表'!G14</f>
        <v/>
      </c>
      <c r="F4" s="40">
        <f>'總表'!H14</f>
        <v/>
      </c>
      <c r="G4" s="41">
        <f>'總表'!J14</f>
        <v/>
      </c>
      <c r="H4" s="9">
        <f>'總表'!L14</f>
        <v/>
      </c>
      <c r="I4" s="41">
        <f>'總表'!R14</f>
        <v/>
      </c>
      <c r="J4" s="41">
        <f>'總表'!S14</f>
        <v/>
      </c>
      <c r="K4" s="9">
        <f>'總表'!W14</f>
        <v/>
      </c>
      <c r="L4" s="9">
        <f>'總表'!X14</f>
        <v/>
      </c>
      <c r="M4" s="9">
        <f>'總表'!U14</f>
        <v/>
      </c>
      <c r="N4" s="5">
        <f>'總表'!AE14</f>
        <v/>
      </c>
      <c r="O4" s="5">
        <f>'總表'!AJ14</f>
        <v/>
      </c>
      <c r="P4" s="5">
        <f>'總表'!AK14</f>
        <v/>
      </c>
      <c r="Q4" s="9">
        <f>'總表'!AS14</f>
        <v/>
      </c>
      <c r="R4" s="5">
        <f>'總表'!AT14</f>
        <v/>
      </c>
      <c r="S4" s="11">
        <f>'總表'!AW14</f>
        <v/>
      </c>
      <c r="T4" s="17">
        <f>'總表'!BE14</f>
        <v/>
      </c>
      <c r="U4" s="17">
        <f>'總表'!BG14</f>
        <v/>
      </c>
      <c r="V4" s="17">
        <f>'總表'!BH14</f>
        <v/>
      </c>
      <c r="W4" s="17">
        <f>'總表'!BI14</f>
        <v/>
      </c>
      <c r="X4" s="17">
        <f>'總表'!BJ14</f>
        <v/>
      </c>
      <c r="Y4" s="18">
        <f>'總表'!BK14</f>
        <v/>
      </c>
      <c r="Z4" s="5">
        <f>'總表'!B14</f>
        <v/>
      </c>
    </row>
    <row r="5">
      <c r="A5" s="5" t="n">
        <v>4</v>
      </c>
      <c r="B5" s="6" t="inlineStr">
        <is>
          <t>SEI</t>
        </is>
      </c>
      <c r="C5" s="5">
        <f>'總表'!D20</f>
        <v/>
      </c>
      <c r="D5" s="5">
        <f>'總表'!F20</f>
        <v/>
      </c>
      <c r="E5" s="5">
        <f>'總表'!G20</f>
        <v/>
      </c>
      <c r="F5" s="40">
        <f>'總表'!H20</f>
        <v/>
      </c>
      <c r="G5" s="41">
        <f>'總表'!J20</f>
        <v/>
      </c>
      <c r="H5" s="9">
        <f>'總表'!L20</f>
        <v/>
      </c>
      <c r="I5" s="41">
        <f>'總表'!R20</f>
        <v/>
      </c>
      <c r="J5" s="41">
        <f>'總表'!S20</f>
        <v/>
      </c>
      <c r="K5" s="9">
        <f>'總表'!W20</f>
        <v/>
      </c>
      <c r="L5" s="9">
        <f>'總表'!X20</f>
        <v/>
      </c>
      <c r="M5" s="9">
        <f>'總表'!U20</f>
        <v/>
      </c>
      <c r="N5" s="5">
        <f>'總表'!AE20</f>
        <v/>
      </c>
      <c r="O5" s="5">
        <f>'總表'!AJ20</f>
        <v/>
      </c>
      <c r="P5" s="5">
        <f>'總表'!AK20</f>
        <v/>
      </c>
      <c r="Q5" s="9">
        <f>'總表'!AS20</f>
        <v/>
      </c>
      <c r="R5" s="5">
        <f>'總表'!AT20</f>
        <v/>
      </c>
      <c r="S5" s="11">
        <f>'總表'!AW20</f>
        <v/>
      </c>
      <c r="T5" s="17">
        <f>'總表'!BE20</f>
        <v/>
      </c>
      <c r="U5" s="17">
        <f>'總表'!BG20</f>
        <v/>
      </c>
      <c r="V5" s="17">
        <f>'總表'!BH20</f>
        <v/>
      </c>
      <c r="W5" s="17">
        <f>'總表'!BI20</f>
        <v/>
      </c>
      <c r="X5" s="17">
        <f>'總表'!BJ20</f>
        <v/>
      </c>
      <c r="Y5" s="18">
        <f>'總表'!BK20</f>
        <v/>
      </c>
      <c r="Z5" s="5">
        <f>'總表'!B20</f>
        <v/>
      </c>
    </row>
    <row r="6">
      <c r="A6" s="5" t="n">
        <v>5</v>
      </c>
      <c r="B6" s="6" t="inlineStr">
        <is>
          <t>AVT</t>
        </is>
      </c>
      <c r="C6" s="5">
        <f>'總表'!D22</f>
        <v/>
      </c>
      <c r="D6" s="5">
        <f>'總表'!F22</f>
        <v/>
      </c>
      <c r="E6" s="5">
        <f>'總表'!G22</f>
        <v/>
      </c>
      <c r="F6" s="40">
        <f>'總表'!H22</f>
        <v/>
      </c>
      <c r="G6" s="41">
        <f>'總表'!J22</f>
        <v/>
      </c>
      <c r="H6" s="9">
        <f>'總表'!L22</f>
        <v/>
      </c>
      <c r="I6" s="41">
        <f>'總表'!R22</f>
        <v/>
      </c>
      <c r="J6" s="41">
        <f>'總表'!S22</f>
        <v/>
      </c>
      <c r="K6" s="9">
        <f>'總表'!W22</f>
        <v/>
      </c>
      <c r="L6" s="9">
        <f>'總表'!X22</f>
        <v/>
      </c>
      <c r="M6" s="9">
        <f>'總表'!U22</f>
        <v/>
      </c>
      <c r="N6" s="5">
        <f>'總表'!AE22</f>
        <v/>
      </c>
      <c r="O6" s="5">
        <f>'總表'!AJ22</f>
        <v/>
      </c>
      <c r="P6" s="5">
        <f>'總表'!AK22</f>
        <v/>
      </c>
      <c r="Q6" s="9">
        <f>'總表'!AS22</f>
        <v/>
      </c>
      <c r="R6" s="5">
        <f>'總表'!AT22</f>
        <v/>
      </c>
      <c r="S6" s="11">
        <f>'總表'!AW22</f>
        <v/>
      </c>
      <c r="T6" s="17">
        <f>'總表'!BE22</f>
        <v/>
      </c>
      <c r="U6" s="17">
        <f>'總表'!BG22</f>
        <v/>
      </c>
      <c r="V6" s="17">
        <f>'總表'!BH22</f>
        <v/>
      </c>
      <c r="W6" s="17">
        <f>'總表'!BI22</f>
        <v/>
      </c>
      <c r="X6" s="17">
        <f>'總表'!BJ22</f>
        <v/>
      </c>
      <c r="Y6" s="18">
        <f>'總表'!BK22</f>
        <v/>
      </c>
      <c r="Z6" s="5">
        <f>'總表'!B22</f>
        <v/>
      </c>
    </row>
    <row r="7">
      <c r="A7" s="5" t="n">
        <v>6</v>
      </c>
      <c r="B7" s="6" t="inlineStr">
        <is>
          <t>CVLT</t>
        </is>
      </c>
      <c r="C7" s="5">
        <f>'總表'!D24</f>
        <v/>
      </c>
      <c r="D7" s="5">
        <f>'總表'!F24</f>
        <v/>
      </c>
      <c r="E7" s="5">
        <f>'總表'!G24</f>
        <v/>
      </c>
      <c r="F7" s="40">
        <f>'總表'!H24</f>
        <v/>
      </c>
      <c r="G7" s="41">
        <f>'總表'!J24</f>
        <v/>
      </c>
      <c r="H7" s="9">
        <f>'總表'!L24</f>
        <v/>
      </c>
      <c r="I7" s="41">
        <f>'總表'!R24</f>
        <v/>
      </c>
      <c r="J7" s="41">
        <f>'總表'!S24</f>
        <v/>
      </c>
      <c r="K7" s="9">
        <f>'總表'!W24</f>
        <v/>
      </c>
      <c r="L7" s="9">
        <f>'總表'!X24</f>
        <v/>
      </c>
      <c r="M7" s="9">
        <f>'總表'!U24</f>
        <v/>
      </c>
      <c r="N7" s="5">
        <f>'總表'!AE24</f>
        <v/>
      </c>
      <c r="O7" s="5">
        <f>'總表'!AJ24</f>
        <v/>
      </c>
      <c r="P7" s="5">
        <f>'總表'!AK24</f>
        <v/>
      </c>
      <c r="Q7" s="9">
        <f>'總表'!AS24</f>
        <v/>
      </c>
      <c r="R7" s="5">
        <f>'總表'!AT24</f>
        <v/>
      </c>
      <c r="S7" s="11">
        <f>'總表'!AW24</f>
        <v/>
      </c>
      <c r="T7" s="17">
        <f>'總表'!BE24</f>
        <v/>
      </c>
      <c r="U7" s="17">
        <f>'總表'!BG24</f>
        <v/>
      </c>
      <c r="V7" s="17">
        <f>'總表'!BH24</f>
        <v/>
      </c>
      <c r="W7" s="17">
        <f>'總表'!BI24</f>
        <v/>
      </c>
      <c r="X7" s="17">
        <f>'總表'!BJ24</f>
        <v/>
      </c>
      <c r="Y7" s="18">
        <f>'總表'!BK24</f>
        <v/>
      </c>
      <c r="Z7" s="5">
        <f>'總表'!B24</f>
        <v/>
      </c>
    </row>
    <row r="8">
      <c r="A8" s="5" t="n">
        <v>7</v>
      </c>
      <c r="B8" s="6" t="inlineStr">
        <is>
          <t>ADPT</t>
        </is>
      </c>
      <c r="C8" s="5">
        <f>'總表'!D25</f>
        <v/>
      </c>
      <c r="D8" s="5">
        <f>'總表'!F25</f>
        <v/>
      </c>
      <c r="E8" s="5">
        <f>'總表'!G25</f>
        <v/>
      </c>
      <c r="F8" s="40">
        <f>'總表'!H25</f>
        <v/>
      </c>
      <c r="G8" s="41">
        <f>'總表'!J25</f>
        <v/>
      </c>
      <c r="H8" s="9">
        <f>'總表'!L25</f>
        <v/>
      </c>
      <c r="I8" s="41">
        <f>'總表'!R25</f>
        <v/>
      </c>
      <c r="J8" s="41">
        <f>'總表'!S25</f>
        <v/>
      </c>
      <c r="K8" s="9">
        <f>'總表'!W25</f>
        <v/>
      </c>
      <c r="L8" s="9">
        <f>'總表'!X25</f>
        <v/>
      </c>
      <c r="M8" s="9">
        <f>'總表'!U25</f>
        <v/>
      </c>
      <c r="N8" s="5">
        <f>'總表'!AE25</f>
        <v/>
      </c>
      <c r="O8" s="5">
        <f>'總表'!AJ25</f>
        <v/>
      </c>
      <c r="P8" s="5">
        <f>'總表'!AK25</f>
        <v/>
      </c>
      <c r="Q8" s="9">
        <f>'總表'!AS25</f>
        <v/>
      </c>
      <c r="R8" s="5">
        <f>'總表'!AT25</f>
        <v/>
      </c>
      <c r="S8" s="11">
        <f>'總表'!AW25</f>
        <v/>
      </c>
      <c r="T8" s="17">
        <f>'總表'!BE25</f>
        <v/>
      </c>
      <c r="U8" s="17">
        <f>'總表'!BG25</f>
        <v/>
      </c>
      <c r="V8" s="17">
        <f>'總表'!BH25</f>
        <v/>
      </c>
      <c r="W8" s="17">
        <f>'總表'!BI25</f>
        <v/>
      </c>
      <c r="X8" s="17">
        <f>'總表'!BJ25</f>
        <v/>
      </c>
      <c r="Y8" s="18">
        <f>'總表'!BK25</f>
        <v/>
      </c>
      <c r="Z8" s="5">
        <f>'總表'!B25</f>
        <v/>
      </c>
    </row>
    <row r="9">
      <c r="A9" s="5" t="n">
        <v>8</v>
      </c>
      <c r="B9" s="6" t="inlineStr">
        <is>
          <t>UCTT</t>
        </is>
      </c>
      <c r="C9" s="5">
        <f>'總表'!D33</f>
        <v/>
      </c>
      <c r="D9" s="5">
        <f>'總表'!F33</f>
        <v/>
      </c>
      <c r="E9" s="5">
        <f>'總表'!G33</f>
        <v/>
      </c>
      <c r="F9" s="40">
        <f>'總表'!H33</f>
        <v/>
      </c>
      <c r="G9" s="41">
        <f>'總表'!J33</f>
        <v/>
      </c>
      <c r="H9" s="9">
        <f>'總表'!L33</f>
        <v/>
      </c>
      <c r="I9" s="41">
        <f>'總表'!R33</f>
        <v/>
      </c>
      <c r="J9" s="41">
        <f>'總表'!S33</f>
        <v/>
      </c>
      <c r="K9" s="9">
        <f>'總表'!W33</f>
        <v/>
      </c>
      <c r="L9" s="9">
        <f>'總表'!X33</f>
        <v/>
      </c>
      <c r="M9" s="9">
        <f>'總表'!U33</f>
        <v/>
      </c>
      <c r="N9" s="19">
        <f>'總表'!AE33</f>
        <v/>
      </c>
      <c r="O9" s="5">
        <f>'總表'!AJ33</f>
        <v/>
      </c>
      <c r="P9" s="5">
        <f>'總表'!AK33</f>
        <v/>
      </c>
      <c r="Q9" s="9">
        <f>'總表'!AS33</f>
        <v/>
      </c>
      <c r="R9" s="5">
        <f>'總表'!AT33</f>
        <v/>
      </c>
      <c r="S9" s="11">
        <f>'總表'!AW33</f>
        <v/>
      </c>
      <c r="T9" s="17">
        <f>'總表'!BE33</f>
        <v/>
      </c>
      <c r="U9" s="17">
        <f>'總表'!BG33</f>
        <v/>
      </c>
      <c r="V9" s="17">
        <f>'總表'!BH33</f>
        <v/>
      </c>
      <c r="W9" s="17">
        <f>'總表'!BI33</f>
        <v/>
      </c>
      <c r="X9" s="17">
        <f>'總表'!BJ33</f>
        <v/>
      </c>
      <c r="Y9" s="18">
        <f>'總表'!BK33</f>
        <v/>
      </c>
      <c r="Z9" s="5">
        <f>'總表'!B33</f>
        <v/>
      </c>
    </row>
    <row r="10">
      <c r="A10" s="5" t="n">
        <v>9</v>
      </c>
      <c r="B10" s="6" t="inlineStr">
        <is>
          <t>VRNS</t>
        </is>
      </c>
      <c r="C10" s="5">
        <f>'總表'!D38</f>
        <v/>
      </c>
      <c r="D10" s="5">
        <f>'總表'!F38</f>
        <v/>
      </c>
      <c r="E10" s="5">
        <f>'總表'!G38</f>
        <v/>
      </c>
      <c r="F10" s="40">
        <f>'總表'!H38</f>
        <v/>
      </c>
      <c r="G10" s="41">
        <f>'總表'!J38</f>
        <v/>
      </c>
      <c r="H10" s="9">
        <f>'總表'!L38</f>
        <v/>
      </c>
      <c r="I10" s="41">
        <f>'總表'!R38</f>
        <v/>
      </c>
      <c r="J10" s="41">
        <f>'總表'!S38</f>
        <v/>
      </c>
      <c r="K10" s="9">
        <f>'總表'!W38</f>
        <v/>
      </c>
      <c r="L10" s="9">
        <f>'總表'!X38</f>
        <v/>
      </c>
      <c r="M10" s="9">
        <f>'總表'!U38</f>
        <v/>
      </c>
      <c r="N10" s="5">
        <f>'總表'!AE38</f>
        <v/>
      </c>
      <c r="O10" s="5">
        <f>'總表'!AJ38</f>
        <v/>
      </c>
      <c r="P10" s="5">
        <f>'總表'!AK38</f>
        <v/>
      </c>
      <c r="Q10" s="9">
        <f>'總表'!AS38</f>
        <v/>
      </c>
      <c r="R10" s="5">
        <f>'總表'!AT38</f>
        <v/>
      </c>
      <c r="S10" s="11">
        <f>'總表'!AW38</f>
        <v/>
      </c>
      <c r="T10" s="17">
        <f>'總表'!BE38</f>
        <v/>
      </c>
      <c r="U10" s="17">
        <f>'總表'!BG38</f>
        <v/>
      </c>
      <c r="V10" s="17">
        <f>'總表'!BH38</f>
        <v/>
      </c>
      <c r="W10" s="17">
        <f>'總表'!BI38</f>
        <v/>
      </c>
      <c r="X10" s="17">
        <f>'總表'!BJ38</f>
        <v/>
      </c>
      <c r="Y10" s="18">
        <f>'總表'!BK38</f>
        <v/>
      </c>
      <c r="Z10" s="5">
        <f>'總表'!B38</f>
        <v/>
      </c>
    </row>
    <row r="11">
      <c r="A11" s="5" t="n">
        <v>10</v>
      </c>
      <c r="B11" s="6" t="inlineStr">
        <is>
          <t>PI</t>
        </is>
      </c>
      <c r="C11" s="5">
        <f>'總表'!D42</f>
        <v/>
      </c>
      <c r="D11" s="5">
        <f>'總表'!F42</f>
        <v/>
      </c>
      <c r="E11" s="5">
        <f>'總表'!G42</f>
        <v/>
      </c>
      <c r="F11" s="40">
        <f>'總表'!H42</f>
        <v/>
      </c>
      <c r="G11" s="41">
        <f>'總表'!J42</f>
        <v/>
      </c>
      <c r="H11" s="9">
        <f>'總表'!L42</f>
        <v/>
      </c>
      <c r="I11" s="41">
        <f>'總表'!R42</f>
        <v/>
      </c>
      <c r="J11" s="41">
        <f>'總表'!S42</f>
        <v/>
      </c>
      <c r="K11" s="9">
        <f>'總表'!W42</f>
        <v/>
      </c>
      <c r="L11" s="9">
        <f>'總表'!X42</f>
        <v/>
      </c>
      <c r="M11" s="9">
        <f>'總表'!U42</f>
        <v/>
      </c>
      <c r="N11" s="5">
        <f>'總表'!AE42</f>
        <v/>
      </c>
      <c r="O11" s="5">
        <f>'總表'!AJ42</f>
        <v/>
      </c>
      <c r="P11" s="5">
        <f>'總表'!AK42</f>
        <v/>
      </c>
      <c r="Q11" s="9">
        <f>'總表'!AS42</f>
        <v/>
      </c>
      <c r="R11" s="5">
        <f>'總表'!AT42</f>
        <v/>
      </c>
      <c r="S11" s="11">
        <f>'總表'!AW42</f>
        <v/>
      </c>
      <c r="T11" s="17">
        <f>'總表'!BE42</f>
        <v/>
      </c>
      <c r="U11" s="17">
        <f>'總表'!BG42</f>
        <v/>
      </c>
      <c r="V11" s="17">
        <f>'總表'!BH42</f>
        <v/>
      </c>
      <c r="W11" s="17">
        <f>'總表'!BI42</f>
        <v/>
      </c>
      <c r="X11" s="17">
        <f>'總表'!BJ42</f>
        <v/>
      </c>
      <c r="Y11" s="18">
        <f>'總表'!BK42</f>
        <v/>
      </c>
      <c r="Z11" s="5">
        <f>'總表'!B42</f>
        <v/>
      </c>
    </row>
    <row r="12">
      <c r="A12" s="5" t="n">
        <v>11</v>
      </c>
      <c r="B12" s="6" t="inlineStr">
        <is>
          <t>CNXN</t>
        </is>
      </c>
      <c r="C12" s="5">
        <f>'總表'!D48</f>
        <v/>
      </c>
      <c r="D12" s="5">
        <f>'總表'!F48</f>
        <v/>
      </c>
      <c r="E12" s="5">
        <f>'總表'!G48</f>
        <v/>
      </c>
      <c r="F12" s="40">
        <f>'總表'!H48</f>
        <v/>
      </c>
      <c r="G12" s="41">
        <f>'總表'!J48</f>
        <v/>
      </c>
      <c r="H12" s="9">
        <f>'總表'!L48</f>
        <v/>
      </c>
      <c r="I12" s="41">
        <f>'總表'!R48</f>
        <v/>
      </c>
      <c r="J12" s="41">
        <f>'總表'!S48</f>
        <v/>
      </c>
      <c r="K12" s="9">
        <f>'總表'!W48</f>
        <v/>
      </c>
      <c r="L12" s="9">
        <f>'總表'!X48</f>
        <v/>
      </c>
      <c r="M12" s="9">
        <f>'總表'!U48</f>
        <v/>
      </c>
      <c r="N12" s="5">
        <f>'總表'!AE48</f>
        <v/>
      </c>
      <c r="O12" s="5">
        <f>'總表'!AJ48</f>
        <v/>
      </c>
      <c r="P12" s="5">
        <f>'總表'!AK48</f>
        <v/>
      </c>
      <c r="Q12" s="9">
        <f>'總表'!AS48</f>
        <v/>
      </c>
      <c r="R12" s="5">
        <f>'總表'!AT48</f>
        <v/>
      </c>
      <c r="S12" s="11">
        <f>'總表'!AW48</f>
        <v/>
      </c>
      <c r="T12" s="17">
        <f>'總表'!BE48</f>
        <v/>
      </c>
      <c r="U12" s="17">
        <f>'總表'!BG48</f>
        <v/>
      </c>
      <c r="V12" s="17">
        <f>'總表'!BH48</f>
        <v/>
      </c>
      <c r="W12" s="17">
        <f>'總表'!BI48</f>
        <v/>
      </c>
      <c r="X12" s="17">
        <f>'總表'!BJ48</f>
        <v/>
      </c>
      <c r="Y12" s="18">
        <f>'總表'!BK48</f>
        <v/>
      </c>
      <c r="Z12" s="5">
        <f>'總表'!B48</f>
        <v/>
      </c>
    </row>
    <row r="13">
      <c r="A13" s="5" t="n">
        <v>12</v>
      </c>
      <c r="B13" s="6" t="inlineStr">
        <is>
          <t>CRUS</t>
        </is>
      </c>
      <c r="C13" s="5">
        <f>'總表'!D50</f>
        <v/>
      </c>
      <c r="D13" s="5">
        <f>'總表'!F50</f>
        <v/>
      </c>
      <c r="E13" s="5">
        <f>'總表'!G50</f>
        <v/>
      </c>
      <c r="F13" s="40">
        <f>'總表'!H50</f>
        <v/>
      </c>
      <c r="G13" s="41">
        <f>'總表'!J50</f>
        <v/>
      </c>
      <c r="H13" s="9">
        <f>'總表'!L50</f>
        <v/>
      </c>
      <c r="I13" s="41">
        <f>'總表'!R50</f>
        <v/>
      </c>
      <c r="J13" s="41">
        <f>'總表'!S50</f>
        <v/>
      </c>
      <c r="K13" s="9">
        <f>'總表'!W50</f>
        <v/>
      </c>
      <c r="L13" s="9">
        <f>'總表'!X50</f>
        <v/>
      </c>
      <c r="M13" s="9">
        <f>'總表'!U50</f>
        <v/>
      </c>
      <c r="N13" s="5">
        <f>'總表'!AE50</f>
        <v/>
      </c>
      <c r="O13" s="5">
        <f>'總表'!AJ50</f>
        <v/>
      </c>
      <c r="P13" s="5">
        <f>'總表'!AK50</f>
        <v/>
      </c>
      <c r="Q13" s="9">
        <f>'總表'!AS50</f>
        <v/>
      </c>
      <c r="R13" s="5">
        <f>'總表'!AT50</f>
        <v/>
      </c>
      <c r="S13" s="11">
        <f>'總表'!AW50</f>
        <v/>
      </c>
      <c r="T13" s="17">
        <f>'總表'!BE50</f>
        <v/>
      </c>
      <c r="U13" s="17">
        <f>'總表'!BG50</f>
        <v/>
      </c>
      <c r="V13" s="17">
        <f>'總表'!BH50</f>
        <v/>
      </c>
      <c r="W13" s="17">
        <f>'總表'!BI50</f>
        <v/>
      </c>
      <c r="X13" s="17">
        <f>'總表'!BJ50</f>
        <v/>
      </c>
      <c r="Y13" s="18">
        <f>'總表'!BK50</f>
        <v/>
      </c>
      <c r="Z13" s="5">
        <f>'總表'!B50</f>
        <v/>
      </c>
    </row>
    <row r="14">
      <c r="A14" s="5" t="n">
        <v>13</v>
      </c>
      <c r="B14" s="6" t="inlineStr">
        <is>
          <t>NEU</t>
        </is>
      </c>
      <c r="C14" s="5">
        <f>'總表'!D53</f>
        <v/>
      </c>
      <c r="D14" s="5">
        <f>'總表'!F53</f>
        <v/>
      </c>
      <c r="E14" s="5">
        <f>'總表'!G53</f>
        <v/>
      </c>
      <c r="F14" s="40">
        <f>'總表'!H53</f>
        <v/>
      </c>
      <c r="G14" s="41">
        <f>'總表'!J53</f>
        <v/>
      </c>
      <c r="H14" s="9">
        <f>'總表'!L53</f>
        <v/>
      </c>
      <c r="I14" s="41">
        <f>'總表'!R53</f>
        <v/>
      </c>
      <c r="J14" s="41">
        <f>'總表'!S53</f>
        <v/>
      </c>
      <c r="K14" s="9">
        <f>'總表'!W53</f>
        <v/>
      </c>
      <c r="L14" s="9">
        <f>'總表'!X53</f>
        <v/>
      </c>
      <c r="M14" s="9">
        <f>'總表'!U53</f>
        <v/>
      </c>
      <c r="N14" s="19">
        <f>'總表'!AE53</f>
        <v/>
      </c>
      <c r="O14" s="5">
        <f>'總表'!AJ53</f>
        <v/>
      </c>
      <c r="P14" s="5">
        <f>'總表'!AK53</f>
        <v/>
      </c>
      <c r="Q14" s="9">
        <f>'總表'!AS53</f>
        <v/>
      </c>
      <c r="R14" s="5">
        <f>'總表'!AT53</f>
        <v/>
      </c>
      <c r="S14" s="11">
        <f>'總表'!AW53</f>
        <v/>
      </c>
      <c r="T14" s="17">
        <f>'總表'!BE53</f>
        <v/>
      </c>
      <c r="U14" s="17">
        <f>'總表'!BG53</f>
        <v/>
      </c>
      <c r="V14" s="17">
        <f>'總表'!BH53</f>
        <v/>
      </c>
      <c r="W14" s="17">
        <f>'總表'!BI53</f>
        <v/>
      </c>
      <c r="X14" s="17">
        <f>'總表'!BJ53</f>
        <v/>
      </c>
      <c r="Y14" s="18">
        <f>'總表'!BK53</f>
        <v/>
      </c>
      <c r="Z14" s="5">
        <f>'總表'!B53</f>
        <v/>
      </c>
    </row>
    <row r="15">
      <c r="A15" s="5" t="n">
        <v>14</v>
      </c>
      <c r="B15" s="6" t="inlineStr">
        <is>
          <t>HWKN</t>
        </is>
      </c>
      <c r="C15" s="5">
        <f>'總表'!D59</f>
        <v/>
      </c>
      <c r="D15" s="5">
        <f>'總表'!F59</f>
        <v/>
      </c>
      <c r="E15" s="5">
        <f>'總表'!G59</f>
        <v/>
      </c>
      <c r="F15" s="40">
        <f>'總表'!H59</f>
        <v/>
      </c>
      <c r="G15" s="41">
        <f>'總表'!J59</f>
        <v/>
      </c>
      <c r="H15" s="9">
        <f>'總表'!L59</f>
        <v/>
      </c>
      <c r="I15" s="41">
        <f>'總表'!R59</f>
        <v/>
      </c>
      <c r="J15" s="41">
        <f>'總表'!S59</f>
        <v/>
      </c>
      <c r="K15" s="9">
        <f>'總表'!W59</f>
        <v/>
      </c>
      <c r="L15" s="9">
        <f>'總表'!X59</f>
        <v/>
      </c>
      <c r="M15" s="9">
        <f>'總表'!U59</f>
        <v/>
      </c>
      <c r="N15" s="19">
        <f>'總表'!AE59</f>
        <v/>
      </c>
      <c r="O15" s="5">
        <f>'總表'!AJ59</f>
        <v/>
      </c>
      <c r="P15" s="5">
        <f>'總表'!AK59</f>
        <v/>
      </c>
      <c r="Q15" s="9">
        <f>'總表'!AS59</f>
        <v/>
      </c>
      <c r="R15" s="5">
        <f>'總表'!AT59</f>
        <v/>
      </c>
      <c r="S15" s="11">
        <f>'總表'!AW59</f>
        <v/>
      </c>
      <c r="T15" s="17">
        <f>'總表'!BE59</f>
        <v/>
      </c>
      <c r="U15" s="17">
        <f>'總表'!BG59</f>
        <v/>
      </c>
      <c r="V15" s="17">
        <f>'總表'!BH59</f>
        <v/>
      </c>
      <c r="W15" s="17">
        <f>'總表'!BI59</f>
        <v/>
      </c>
      <c r="X15" s="17">
        <f>'總表'!BJ59</f>
        <v/>
      </c>
      <c r="Y15" s="18">
        <f>'總表'!BK59</f>
        <v/>
      </c>
      <c r="Z15" s="5">
        <f>'總表'!B59</f>
        <v/>
      </c>
    </row>
    <row r="16">
      <c r="A16" s="5" t="n">
        <v>15</v>
      </c>
      <c r="B16" s="6" t="inlineStr">
        <is>
          <t>S</t>
        </is>
      </c>
      <c r="C16" s="5">
        <f>'總表'!D60</f>
        <v/>
      </c>
      <c r="D16" s="5">
        <f>'總表'!F60</f>
        <v/>
      </c>
      <c r="E16" s="5">
        <f>'總表'!G60</f>
        <v/>
      </c>
      <c r="F16" s="40">
        <f>'總表'!H60</f>
        <v/>
      </c>
      <c r="G16" s="41">
        <f>'總表'!J60</f>
        <v/>
      </c>
      <c r="H16" s="9">
        <f>'總表'!L60</f>
        <v/>
      </c>
      <c r="I16" s="41">
        <f>'總表'!R60</f>
        <v/>
      </c>
      <c r="J16" s="41">
        <f>'總表'!S60</f>
        <v/>
      </c>
      <c r="K16" s="9">
        <f>'總表'!W60</f>
        <v/>
      </c>
      <c r="L16" s="9">
        <f>'總表'!X60</f>
        <v/>
      </c>
      <c r="M16" s="9">
        <f>'總表'!U60</f>
        <v/>
      </c>
      <c r="N16" s="5">
        <f>'總表'!AE60</f>
        <v/>
      </c>
      <c r="O16" s="5">
        <f>'總表'!AJ60</f>
        <v/>
      </c>
      <c r="P16" s="5">
        <f>'總表'!AK60</f>
        <v/>
      </c>
      <c r="Q16" s="9">
        <f>'總表'!AS60</f>
        <v/>
      </c>
      <c r="R16" s="5">
        <f>'總表'!AT60</f>
        <v/>
      </c>
      <c r="S16" s="11">
        <f>'總表'!AW60</f>
        <v/>
      </c>
      <c r="T16" s="17">
        <f>'總表'!BE60</f>
        <v/>
      </c>
      <c r="U16" s="17">
        <f>'總表'!BG60</f>
        <v/>
      </c>
      <c r="V16" s="17">
        <f>'總表'!BH60</f>
        <v/>
      </c>
      <c r="W16" s="17">
        <f>'總表'!BI60</f>
        <v/>
      </c>
      <c r="X16" s="17">
        <f>'總表'!BJ60</f>
        <v/>
      </c>
      <c r="Y16" s="18">
        <f>'總表'!BK60</f>
        <v/>
      </c>
      <c r="Z16" s="5">
        <f>'總表'!B60</f>
        <v/>
      </c>
    </row>
    <row r="17">
      <c r="A17" s="5" t="n">
        <v>16</v>
      </c>
      <c r="B17" s="6" t="inlineStr">
        <is>
          <t>BRKR</t>
        </is>
      </c>
      <c r="C17" s="5">
        <f>'總表'!D61</f>
        <v/>
      </c>
      <c r="D17" s="5">
        <f>'總表'!F61</f>
        <v/>
      </c>
      <c r="E17" s="5">
        <f>'總表'!G61</f>
        <v/>
      </c>
      <c r="F17" s="40">
        <f>'總表'!H61</f>
        <v/>
      </c>
      <c r="G17" s="41">
        <f>'總表'!J61</f>
        <v/>
      </c>
      <c r="H17" s="9">
        <f>'總表'!L61</f>
        <v/>
      </c>
      <c r="I17" s="41">
        <f>'總表'!R61</f>
        <v/>
      </c>
      <c r="J17" s="41">
        <f>'總表'!S61</f>
        <v/>
      </c>
      <c r="K17" s="9">
        <f>'總表'!W61</f>
        <v/>
      </c>
      <c r="L17" s="9">
        <f>'總表'!X61</f>
        <v/>
      </c>
      <c r="M17" s="9">
        <f>'總表'!U61</f>
        <v/>
      </c>
      <c r="N17" s="5">
        <f>'總表'!AE61</f>
        <v/>
      </c>
      <c r="O17" s="5">
        <f>'總表'!AJ61</f>
        <v/>
      </c>
      <c r="P17" s="5">
        <f>'總表'!AK61</f>
        <v/>
      </c>
      <c r="Q17" s="9">
        <f>'總表'!AS61</f>
        <v/>
      </c>
      <c r="R17" s="5">
        <f>'總表'!AT61</f>
        <v/>
      </c>
      <c r="S17" s="11">
        <f>'總表'!AW61</f>
        <v/>
      </c>
      <c r="T17" s="17">
        <f>'總表'!BE61</f>
        <v/>
      </c>
      <c r="U17" s="17">
        <f>'總表'!BG61</f>
        <v/>
      </c>
      <c r="V17" s="17">
        <f>'總表'!BH61</f>
        <v/>
      </c>
      <c r="W17" s="17">
        <f>'總表'!BI61</f>
        <v/>
      </c>
      <c r="X17" s="17">
        <f>'總表'!BJ61</f>
        <v/>
      </c>
      <c r="Y17" s="18">
        <f>'總表'!BK61</f>
        <v/>
      </c>
      <c r="Z17" s="5">
        <f>'總表'!B61</f>
        <v/>
      </c>
    </row>
    <row r="18">
      <c r="A18" s="5" t="n">
        <v>17</v>
      </c>
      <c r="B18" s="6" t="inlineStr">
        <is>
          <t>XMTR</t>
        </is>
      </c>
      <c r="C18" s="5">
        <f>'總表'!D66</f>
        <v/>
      </c>
      <c r="D18" s="5">
        <f>'總表'!F66</f>
        <v/>
      </c>
      <c r="E18" s="5">
        <f>'總表'!G66</f>
        <v/>
      </c>
      <c r="F18" s="40">
        <f>'總表'!H66</f>
        <v/>
      </c>
      <c r="G18" s="41">
        <f>'總表'!J66</f>
        <v/>
      </c>
      <c r="H18" s="9">
        <f>'總表'!L66</f>
        <v/>
      </c>
      <c r="I18" s="41">
        <f>'總表'!R66</f>
        <v/>
      </c>
      <c r="J18" s="41">
        <f>'總表'!S66</f>
        <v/>
      </c>
      <c r="K18" s="9">
        <f>'總表'!W66</f>
        <v/>
      </c>
      <c r="L18" s="9">
        <f>'總表'!X66</f>
        <v/>
      </c>
      <c r="M18" s="9">
        <f>'總表'!U66</f>
        <v/>
      </c>
      <c r="N18" s="5">
        <f>'總表'!AE66</f>
        <v/>
      </c>
      <c r="O18" s="5">
        <f>'總表'!AJ66</f>
        <v/>
      </c>
      <c r="P18" s="5">
        <f>'總表'!AK66</f>
        <v/>
      </c>
      <c r="Q18" s="9">
        <f>'總表'!AS66</f>
        <v/>
      </c>
      <c r="R18" s="5">
        <f>'總表'!AT66</f>
        <v/>
      </c>
      <c r="S18" s="11">
        <f>'總表'!AW66</f>
        <v/>
      </c>
      <c r="T18" s="17">
        <f>'總表'!BE66</f>
        <v/>
      </c>
      <c r="U18" s="17">
        <f>'總表'!BG66</f>
        <v/>
      </c>
      <c r="V18" s="17">
        <f>'總表'!BH66</f>
        <v/>
      </c>
      <c r="W18" s="17">
        <f>'總表'!BI66</f>
        <v/>
      </c>
      <c r="X18" s="17">
        <f>'總表'!BJ66</f>
        <v/>
      </c>
      <c r="Y18" s="18">
        <f>'總表'!BK66</f>
        <v/>
      </c>
      <c r="Z18" s="5">
        <f>'總表'!B66</f>
        <v/>
      </c>
    </row>
    <row r="19">
      <c r="A19" s="5" t="n">
        <v>18</v>
      </c>
      <c r="B19" s="6" t="inlineStr">
        <is>
          <t>QLYS</t>
        </is>
      </c>
      <c r="C19" s="5">
        <f>'總表'!D67</f>
        <v/>
      </c>
      <c r="D19" s="5">
        <f>'總表'!F67</f>
        <v/>
      </c>
      <c r="E19" s="5">
        <f>'總表'!G67</f>
        <v/>
      </c>
      <c r="F19" s="40">
        <f>'總表'!H67</f>
        <v/>
      </c>
      <c r="G19" s="41">
        <f>'總表'!J67</f>
        <v/>
      </c>
      <c r="H19" s="9">
        <f>'總表'!L67</f>
        <v/>
      </c>
      <c r="I19" s="41">
        <f>'總表'!R67</f>
        <v/>
      </c>
      <c r="J19" s="41">
        <f>'總表'!S67</f>
        <v/>
      </c>
      <c r="K19" s="9">
        <f>'總表'!W67</f>
        <v/>
      </c>
      <c r="L19" s="9">
        <f>'總表'!X67</f>
        <v/>
      </c>
      <c r="M19" s="9">
        <f>'總表'!U67</f>
        <v/>
      </c>
      <c r="N19" s="5">
        <f>'總表'!AE67</f>
        <v/>
      </c>
      <c r="O19" s="5">
        <f>'總表'!AJ67</f>
        <v/>
      </c>
      <c r="P19" s="5">
        <f>'總表'!AK67</f>
        <v/>
      </c>
      <c r="Q19" s="9">
        <f>'總表'!AS67</f>
        <v/>
      </c>
      <c r="R19" s="5">
        <f>'總表'!AT67</f>
        <v/>
      </c>
      <c r="S19" s="11">
        <f>'總表'!AW67</f>
        <v/>
      </c>
      <c r="T19" s="17">
        <f>'總表'!BE67</f>
        <v/>
      </c>
      <c r="U19" s="17">
        <f>'總表'!BG67</f>
        <v/>
      </c>
      <c r="V19" s="17">
        <f>'總表'!BH67</f>
        <v/>
      </c>
      <c r="W19" s="17">
        <f>'總表'!BI67</f>
        <v/>
      </c>
      <c r="X19" s="17">
        <f>'總表'!BJ67</f>
        <v/>
      </c>
      <c r="Y19" s="18">
        <f>'總表'!BK67</f>
        <v/>
      </c>
      <c r="Z19" s="5">
        <f>'總表'!B67</f>
        <v/>
      </c>
    </row>
    <row r="20">
      <c r="A20" s="5" t="n">
        <v>19</v>
      </c>
      <c r="B20" s="6" t="inlineStr">
        <is>
          <t>BWIN</t>
        </is>
      </c>
      <c r="C20" s="5">
        <f>'總表'!D68</f>
        <v/>
      </c>
      <c r="D20" s="5">
        <f>'總表'!F68</f>
        <v/>
      </c>
      <c r="E20" s="5">
        <f>'總表'!G68</f>
        <v/>
      </c>
      <c r="F20" s="40">
        <f>'總表'!H68</f>
        <v/>
      </c>
      <c r="G20" s="41">
        <f>'總表'!J68</f>
        <v/>
      </c>
      <c r="H20" s="9">
        <f>'總表'!L68</f>
        <v/>
      </c>
      <c r="I20" s="41">
        <f>'總表'!R68</f>
        <v/>
      </c>
      <c r="J20" s="41">
        <f>'總表'!S68</f>
        <v/>
      </c>
      <c r="K20" s="9">
        <f>'總表'!W68</f>
        <v/>
      </c>
      <c r="L20" s="9">
        <f>'總表'!X68</f>
        <v/>
      </c>
      <c r="M20" s="9">
        <f>'總表'!U68</f>
        <v/>
      </c>
      <c r="N20" s="5">
        <f>'總表'!AE68</f>
        <v/>
      </c>
      <c r="O20" s="5">
        <f>'總表'!AJ68</f>
        <v/>
      </c>
      <c r="P20" s="5">
        <f>'總表'!AK68</f>
        <v/>
      </c>
      <c r="Q20" s="9">
        <f>'總表'!AS68</f>
        <v/>
      </c>
      <c r="R20" s="5">
        <f>'總表'!AT68</f>
        <v/>
      </c>
      <c r="S20" s="11">
        <f>'總表'!AW68</f>
        <v/>
      </c>
      <c r="T20" s="17">
        <f>'總表'!BE68</f>
        <v/>
      </c>
      <c r="U20" s="17">
        <f>'總表'!BG68</f>
        <v/>
      </c>
      <c r="V20" s="17">
        <f>'總表'!BH68</f>
        <v/>
      </c>
      <c r="W20" s="17">
        <f>'總表'!BI68</f>
        <v/>
      </c>
      <c r="X20" s="17">
        <f>'總表'!BJ68</f>
        <v/>
      </c>
      <c r="Y20" s="18">
        <f>'總表'!BK68</f>
        <v/>
      </c>
      <c r="Z20" s="5">
        <f>'總表'!B68</f>
        <v/>
      </c>
    </row>
    <row r="21">
      <c r="A21" s="5" t="n">
        <v>20</v>
      </c>
      <c r="B21" s="6" t="inlineStr">
        <is>
          <t>CRVL</t>
        </is>
      </c>
      <c r="C21" s="5">
        <f>'總表'!D70</f>
        <v/>
      </c>
      <c r="D21" s="5">
        <f>'總表'!F70</f>
        <v/>
      </c>
      <c r="E21" s="5">
        <f>'總表'!G70</f>
        <v/>
      </c>
      <c r="F21" s="40">
        <f>'總表'!H70</f>
        <v/>
      </c>
      <c r="G21" s="41">
        <f>'總表'!J70</f>
        <v/>
      </c>
      <c r="H21" s="9">
        <f>'總表'!L70</f>
        <v/>
      </c>
      <c r="I21" s="41">
        <f>'總表'!R70</f>
        <v/>
      </c>
      <c r="J21" s="41">
        <f>'總表'!S70</f>
        <v/>
      </c>
      <c r="K21" s="9">
        <f>'總表'!W70</f>
        <v/>
      </c>
      <c r="L21" s="9">
        <f>'總表'!X70</f>
        <v/>
      </c>
      <c r="M21" s="9">
        <f>'總表'!U70</f>
        <v/>
      </c>
      <c r="N21" s="5">
        <f>'總表'!AE70</f>
        <v/>
      </c>
      <c r="O21" s="5">
        <f>'總表'!AJ70</f>
        <v/>
      </c>
      <c r="P21" s="5">
        <f>'總表'!AK70</f>
        <v/>
      </c>
      <c r="Q21" s="9">
        <f>'總表'!AS70</f>
        <v/>
      </c>
      <c r="R21" s="5">
        <f>'總表'!AT70</f>
        <v/>
      </c>
      <c r="S21" s="11">
        <f>'總表'!AW70</f>
        <v/>
      </c>
      <c r="T21" s="17">
        <f>'總表'!BE70</f>
        <v/>
      </c>
      <c r="U21" s="17">
        <f>'總表'!BG70</f>
        <v/>
      </c>
      <c r="V21" s="17">
        <f>'總表'!BH70</f>
        <v/>
      </c>
      <c r="W21" s="17">
        <f>'總表'!BI70</f>
        <v/>
      </c>
      <c r="X21" s="17">
        <f>'總表'!BJ70</f>
        <v/>
      </c>
      <c r="Y21" s="18">
        <f>'總表'!BK70</f>
        <v/>
      </c>
      <c r="Z21" s="5">
        <f>'總表'!B70</f>
        <v/>
      </c>
    </row>
    <row r="22">
      <c r="A22" s="5" t="n">
        <v>21</v>
      </c>
      <c r="B22" s="6" t="inlineStr">
        <is>
          <t>M</t>
        </is>
      </c>
      <c r="C22" s="5">
        <f>'總表'!D74</f>
        <v/>
      </c>
      <c r="D22" s="5">
        <f>'總表'!F74</f>
        <v/>
      </c>
      <c r="E22" s="5">
        <f>'總表'!G74</f>
        <v/>
      </c>
      <c r="F22" s="40">
        <f>'總表'!H74</f>
        <v/>
      </c>
      <c r="G22" s="41">
        <f>'總表'!J74</f>
        <v/>
      </c>
      <c r="H22" s="9">
        <f>'總表'!L74</f>
        <v/>
      </c>
      <c r="I22" s="41">
        <f>'總表'!R74</f>
        <v/>
      </c>
      <c r="J22" s="41">
        <f>'總表'!S74</f>
        <v/>
      </c>
      <c r="K22" s="9">
        <f>'總表'!W74</f>
        <v/>
      </c>
      <c r="L22" s="9">
        <f>'總表'!X74</f>
        <v/>
      </c>
      <c r="M22" s="9">
        <f>'總表'!U74</f>
        <v/>
      </c>
      <c r="N22" s="19">
        <f>'總表'!AE74</f>
        <v/>
      </c>
      <c r="O22" s="5">
        <f>'總表'!AJ74</f>
        <v/>
      </c>
      <c r="P22" s="5">
        <f>'總表'!AK74</f>
        <v/>
      </c>
      <c r="Q22" s="9">
        <f>'總表'!AS74</f>
        <v/>
      </c>
      <c r="R22" s="5">
        <f>'總表'!AT74</f>
        <v/>
      </c>
      <c r="S22" s="11">
        <f>'總表'!AW74</f>
        <v/>
      </c>
      <c r="T22" s="17">
        <f>'總表'!BE74</f>
        <v/>
      </c>
      <c r="U22" s="17">
        <f>'總表'!BG74</f>
        <v/>
      </c>
      <c r="V22" s="17">
        <f>'總表'!BH74</f>
        <v/>
      </c>
      <c r="W22" s="17">
        <f>'總表'!BI74</f>
        <v/>
      </c>
      <c r="X22" s="17">
        <f>'總表'!BJ74</f>
        <v/>
      </c>
      <c r="Y22" s="18">
        <f>'總表'!BK74</f>
        <v/>
      </c>
      <c r="Z22" s="5">
        <f>'總表'!B74</f>
        <v/>
      </c>
    </row>
    <row r="23">
      <c r="A23" s="5" t="n">
        <v>22</v>
      </c>
      <c r="B23" s="6" t="inlineStr">
        <is>
          <t>ITGR</t>
        </is>
      </c>
      <c r="C23" s="5">
        <f>'總表'!D75</f>
        <v/>
      </c>
      <c r="D23" s="5">
        <f>'總表'!F75</f>
        <v/>
      </c>
      <c r="E23" s="5">
        <f>'總表'!G75</f>
        <v/>
      </c>
      <c r="F23" s="40">
        <f>'總表'!H75</f>
        <v/>
      </c>
      <c r="G23" s="41">
        <f>'總表'!J75</f>
        <v/>
      </c>
      <c r="H23" s="9">
        <f>'總表'!L75</f>
        <v/>
      </c>
      <c r="I23" s="41">
        <f>'總表'!R75</f>
        <v/>
      </c>
      <c r="J23" s="41">
        <f>'總表'!S75</f>
        <v/>
      </c>
      <c r="K23" s="9">
        <f>'總表'!W75</f>
        <v/>
      </c>
      <c r="L23" s="9">
        <f>'總表'!X75</f>
        <v/>
      </c>
      <c r="M23" s="9">
        <f>'總表'!U75</f>
        <v/>
      </c>
      <c r="N23" s="5">
        <f>'總表'!AE75</f>
        <v/>
      </c>
      <c r="O23" s="5">
        <f>'總表'!AJ75</f>
        <v/>
      </c>
      <c r="P23" s="5">
        <f>'總表'!AK75</f>
        <v/>
      </c>
      <c r="Q23" s="9">
        <f>'總表'!AS75</f>
        <v/>
      </c>
      <c r="R23" s="5">
        <f>'總表'!AT75</f>
        <v/>
      </c>
      <c r="S23" s="11">
        <f>'總表'!AW75</f>
        <v/>
      </c>
      <c r="T23" s="17">
        <f>'總表'!BE75</f>
        <v/>
      </c>
      <c r="U23" s="17">
        <f>'總表'!BG75</f>
        <v/>
      </c>
      <c r="V23" s="17">
        <f>'總表'!BH75</f>
        <v/>
      </c>
      <c r="W23" s="17">
        <f>'總表'!BI75</f>
        <v/>
      </c>
      <c r="X23" s="17">
        <f>'總表'!BJ75</f>
        <v/>
      </c>
      <c r="Y23" s="18">
        <f>'總表'!BK75</f>
        <v/>
      </c>
      <c r="Z23" s="5">
        <f>'總表'!B75</f>
        <v/>
      </c>
    </row>
    <row r="24">
      <c r="A24" s="5" t="n">
        <v>23</v>
      </c>
      <c r="B24" s="6" t="inlineStr">
        <is>
          <t>AMBA</t>
        </is>
      </c>
      <c r="C24" s="5">
        <f>'總表'!D79</f>
        <v/>
      </c>
      <c r="D24" s="5">
        <f>'總表'!F79</f>
        <v/>
      </c>
      <c r="E24" s="5">
        <f>'總表'!G79</f>
        <v/>
      </c>
      <c r="F24" s="40">
        <f>'總表'!H79</f>
        <v/>
      </c>
      <c r="G24" s="41">
        <f>'總表'!J79</f>
        <v/>
      </c>
      <c r="H24" s="9">
        <f>'總表'!L79</f>
        <v/>
      </c>
      <c r="I24" s="41">
        <f>'總表'!R79</f>
        <v/>
      </c>
      <c r="J24" s="41">
        <f>'總表'!S79</f>
        <v/>
      </c>
      <c r="K24" s="9">
        <f>'總表'!W79</f>
        <v/>
      </c>
      <c r="L24" s="9">
        <f>'總表'!X79</f>
        <v/>
      </c>
      <c r="M24" s="9">
        <f>'總表'!U79</f>
        <v/>
      </c>
      <c r="N24" s="19">
        <f>'總表'!AE79</f>
        <v/>
      </c>
      <c r="O24" s="5">
        <f>'總表'!AJ79</f>
        <v/>
      </c>
      <c r="P24" s="5">
        <f>'總表'!AK79</f>
        <v/>
      </c>
      <c r="Q24" s="9">
        <f>'總表'!AS79</f>
        <v/>
      </c>
      <c r="R24" s="5">
        <f>'總表'!AT79</f>
        <v/>
      </c>
      <c r="S24" s="11">
        <f>'總表'!AW79</f>
        <v/>
      </c>
      <c r="T24" s="17">
        <f>'總表'!BE79</f>
        <v/>
      </c>
      <c r="U24" s="17">
        <f>'總表'!BG79</f>
        <v/>
      </c>
      <c r="V24" s="17">
        <f>'總表'!BH79</f>
        <v/>
      </c>
      <c r="W24" s="17">
        <f>'總表'!BI79</f>
        <v/>
      </c>
      <c r="X24" s="17">
        <f>'總表'!BJ79</f>
        <v/>
      </c>
      <c r="Y24" s="18">
        <f>'總表'!BK79</f>
        <v/>
      </c>
      <c r="Z24" s="5">
        <f>'總表'!B79</f>
        <v/>
      </c>
    </row>
    <row r="25">
      <c r="A25" s="5" t="n">
        <v>24</v>
      </c>
      <c r="B25" s="6" t="inlineStr">
        <is>
          <t>SLAB</t>
        </is>
      </c>
      <c r="C25" s="5">
        <f>'總表'!D84</f>
        <v/>
      </c>
      <c r="D25" s="5">
        <f>'總表'!F84</f>
        <v/>
      </c>
      <c r="E25" s="5">
        <f>'總表'!G84</f>
        <v/>
      </c>
      <c r="F25" s="40">
        <f>'總表'!H84</f>
        <v/>
      </c>
      <c r="G25" s="41">
        <f>'總表'!J84</f>
        <v/>
      </c>
      <c r="H25" s="9">
        <f>'總表'!L84</f>
        <v/>
      </c>
      <c r="I25" s="41">
        <f>'總表'!R84</f>
        <v/>
      </c>
      <c r="J25" s="41">
        <f>'總表'!S84</f>
        <v/>
      </c>
      <c r="K25" s="9">
        <f>'總表'!W84</f>
        <v/>
      </c>
      <c r="L25" s="9">
        <f>'總表'!X84</f>
        <v/>
      </c>
      <c r="M25" s="9">
        <f>'總表'!U84</f>
        <v/>
      </c>
      <c r="N25" s="5">
        <f>'總表'!AE84</f>
        <v/>
      </c>
      <c r="O25" s="5">
        <f>'總表'!AJ84</f>
        <v/>
      </c>
      <c r="P25" s="5">
        <f>'總表'!AK84</f>
        <v/>
      </c>
      <c r="Q25" s="9">
        <f>'總表'!AS84</f>
        <v/>
      </c>
      <c r="R25" s="5">
        <f>'總表'!AT84</f>
        <v/>
      </c>
      <c r="S25" s="11">
        <f>'總表'!AW84</f>
        <v/>
      </c>
      <c r="T25" s="17">
        <f>'總表'!BE84</f>
        <v/>
      </c>
      <c r="U25" s="17">
        <f>'總表'!BG84</f>
        <v/>
      </c>
      <c r="V25" s="17">
        <f>'總表'!BH84</f>
        <v/>
      </c>
      <c r="W25" s="17">
        <f>'總表'!BI84</f>
        <v/>
      </c>
      <c r="X25" s="17">
        <f>'總表'!BJ84</f>
        <v/>
      </c>
      <c r="Y25" s="18">
        <f>'總表'!BK84</f>
        <v/>
      </c>
      <c r="Z25" s="5">
        <f>'總表'!B84</f>
        <v/>
      </c>
    </row>
    <row r="26">
      <c r="A26" s="5" t="n">
        <v>25</v>
      </c>
      <c r="B26" s="6" t="inlineStr">
        <is>
          <t>AMG</t>
        </is>
      </c>
      <c r="C26" s="5">
        <f>'總表'!D88</f>
        <v/>
      </c>
      <c r="D26" s="5">
        <f>'總表'!F88</f>
        <v/>
      </c>
      <c r="E26" s="5">
        <f>'總表'!G88</f>
        <v/>
      </c>
      <c r="F26" s="40">
        <f>'總表'!H88</f>
        <v/>
      </c>
      <c r="G26" s="41">
        <f>'總表'!J88</f>
        <v/>
      </c>
      <c r="H26" s="9">
        <f>'總表'!L88</f>
        <v/>
      </c>
      <c r="I26" s="41">
        <f>'總表'!R88</f>
        <v/>
      </c>
      <c r="J26" s="41">
        <f>'總表'!S88</f>
        <v/>
      </c>
      <c r="K26" s="9">
        <f>'總表'!W88</f>
        <v/>
      </c>
      <c r="L26" s="9">
        <f>'總表'!X88</f>
        <v/>
      </c>
      <c r="M26" s="9">
        <f>'總表'!U88</f>
        <v/>
      </c>
      <c r="N26" s="19">
        <f>'總表'!AE88</f>
        <v/>
      </c>
      <c r="O26" s="5">
        <f>'總表'!AJ88</f>
        <v/>
      </c>
      <c r="P26" s="5">
        <f>'總表'!AK88</f>
        <v/>
      </c>
      <c r="Q26" s="9">
        <f>'總表'!AS88</f>
        <v/>
      </c>
      <c r="R26" s="5">
        <f>'總表'!AT88</f>
        <v/>
      </c>
      <c r="S26" s="11">
        <f>'總表'!AW88</f>
        <v/>
      </c>
      <c r="T26" s="17">
        <f>'總表'!BE88</f>
        <v/>
      </c>
      <c r="U26" s="17">
        <f>'總表'!BG88</f>
        <v/>
      </c>
      <c r="V26" s="17">
        <f>'總表'!BH88</f>
        <v/>
      </c>
      <c r="W26" s="17">
        <f>'總表'!BI88</f>
        <v/>
      </c>
      <c r="X26" s="17">
        <f>'總表'!BJ88</f>
        <v/>
      </c>
      <c r="Y26" s="18">
        <f>'總表'!BK88</f>
        <v/>
      </c>
      <c r="Z26" s="5">
        <f>'總表'!B88</f>
        <v/>
      </c>
    </row>
    <row r="27">
      <c r="A27" s="5" t="n">
        <v>26</v>
      </c>
      <c r="B27" s="6" t="inlineStr">
        <is>
          <t>WAY</t>
        </is>
      </c>
      <c r="C27" s="5">
        <f>'總表'!D90</f>
        <v/>
      </c>
      <c r="D27" s="5">
        <f>'總表'!F90</f>
        <v/>
      </c>
      <c r="E27" s="5">
        <f>'總表'!G90</f>
        <v/>
      </c>
      <c r="F27" s="40">
        <f>'總表'!H90</f>
        <v/>
      </c>
      <c r="G27" s="41">
        <f>'總表'!J90</f>
        <v/>
      </c>
      <c r="H27" s="9">
        <f>'總表'!L90</f>
        <v/>
      </c>
      <c r="I27" s="41">
        <f>'總表'!R90</f>
        <v/>
      </c>
      <c r="J27" s="41">
        <f>'總表'!S90</f>
        <v/>
      </c>
      <c r="K27" s="9">
        <f>'總表'!W90</f>
        <v/>
      </c>
      <c r="L27" s="9">
        <f>'總表'!X90</f>
        <v/>
      </c>
      <c r="M27" s="9">
        <f>'總表'!U90</f>
        <v/>
      </c>
      <c r="N27" s="5">
        <f>'總表'!AE90</f>
        <v/>
      </c>
      <c r="O27" s="5">
        <f>'總表'!AJ90</f>
        <v/>
      </c>
      <c r="P27" s="5">
        <f>'總表'!AK90</f>
        <v/>
      </c>
      <c r="Q27" s="9">
        <f>'總表'!AS90</f>
        <v/>
      </c>
      <c r="R27" s="5">
        <f>'總表'!AT90</f>
        <v/>
      </c>
      <c r="S27" s="11">
        <f>'總表'!AW90</f>
        <v/>
      </c>
      <c r="T27" s="17">
        <f>'總表'!BE90</f>
        <v/>
      </c>
      <c r="U27" s="17">
        <f>'總表'!BG90</f>
        <v/>
      </c>
      <c r="V27" s="17">
        <f>'總表'!BH90</f>
        <v/>
      </c>
      <c r="W27" s="17">
        <f>'總表'!BI90</f>
        <v/>
      </c>
      <c r="X27" s="17">
        <f>'總表'!BJ90</f>
        <v/>
      </c>
      <c r="Y27" s="18">
        <f>'總表'!BK90</f>
        <v/>
      </c>
      <c r="Z27" s="5">
        <f>'總表'!B90</f>
        <v/>
      </c>
    </row>
    <row r="28">
      <c r="A28" s="5" t="n">
        <v>27</v>
      </c>
      <c r="B28" s="6" t="inlineStr">
        <is>
          <t>TXNM</t>
        </is>
      </c>
      <c r="C28" s="5">
        <f>'總表'!D91</f>
        <v/>
      </c>
      <c r="D28" s="5">
        <f>'總表'!F91</f>
        <v/>
      </c>
      <c r="E28" s="5">
        <f>'總表'!G91</f>
        <v/>
      </c>
      <c r="F28" s="40">
        <f>'總表'!H91</f>
        <v/>
      </c>
      <c r="G28" s="41">
        <f>'總表'!J91</f>
        <v/>
      </c>
      <c r="H28" s="9">
        <f>'總表'!L91</f>
        <v/>
      </c>
      <c r="I28" s="41">
        <f>'總表'!R91</f>
        <v/>
      </c>
      <c r="J28" s="41">
        <f>'總表'!S91</f>
        <v/>
      </c>
      <c r="K28" s="9">
        <f>'總表'!W91</f>
        <v/>
      </c>
      <c r="L28" s="9">
        <f>'總表'!X91</f>
        <v/>
      </c>
      <c r="M28" s="9">
        <f>'總表'!U91</f>
        <v/>
      </c>
      <c r="N28" s="5">
        <f>'總表'!AE91</f>
        <v/>
      </c>
      <c r="O28" s="5">
        <f>'總表'!AJ91</f>
        <v/>
      </c>
      <c r="P28" s="5">
        <f>'總表'!AK91</f>
        <v/>
      </c>
      <c r="Q28" s="9">
        <f>'總表'!AS91</f>
        <v/>
      </c>
      <c r="R28" s="5">
        <f>'總表'!AT91</f>
        <v/>
      </c>
      <c r="S28" s="11">
        <f>'總表'!AW91</f>
        <v/>
      </c>
      <c r="T28" s="17">
        <f>'總表'!BE91</f>
        <v/>
      </c>
      <c r="U28" s="17">
        <f>'總表'!BG91</f>
        <v/>
      </c>
      <c r="V28" s="17">
        <f>'總表'!BH91</f>
        <v/>
      </c>
      <c r="W28" s="17">
        <f>'總表'!BI91</f>
        <v/>
      </c>
      <c r="X28" s="17">
        <f>'總表'!BJ91</f>
        <v/>
      </c>
      <c r="Y28" s="18">
        <f>'總表'!BK91</f>
        <v/>
      </c>
      <c r="Z28" s="5">
        <f>'總表'!B91</f>
        <v/>
      </c>
    </row>
    <row r="29">
      <c r="A29" s="5" t="n">
        <v>28</v>
      </c>
      <c r="B29" s="6" t="inlineStr">
        <is>
          <t>MKTX</t>
        </is>
      </c>
      <c r="C29" s="5">
        <f>'總表'!D93</f>
        <v/>
      </c>
      <c r="D29" s="5">
        <f>'總表'!F93</f>
        <v/>
      </c>
      <c r="E29" s="5">
        <f>'總表'!G93</f>
        <v/>
      </c>
      <c r="F29" s="40">
        <f>'總表'!H93</f>
        <v/>
      </c>
      <c r="G29" s="41">
        <f>'總表'!J93</f>
        <v/>
      </c>
      <c r="H29" s="9">
        <f>'總表'!L93</f>
        <v/>
      </c>
      <c r="I29" s="41">
        <f>'總表'!R93</f>
        <v/>
      </c>
      <c r="J29" s="41">
        <f>'總表'!S93</f>
        <v/>
      </c>
      <c r="K29" s="9">
        <f>'總表'!W93</f>
        <v/>
      </c>
      <c r="L29" s="9">
        <f>'總表'!X93</f>
        <v/>
      </c>
      <c r="M29" s="9">
        <f>'總表'!U93</f>
        <v/>
      </c>
      <c r="N29" s="5">
        <f>'總表'!AE93</f>
        <v/>
      </c>
      <c r="O29" s="5">
        <f>'總表'!AJ93</f>
        <v/>
      </c>
      <c r="P29" s="5">
        <f>'總表'!AK93</f>
        <v/>
      </c>
      <c r="Q29" s="9">
        <f>'總表'!AS93</f>
        <v/>
      </c>
      <c r="R29" s="5">
        <f>'總表'!AT93</f>
        <v/>
      </c>
      <c r="S29" s="11">
        <f>'總表'!AW93</f>
        <v/>
      </c>
      <c r="T29" s="17">
        <f>'總表'!BE93</f>
        <v/>
      </c>
      <c r="U29" s="17">
        <f>'總表'!BG93</f>
        <v/>
      </c>
      <c r="V29" s="17">
        <f>'總表'!BH93</f>
        <v/>
      </c>
      <c r="W29" s="17">
        <f>'總表'!BI93</f>
        <v/>
      </c>
      <c r="X29" s="17">
        <f>'總表'!BJ93</f>
        <v/>
      </c>
      <c r="Y29" s="18">
        <f>'總表'!BK93</f>
        <v/>
      </c>
      <c r="Z29" s="5">
        <f>'總表'!B93</f>
        <v/>
      </c>
    </row>
    <row r="30">
      <c r="A30" s="5" t="n">
        <v>29</v>
      </c>
      <c r="B30" s="6" t="inlineStr">
        <is>
          <t>ATKR</t>
        </is>
      </c>
      <c r="C30" s="5">
        <f>'總表'!D95</f>
        <v/>
      </c>
      <c r="D30" s="5">
        <f>'總表'!F95</f>
        <v/>
      </c>
      <c r="E30" s="5">
        <f>'總表'!G95</f>
        <v/>
      </c>
      <c r="F30" s="40">
        <f>'總表'!H95</f>
        <v/>
      </c>
      <c r="G30" s="41">
        <f>'總表'!J95</f>
        <v/>
      </c>
      <c r="H30" s="9">
        <f>'總表'!L95</f>
        <v/>
      </c>
      <c r="I30" s="41">
        <f>'總表'!R95</f>
        <v/>
      </c>
      <c r="J30" s="41">
        <f>'總表'!S95</f>
        <v/>
      </c>
      <c r="K30" s="9">
        <f>'總表'!W95</f>
        <v/>
      </c>
      <c r="L30" s="9">
        <f>'總表'!X95</f>
        <v/>
      </c>
      <c r="M30" s="9">
        <f>'總表'!U95</f>
        <v/>
      </c>
      <c r="N30" s="5">
        <f>'總表'!AE95</f>
        <v/>
      </c>
      <c r="O30" s="5">
        <f>'總表'!AJ95</f>
        <v/>
      </c>
      <c r="P30" s="5">
        <f>'總表'!AK95</f>
        <v/>
      </c>
      <c r="Q30" s="9">
        <f>'總表'!AS95</f>
        <v/>
      </c>
      <c r="R30" s="5">
        <f>'總表'!AT95</f>
        <v/>
      </c>
      <c r="S30" s="11">
        <f>'總表'!AW95</f>
        <v/>
      </c>
      <c r="T30" s="17">
        <f>'總表'!BE95</f>
        <v/>
      </c>
      <c r="U30" s="17">
        <f>'總表'!BG95</f>
        <v/>
      </c>
      <c r="V30" s="17">
        <f>'總表'!BH95</f>
        <v/>
      </c>
      <c r="W30" s="17">
        <f>'總表'!BI95</f>
        <v/>
      </c>
      <c r="X30" s="17">
        <f>'總表'!BJ95</f>
        <v/>
      </c>
      <c r="Y30" s="18">
        <f>'總表'!BK95</f>
        <v/>
      </c>
      <c r="Z30" s="5">
        <f>'總表'!B95</f>
        <v/>
      </c>
    </row>
    <row r="31">
      <c r="A31" s="5" t="n">
        <v>30</v>
      </c>
      <c r="B31" s="6" t="inlineStr">
        <is>
          <t>COLM</t>
        </is>
      </c>
      <c r="C31" s="5">
        <f>'總表'!D96</f>
        <v/>
      </c>
      <c r="D31" s="5">
        <f>'總表'!F96</f>
        <v/>
      </c>
      <c r="E31" s="5">
        <f>'總表'!G96</f>
        <v/>
      </c>
      <c r="F31" s="40">
        <f>'總表'!H96</f>
        <v/>
      </c>
      <c r="G31" s="41">
        <f>'總表'!J96</f>
        <v/>
      </c>
      <c r="H31" s="9">
        <f>'總表'!L96</f>
        <v/>
      </c>
      <c r="I31" s="41">
        <f>'總表'!R96</f>
        <v/>
      </c>
      <c r="J31" s="41">
        <f>'總表'!S96</f>
        <v/>
      </c>
      <c r="K31" s="9">
        <f>'總表'!W96</f>
        <v/>
      </c>
      <c r="L31" s="9">
        <f>'總表'!X96</f>
        <v/>
      </c>
      <c r="M31" s="9">
        <f>'總表'!U96</f>
        <v/>
      </c>
      <c r="N31" s="19">
        <f>'總表'!AE96</f>
        <v/>
      </c>
      <c r="O31" s="5">
        <f>'總表'!AJ96</f>
        <v/>
      </c>
      <c r="P31" s="5">
        <f>'總表'!AK96</f>
        <v/>
      </c>
      <c r="Q31" s="9">
        <f>'總表'!AS96</f>
        <v/>
      </c>
      <c r="R31" s="5">
        <f>'總表'!AT96</f>
        <v/>
      </c>
      <c r="S31" s="11">
        <f>'總表'!AW96</f>
        <v/>
      </c>
      <c r="T31" s="17">
        <f>'總表'!BE96</f>
        <v/>
      </c>
      <c r="U31" s="17">
        <f>'總表'!BG96</f>
        <v/>
      </c>
      <c r="V31" s="17">
        <f>'總表'!BH96</f>
        <v/>
      </c>
      <c r="W31" s="17">
        <f>'總表'!BI96</f>
        <v/>
      </c>
      <c r="X31" s="17">
        <f>'總表'!BJ96</f>
        <v/>
      </c>
      <c r="Y31" s="18">
        <f>'總表'!BK96</f>
        <v/>
      </c>
      <c r="Z31" s="5">
        <f>'總表'!B96</f>
        <v/>
      </c>
    </row>
    <row r="33">
      <c r="A33" s="42" t="inlineStr">
        <is>
          <t>中型股（市值 $20–100 億）：第一梯隊入面屬呢個市值組嘅股票，每格都係引用總表同一行，改總表會跟住變。</t>
        </is>
      </c>
    </row>
  </sheetData>
  <autoFilter ref="A1:Z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24" customWidth="1" min="5" max="5"/>
    <col width="9" customWidth="1" min="6" max="6"/>
    <col width="9" customWidth="1" min="7" max="7"/>
    <col width="7" customWidth="1" min="8" max="8"/>
    <col width="9" customWidth="1" min="9" max="9"/>
    <col width="9" customWidth="1" min="10" max="10"/>
    <col width="7" customWidth="1" min="11" max="11"/>
    <col width="7" customWidth="1" min="12" max="12"/>
    <col width="7" customWidth="1" min="13" max="13"/>
    <col width="9" customWidth="1" min="14" max="14"/>
    <col width="6" customWidth="1" min="15" max="15"/>
    <col width="6" customWidth="1" min="16" max="16"/>
    <col width="7" customWidth="1" min="17" max="17"/>
    <col width="13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6" customWidth="1" min="26" max="26"/>
  </cols>
  <sheetData>
    <row r="1" ht="42" customHeight="1">
      <c r="A1" s="4" t="inlineStr">
        <is>
          <t>組內排名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市值(十億美元)</t>
        </is>
      </c>
      <c r="G1" s="4" t="inlineStr">
        <is>
          <t>收市價</t>
        </is>
      </c>
      <c r="H1" s="4" t="inlineStr">
        <is>
          <t>當日%</t>
        </is>
      </c>
      <c r="I1" s="4" t="inlineStr">
        <is>
          <t>EMA9</t>
        </is>
      </c>
      <c r="J1" s="4" t="inlineStr">
        <is>
          <t>EMA21</t>
        </is>
      </c>
      <c r="K1" s="4" t="inlineStr">
        <is>
          <t>距EMA9%</t>
        </is>
      </c>
      <c r="L1" s="4" t="inlineStr">
        <is>
          <t>距EMA21%</t>
        </is>
      </c>
      <c r="M1" s="4" t="inlineStr">
        <is>
          <t>EMA21 5日斜率%</t>
        </is>
      </c>
      <c r="N1" s="4" t="inlineStr">
        <is>
          <t>9/21狀態</t>
        </is>
      </c>
      <c r="O1" s="4" t="inlineStr">
        <is>
          <t>金叉後日數</t>
        </is>
      </c>
      <c r="P1" s="4" t="inlineStr">
        <is>
          <t>連續上升底數目</t>
        </is>
      </c>
      <c r="Q1" s="4" t="inlineStr">
        <is>
          <t>距15日高%</t>
        </is>
      </c>
      <c r="R1" s="4" t="inlineStr">
        <is>
          <t>形態（25日）</t>
        </is>
      </c>
      <c r="S1" s="4" t="inlineStr">
        <is>
          <t>重心</t>
        </is>
      </c>
      <c r="T1" s="4" t="inlineStr">
        <is>
          <t>RS21%</t>
        </is>
      </c>
      <c r="U1" s="4" t="inlineStr">
        <is>
          <t>趨勢分數</t>
        </is>
      </c>
      <c r="V1" s="4" t="inlineStr">
        <is>
          <t>回調質素</t>
        </is>
      </c>
      <c r="W1" s="4" t="inlineStr">
        <is>
          <t>底部結構</t>
        </is>
      </c>
      <c r="X1" s="4" t="inlineStr">
        <is>
          <t>三角形分數</t>
        </is>
      </c>
      <c r="Y1" s="4" t="inlineStr">
        <is>
          <t>綜合分數</t>
        </is>
      </c>
      <c r="Z1" s="4" t="inlineStr">
        <is>
          <t>總表排名</t>
        </is>
      </c>
    </row>
    <row r="2">
      <c r="A2" s="5" t="n">
        <v>1</v>
      </c>
      <c r="B2" s="6" t="inlineStr">
        <is>
          <t>JILL</t>
        </is>
      </c>
      <c r="C2" s="5">
        <f>'總表'!D2</f>
        <v/>
      </c>
      <c r="D2" s="5">
        <f>'總表'!F2</f>
        <v/>
      </c>
      <c r="E2" s="5">
        <f>'總表'!G2</f>
        <v/>
      </c>
      <c r="F2" s="40">
        <f>'總表'!H2</f>
        <v/>
      </c>
      <c r="G2" s="41">
        <f>'總表'!J2</f>
        <v/>
      </c>
      <c r="H2" s="9">
        <f>'總表'!L2</f>
        <v/>
      </c>
      <c r="I2" s="41">
        <f>'總表'!R2</f>
        <v/>
      </c>
      <c r="J2" s="41">
        <f>'總表'!S2</f>
        <v/>
      </c>
      <c r="K2" s="9">
        <f>'總表'!W2</f>
        <v/>
      </c>
      <c r="L2" s="9">
        <f>'總表'!X2</f>
        <v/>
      </c>
      <c r="M2" s="9">
        <f>'總表'!U2</f>
        <v/>
      </c>
      <c r="N2" s="5">
        <f>'總表'!AE2</f>
        <v/>
      </c>
      <c r="O2" s="5">
        <f>'總表'!AJ2</f>
        <v/>
      </c>
      <c r="P2" s="5">
        <f>'總表'!AK2</f>
        <v/>
      </c>
      <c r="Q2" s="9">
        <f>'總表'!AS2</f>
        <v/>
      </c>
      <c r="R2" s="5">
        <f>'總表'!AT2</f>
        <v/>
      </c>
      <c r="S2" s="11">
        <f>'總表'!AW2</f>
        <v/>
      </c>
      <c r="T2" s="17">
        <f>'總表'!BE2</f>
        <v/>
      </c>
      <c r="U2" s="17">
        <f>'總表'!BG2</f>
        <v/>
      </c>
      <c r="V2" s="17">
        <f>'總表'!BH2</f>
        <v/>
      </c>
      <c r="W2" s="17">
        <f>'總表'!BI2</f>
        <v/>
      </c>
      <c r="X2" s="17">
        <f>'總表'!BJ2</f>
        <v/>
      </c>
      <c r="Y2" s="18">
        <f>'總表'!BK2</f>
        <v/>
      </c>
      <c r="Z2" s="5">
        <f>'總表'!B2</f>
        <v/>
      </c>
    </row>
    <row r="3">
      <c r="A3" s="5" t="n">
        <v>2</v>
      </c>
      <c r="B3" s="6" t="inlineStr">
        <is>
          <t>PPIH</t>
        </is>
      </c>
      <c r="C3" s="5">
        <f>'總表'!D3</f>
        <v/>
      </c>
      <c r="D3" s="5">
        <f>'總表'!F3</f>
        <v/>
      </c>
      <c r="E3" s="5">
        <f>'總表'!G3</f>
        <v/>
      </c>
      <c r="F3" s="40">
        <f>'總表'!H3</f>
        <v/>
      </c>
      <c r="G3" s="41">
        <f>'總表'!J3</f>
        <v/>
      </c>
      <c r="H3" s="9">
        <f>'總表'!L3</f>
        <v/>
      </c>
      <c r="I3" s="41">
        <f>'總表'!R3</f>
        <v/>
      </c>
      <c r="J3" s="41">
        <f>'總表'!S3</f>
        <v/>
      </c>
      <c r="K3" s="9">
        <f>'總表'!W3</f>
        <v/>
      </c>
      <c r="L3" s="9">
        <f>'總表'!X3</f>
        <v/>
      </c>
      <c r="M3" s="9">
        <f>'總表'!U3</f>
        <v/>
      </c>
      <c r="N3" s="5">
        <f>'總表'!AE3</f>
        <v/>
      </c>
      <c r="O3" s="5">
        <f>'總表'!AJ3</f>
        <v/>
      </c>
      <c r="P3" s="5">
        <f>'總表'!AK3</f>
        <v/>
      </c>
      <c r="Q3" s="9">
        <f>'總表'!AS3</f>
        <v/>
      </c>
      <c r="R3" s="5">
        <f>'總表'!AT3</f>
        <v/>
      </c>
      <c r="S3" s="11">
        <f>'總表'!AW3</f>
        <v/>
      </c>
      <c r="T3" s="17">
        <f>'總表'!BE3</f>
        <v/>
      </c>
      <c r="U3" s="17">
        <f>'總表'!BG3</f>
        <v/>
      </c>
      <c r="V3" s="17">
        <f>'總表'!BH3</f>
        <v/>
      </c>
      <c r="W3" s="17">
        <f>'總表'!BI3</f>
        <v/>
      </c>
      <c r="X3" s="17">
        <f>'總表'!BJ3</f>
        <v/>
      </c>
      <c r="Y3" s="18">
        <f>'總表'!BK3</f>
        <v/>
      </c>
      <c r="Z3" s="5">
        <f>'總表'!B3</f>
        <v/>
      </c>
    </row>
    <row r="4">
      <c r="A4" s="5" t="n">
        <v>3</v>
      </c>
      <c r="B4" s="6" t="inlineStr">
        <is>
          <t>MG</t>
        </is>
      </c>
      <c r="C4" s="5">
        <f>'總表'!D4</f>
        <v/>
      </c>
      <c r="D4" s="5">
        <f>'總表'!F4</f>
        <v/>
      </c>
      <c r="E4" s="5">
        <f>'總表'!G4</f>
        <v/>
      </c>
      <c r="F4" s="40">
        <f>'總表'!H4</f>
        <v/>
      </c>
      <c r="G4" s="41">
        <f>'總表'!J4</f>
        <v/>
      </c>
      <c r="H4" s="9">
        <f>'總表'!L4</f>
        <v/>
      </c>
      <c r="I4" s="41">
        <f>'總表'!R4</f>
        <v/>
      </c>
      <c r="J4" s="41">
        <f>'總表'!S4</f>
        <v/>
      </c>
      <c r="K4" s="9">
        <f>'總表'!W4</f>
        <v/>
      </c>
      <c r="L4" s="9">
        <f>'總表'!X4</f>
        <v/>
      </c>
      <c r="M4" s="9">
        <f>'總表'!U4</f>
        <v/>
      </c>
      <c r="N4" s="5">
        <f>'總表'!AE4</f>
        <v/>
      </c>
      <c r="O4" s="5">
        <f>'總表'!AJ4</f>
        <v/>
      </c>
      <c r="P4" s="5">
        <f>'總表'!AK4</f>
        <v/>
      </c>
      <c r="Q4" s="9">
        <f>'總表'!AS4</f>
        <v/>
      </c>
      <c r="R4" s="5">
        <f>'總表'!AT4</f>
        <v/>
      </c>
      <c r="S4" s="11">
        <f>'總表'!AW4</f>
        <v/>
      </c>
      <c r="T4" s="17">
        <f>'總表'!BE4</f>
        <v/>
      </c>
      <c r="U4" s="17">
        <f>'總表'!BG4</f>
        <v/>
      </c>
      <c r="V4" s="17">
        <f>'總表'!BH4</f>
        <v/>
      </c>
      <c r="W4" s="17">
        <f>'總表'!BI4</f>
        <v/>
      </c>
      <c r="X4" s="17">
        <f>'總表'!BJ4</f>
        <v/>
      </c>
      <c r="Y4" s="18">
        <f>'總表'!BK4</f>
        <v/>
      </c>
      <c r="Z4" s="5">
        <f>'總表'!B4</f>
        <v/>
      </c>
    </row>
    <row r="5">
      <c r="A5" s="5" t="n">
        <v>4</v>
      </c>
      <c r="B5" s="6" t="inlineStr">
        <is>
          <t>NVAX</t>
        </is>
      </c>
      <c r="C5" s="5">
        <f>'總表'!D7</f>
        <v/>
      </c>
      <c r="D5" s="5">
        <f>'總表'!F7</f>
        <v/>
      </c>
      <c r="E5" s="5">
        <f>'總表'!G7</f>
        <v/>
      </c>
      <c r="F5" s="40">
        <f>'總表'!H7</f>
        <v/>
      </c>
      <c r="G5" s="41">
        <f>'總表'!J7</f>
        <v/>
      </c>
      <c r="H5" s="9">
        <f>'總表'!L7</f>
        <v/>
      </c>
      <c r="I5" s="41">
        <f>'總表'!R7</f>
        <v/>
      </c>
      <c r="J5" s="41">
        <f>'總表'!S7</f>
        <v/>
      </c>
      <c r="K5" s="9">
        <f>'總表'!W7</f>
        <v/>
      </c>
      <c r="L5" s="9">
        <f>'總表'!X7</f>
        <v/>
      </c>
      <c r="M5" s="9">
        <f>'總表'!U7</f>
        <v/>
      </c>
      <c r="N5" s="5">
        <f>'總表'!AE7</f>
        <v/>
      </c>
      <c r="O5" s="5">
        <f>'總表'!AJ7</f>
        <v/>
      </c>
      <c r="P5" s="5">
        <f>'總表'!AK7</f>
        <v/>
      </c>
      <c r="Q5" s="9">
        <f>'總表'!AS7</f>
        <v/>
      </c>
      <c r="R5" s="5">
        <f>'總表'!AT7</f>
        <v/>
      </c>
      <c r="S5" s="11">
        <f>'總表'!AW7</f>
        <v/>
      </c>
      <c r="T5" s="17">
        <f>'總表'!BE7</f>
        <v/>
      </c>
      <c r="U5" s="17">
        <f>'總表'!BG7</f>
        <v/>
      </c>
      <c r="V5" s="17">
        <f>'總表'!BH7</f>
        <v/>
      </c>
      <c r="W5" s="17">
        <f>'總表'!BI7</f>
        <v/>
      </c>
      <c r="X5" s="17">
        <f>'總表'!BJ7</f>
        <v/>
      </c>
      <c r="Y5" s="18">
        <f>'總表'!BK7</f>
        <v/>
      </c>
      <c r="Z5" s="5">
        <f>'總表'!B7</f>
        <v/>
      </c>
    </row>
    <row r="6">
      <c r="A6" s="5" t="n">
        <v>5</v>
      </c>
      <c r="B6" s="6" t="inlineStr">
        <is>
          <t>FRNM</t>
        </is>
      </c>
      <c r="C6" s="5">
        <f>'總表'!D8</f>
        <v/>
      </c>
      <c r="D6" s="5">
        <f>'總表'!F8</f>
        <v/>
      </c>
      <c r="E6" s="5">
        <f>'總表'!G8</f>
        <v/>
      </c>
      <c r="F6" s="40">
        <f>'總表'!H8</f>
        <v/>
      </c>
      <c r="G6" s="41">
        <f>'總表'!J8</f>
        <v/>
      </c>
      <c r="H6" s="9">
        <f>'總表'!L8</f>
        <v/>
      </c>
      <c r="I6" s="41">
        <f>'總表'!R8</f>
        <v/>
      </c>
      <c r="J6" s="41">
        <f>'總表'!S8</f>
        <v/>
      </c>
      <c r="K6" s="9">
        <f>'總表'!W8</f>
        <v/>
      </c>
      <c r="L6" s="9">
        <f>'總表'!X8</f>
        <v/>
      </c>
      <c r="M6" s="9">
        <f>'總表'!U8</f>
        <v/>
      </c>
      <c r="N6" s="5">
        <f>'總表'!AE8</f>
        <v/>
      </c>
      <c r="O6" s="5">
        <f>'總表'!AJ8</f>
        <v/>
      </c>
      <c r="P6" s="5">
        <f>'總表'!AK8</f>
        <v/>
      </c>
      <c r="Q6" s="9">
        <f>'總表'!AS8</f>
        <v/>
      </c>
      <c r="R6" s="5">
        <f>'總表'!AT8</f>
        <v/>
      </c>
      <c r="S6" s="11">
        <f>'總表'!AW8</f>
        <v/>
      </c>
      <c r="T6" s="17">
        <f>'總表'!BE8</f>
        <v/>
      </c>
      <c r="U6" s="17">
        <f>'總表'!BG8</f>
        <v/>
      </c>
      <c r="V6" s="17">
        <f>'總表'!BH8</f>
        <v/>
      </c>
      <c r="W6" s="17">
        <f>'總表'!BI8</f>
        <v/>
      </c>
      <c r="X6" s="17">
        <f>'總表'!BJ8</f>
        <v/>
      </c>
      <c r="Y6" s="18">
        <f>'總表'!BK8</f>
        <v/>
      </c>
      <c r="Z6" s="5">
        <f>'總表'!B8</f>
        <v/>
      </c>
    </row>
    <row r="7">
      <c r="A7" s="5" t="n">
        <v>6</v>
      </c>
      <c r="B7" s="6" t="inlineStr">
        <is>
          <t>ACVA</t>
        </is>
      </c>
      <c r="C7" s="5">
        <f>'總表'!D11</f>
        <v/>
      </c>
      <c r="D7" s="5">
        <f>'總表'!F11</f>
        <v/>
      </c>
      <c r="E7" s="5">
        <f>'總表'!G11</f>
        <v/>
      </c>
      <c r="F7" s="40">
        <f>'總表'!H11</f>
        <v/>
      </c>
      <c r="G7" s="41">
        <f>'總表'!J11</f>
        <v/>
      </c>
      <c r="H7" s="9">
        <f>'總表'!L11</f>
        <v/>
      </c>
      <c r="I7" s="41">
        <f>'總表'!R11</f>
        <v/>
      </c>
      <c r="J7" s="41">
        <f>'總表'!S11</f>
        <v/>
      </c>
      <c r="K7" s="9">
        <f>'總表'!W11</f>
        <v/>
      </c>
      <c r="L7" s="9">
        <f>'總表'!X11</f>
        <v/>
      </c>
      <c r="M7" s="9">
        <f>'總表'!U11</f>
        <v/>
      </c>
      <c r="N7" s="5">
        <f>'總表'!AE11</f>
        <v/>
      </c>
      <c r="O7" s="5">
        <f>'總表'!AJ11</f>
        <v/>
      </c>
      <c r="P7" s="5">
        <f>'總表'!AK11</f>
        <v/>
      </c>
      <c r="Q7" s="9">
        <f>'總表'!AS11</f>
        <v/>
      </c>
      <c r="R7" s="5">
        <f>'總表'!AT11</f>
        <v/>
      </c>
      <c r="S7" s="11">
        <f>'總表'!AW11</f>
        <v/>
      </c>
      <c r="T7" s="17">
        <f>'總表'!BE11</f>
        <v/>
      </c>
      <c r="U7" s="17">
        <f>'總表'!BG11</f>
        <v/>
      </c>
      <c r="V7" s="17">
        <f>'總表'!BH11</f>
        <v/>
      </c>
      <c r="W7" s="17">
        <f>'總表'!BI11</f>
        <v/>
      </c>
      <c r="X7" s="17">
        <f>'總表'!BJ11</f>
        <v/>
      </c>
      <c r="Y7" s="18">
        <f>'總表'!BK11</f>
        <v/>
      </c>
      <c r="Z7" s="5">
        <f>'總表'!B11</f>
        <v/>
      </c>
    </row>
    <row r="8">
      <c r="A8" s="5" t="n">
        <v>7</v>
      </c>
      <c r="B8" s="6" t="inlineStr">
        <is>
          <t>NUTX</t>
        </is>
      </c>
      <c r="C8" s="5">
        <f>'總表'!D16</f>
        <v/>
      </c>
      <c r="D8" s="5">
        <f>'總表'!F16</f>
        <v/>
      </c>
      <c r="E8" s="5">
        <f>'總表'!G16</f>
        <v/>
      </c>
      <c r="F8" s="40">
        <f>'總表'!H16</f>
        <v/>
      </c>
      <c r="G8" s="41">
        <f>'總表'!J16</f>
        <v/>
      </c>
      <c r="H8" s="9">
        <f>'總表'!L16</f>
        <v/>
      </c>
      <c r="I8" s="41">
        <f>'總表'!R16</f>
        <v/>
      </c>
      <c r="J8" s="41">
        <f>'總表'!S16</f>
        <v/>
      </c>
      <c r="K8" s="9">
        <f>'總表'!W16</f>
        <v/>
      </c>
      <c r="L8" s="9">
        <f>'總表'!X16</f>
        <v/>
      </c>
      <c r="M8" s="9">
        <f>'總表'!U16</f>
        <v/>
      </c>
      <c r="N8" s="5">
        <f>'總表'!AE16</f>
        <v/>
      </c>
      <c r="O8" s="5">
        <f>'總表'!AJ16</f>
        <v/>
      </c>
      <c r="P8" s="5">
        <f>'總表'!AK16</f>
        <v/>
      </c>
      <c r="Q8" s="9">
        <f>'總表'!AS16</f>
        <v/>
      </c>
      <c r="R8" s="5">
        <f>'總表'!AT16</f>
        <v/>
      </c>
      <c r="S8" s="11">
        <f>'總表'!AW16</f>
        <v/>
      </c>
      <c r="T8" s="17">
        <f>'總表'!BE16</f>
        <v/>
      </c>
      <c r="U8" s="17">
        <f>'總表'!BG16</f>
        <v/>
      </c>
      <c r="V8" s="17">
        <f>'總表'!BH16</f>
        <v/>
      </c>
      <c r="W8" s="17">
        <f>'總表'!BI16</f>
        <v/>
      </c>
      <c r="X8" s="17">
        <f>'總表'!BJ16</f>
        <v/>
      </c>
      <c r="Y8" s="18">
        <f>'總表'!BK16</f>
        <v/>
      </c>
      <c r="Z8" s="5">
        <f>'總表'!B16</f>
        <v/>
      </c>
    </row>
    <row r="9">
      <c r="A9" s="5" t="n">
        <v>8</v>
      </c>
      <c r="B9" s="6" t="inlineStr">
        <is>
          <t>DDD</t>
        </is>
      </c>
      <c r="C9" s="5">
        <f>'總表'!D17</f>
        <v/>
      </c>
      <c r="D9" s="5">
        <f>'總表'!F17</f>
        <v/>
      </c>
      <c r="E9" s="5">
        <f>'總表'!G17</f>
        <v/>
      </c>
      <c r="F9" s="40">
        <f>'總表'!H17</f>
        <v/>
      </c>
      <c r="G9" s="41">
        <f>'總表'!J17</f>
        <v/>
      </c>
      <c r="H9" s="9">
        <f>'總表'!L17</f>
        <v/>
      </c>
      <c r="I9" s="41">
        <f>'總表'!R17</f>
        <v/>
      </c>
      <c r="J9" s="41">
        <f>'總表'!S17</f>
        <v/>
      </c>
      <c r="K9" s="9">
        <f>'總表'!W17</f>
        <v/>
      </c>
      <c r="L9" s="9">
        <f>'總表'!X17</f>
        <v/>
      </c>
      <c r="M9" s="9">
        <f>'總表'!U17</f>
        <v/>
      </c>
      <c r="N9" s="5">
        <f>'總表'!AE17</f>
        <v/>
      </c>
      <c r="O9" s="5">
        <f>'總表'!AJ17</f>
        <v/>
      </c>
      <c r="P9" s="5">
        <f>'總表'!AK17</f>
        <v/>
      </c>
      <c r="Q9" s="9">
        <f>'總表'!AS17</f>
        <v/>
      </c>
      <c r="R9" s="5">
        <f>'總表'!AT17</f>
        <v/>
      </c>
      <c r="S9" s="11">
        <f>'總表'!AW17</f>
        <v/>
      </c>
      <c r="T9" s="17">
        <f>'總表'!BE17</f>
        <v/>
      </c>
      <c r="U9" s="17">
        <f>'總表'!BG17</f>
        <v/>
      </c>
      <c r="V9" s="17">
        <f>'總表'!BH17</f>
        <v/>
      </c>
      <c r="W9" s="17">
        <f>'總表'!BI17</f>
        <v/>
      </c>
      <c r="X9" s="17">
        <f>'總表'!BJ17</f>
        <v/>
      </c>
      <c r="Y9" s="18">
        <f>'總表'!BK17</f>
        <v/>
      </c>
      <c r="Z9" s="5">
        <f>'總表'!B17</f>
        <v/>
      </c>
    </row>
    <row r="10">
      <c r="A10" s="5" t="n">
        <v>9</v>
      </c>
      <c r="B10" s="6" t="inlineStr">
        <is>
          <t>MTW</t>
        </is>
      </c>
      <c r="C10" s="5">
        <f>'總表'!D18</f>
        <v/>
      </c>
      <c r="D10" s="5">
        <f>'總表'!F18</f>
        <v/>
      </c>
      <c r="E10" s="5">
        <f>'總表'!G18</f>
        <v/>
      </c>
      <c r="F10" s="40">
        <f>'總表'!H18</f>
        <v/>
      </c>
      <c r="G10" s="41">
        <f>'總表'!J18</f>
        <v/>
      </c>
      <c r="H10" s="9">
        <f>'總表'!L18</f>
        <v/>
      </c>
      <c r="I10" s="41">
        <f>'總表'!R18</f>
        <v/>
      </c>
      <c r="J10" s="41">
        <f>'總表'!S18</f>
        <v/>
      </c>
      <c r="K10" s="9">
        <f>'總表'!W18</f>
        <v/>
      </c>
      <c r="L10" s="9">
        <f>'總表'!X18</f>
        <v/>
      </c>
      <c r="M10" s="9">
        <f>'總表'!U18</f>
        <v/>
      </c>
      <c r="N10" s="5">
        <f>'總表'!AE18</f>
        <v/>
      </c>
      <c r="O10" s="5">
        <f>'總表'!AJ18</f>
        <v/>
      </c>
      <c r="P10" s="5">
        <f>'總表'!AK18</f>
        <v/>
      </c>
      <c r="Q10" s="9">
        <f>'總表'!AS18</f>
        <v/>
      </c>
      <c r="R10" s="5">
        <f>'總表'!AT18</f>
        <v/>
      </c>
      <c r="S10" s="11">
        <f>'總表'!AW18</f>
        <v/>
      </c>
      <c r="T10" s="17">
        <f>'總表'!BE18</f>
        <v/>
      </c>
      <c r="U10" s="17">
        <f>'總表'!BG18</f>
        <v/>
      </c>
      <c r="V10" s="17">
        <f>'總表'!BH18</f>
        <v/>
      </c>
      <c r="W10" s="17">
        <f>'總表'!BI18</f>
        <v/>
      </c>
      <c r="X10" s="17">
        <f>'總表'!BJ18</f>
        <v/>
      </c>
      <c r="Y10" s="18">
        <f>'總表'!BK18</f>
        <v/>
      </c>
      <c r="Z10" s="5">
        <f>'總表'!B18</f>
        <v/>
      </c>
    </row>
    <row r="11">
      <c r="A11" s="5" t="n">
        <v>10</v>
      </c>
      <c r="B11" s="6" t="inlineStr">
        <is>
          <t>OBIO</t>
        </is>
      </c>
      <c r="C11" s="5">
        <f>'總表'!D28</f>
        <v/>
      </c>
      <c r="D11" s="5">
        <f>'總表'!F28</f>
        <v/>
      </c>
      <c r="E11" s="5">
        <f>'總表'!G28</f>
        <v/>
      </c>
      <c r="F11" s="40">
        <f>'總表'!H28</f>
        <v/>
      </c>
      <c r="G11" s="41">
        <f>'總表'!J28</f>
        <v/>
      </c>
      <c r="H11" s="9">
        <f>'總表'!L28</f>
        <v/>
      </c>
      <c r="I11" s="41">
        <f>'總表'!R28</f>
        <v/>
      </c>
      <c r="J11" s="41">
        <f>'總表'!S28</f>
        <v/>
      </c>
      <c r="K11" s="9">
        <f>'總表'!W28</f>
        <v/>
      </c>
      <c r="L11" s="9">
        <f>'總表'!X28</f>
        <v/>
      </c>
      <c r="M11" s="9">
        <f>'總表'!U28</f>
        <v/>
      </c>
      <c r="N11" s="5">
        <f>'總表'!AE28</f>
        <v/>
      </c>
      <c r="O11" s="5">
        <f>'總表'!AJ28</f>
        <v/>
      </c>
      <c r="P11" s="5">
        <f>'總表'!AK28</f>
        <v/>
      </c>
      <c r="Q11" s="9">
        <f>'總表'!AS28</f>
        <v/>
      </c>
      <c r="R11" s="5">
        <f>'總表'!AT28</f>
        <v/>
      </c>
      <c r="S11" s="11">
        <f>'總表'!AW28</f>
        <v/>
      </c>
      <c r="T11" s="17">
        <f>'總表'!BE28</f>
        <v/>
      </c>
      <c r="U11" s="17">
        <f>'總表'!BG28</f>
        <v/>
      </c>
      <c r="V11" s="17">
        <f>'總表'!BH28</f>
        <v/>
      </c>
      <c r="W11" s="17">
        <f>'總表'!BI28</f>
        <v/>
      </c>
      <c r="X11" s="17">
        <f>'總表'!BJ28</f>
        <v/>
      </c>
      <c r="Y11" s="18">
        <f>'總表'!BK28</f>
        <v/>
      </c>
      <c r="Z11" s="5">
        <f>'總表'!B28</f>
        <v/>
      </c>
    </row>
    <row r="12">
      <c r="A12" s="5" t="n">
        <v>11</v>
      </c>
      <c r="B12" s="6" t="inlineStr">
        <is>
          <t>FLGT</t>
        </is>
      </c>
      <c r="C12" s="5">
        <f>'總表'!D31</f>
        <v/>
      </c>
      <c r="D12" s="5">
        <f>'總表'!F31</f>
        <v/>
      </c>
      <c r="E12" s="5">
        <f>'總表'!G31</f>
        <v/>
      </c>
      <c r="F12" s="40">
        <f>'總表'!H31</f>
        <v/>
      </c>
      <c r="G12" s="41">
        <f>'總表'!J31</f>
        <v/>
      </c>
      <c r="H12" s="9">
        <f>'總表'!L31</f>
        <v/>
      </c>
      <c r="I12" s="41">
        <f>'總表'!R31</f>
        <v/>
      </c>
      <c r="J12" s="41">
        <f>'總表'!S31</f>
        <v/>
      </c>
      <c r="K12" s="9">
        <f>'總表'!W31</f>
        <v/>
      </c>
      <c r="L12" s="9">
        <f>'總表'!X31</f>
        <v/>
      </c>
      <c r="M12" s="9">
        <f>'總表'!U31</f>
        <v/>
      </c>
      <c r="N12" s="5">
        <f>'總表'!AE31</f>
        <v/>
      </c>
      <c r="O12" s="5">
        <f>'總表'!AJ31</f>
        <v/>
      </c>
      <c r="P12" s="5">
        <f>'總表'!AK31</f>
        <v/>
      </c>
      <c r="Q12" s="9">
        <f>'總表'!AS31</f>
        <v/>
      </c>
      <c r="R12" s="5">
        <f>'總表'!AT31</f>
        <v/>
      </c>
      <c r="S12" s="11">
        <f>'總表'!AW31</f>
        <v/>
      </c>
      <c r="T12" s="17">
        <f>'總表'!BE31</f>
        <v/>
      </c>
      <c r="U12" s="17">
        <f>'總表'!BG31</f>
        <v/>
      </c>
      <c r="V12" s="17">
        <f>'總表'!BH31</f>
        <v/>
      </c>
      <c r="W12" s="17">
        <f>'總表'!BI31</f>
        <v/>
      </c>
      <c r="X12" s="17">
        <f>'總表'!BJ31</f>
        <v/>
      </c>
      <c r="Y12" s="18">
        <f>'總表'!BK31</f>
        <v/>
      </c>
      <c r="Z12" s="5">
        <f>'總表'!B31</f>
        <v/>
      </c>
    </row>
    <row r="13">
      <c r="A13" s="5" t="n">
        <v>12</v>
      </c>
      <c r="B13" s="6" t="inlineStr">
        <is>
          <t>CRSR</t>
        </is>
      </c>
      <c r="C13" s="5">
        <f>'總表'!D32</f>
        <v/>
      </c>
      <c r="D13" s="5">
        <f>'總表'!F32</f>
        <v/>
      </c>
      <c r="E13" s="5">
        <f>'總表'!G32</f>
        <v/>
      </c>
      <c r="F13" s="40">
        <f>'總表'!H32</f>
        <v/>
      </c>
      <c r="G13" s="41">
        <f>'總表'!J32</f>
        <v/>
      </c>
      <c r="H13" s="9">
        <f>'總表'!L32</f>
        <v/>
      </c>
      <c r="I13" s="41">
        <f>'總表'!R32</f>
        <v/>
      </c>
      <c r="J13" s="41">
        <f>'總表'!S32</f>
        <v/>
      </c>
      <c r="K13" s="9">
        <f>'總表'!W32</f>
        <v/>
      </c>
      <c r="L13" s="9">
        <f>'總表'!X32</f>
        <v/>
      </c>
      <c r="M13" s="9">
        <f>'總表'!U32</f>
        <v/>
      </c>
      <c r="N13" s="5">
        <f>'總表'!AE32</f>
        <v/>
      </c>
      <c r="O13" s="5">
        <f>'總表'!AJ32</f>
        <v/>
      </c>
      <c r="P13" s="5">
        <f>'總表'!AK32</f>
        <v/>
      </c>
      <c r="Q13" s="9">
        <f>'總表'!AS32</f>
        <v/>
      </c>
      <c r="R13" s="5">
        <f>'總表'!AT32</f>
        <v/>
      </c>
      <c r="S13" s="11">
        <f>'總表'!AW32</f>
        <v/>
      </c>
      <c r="T13" s="17">
        <f>'總表'!BE32</f>
        <v/>
      </c>
      <c r="U13" s="17">
        <f>'總表'!BG32</f>
        <v/>
      </c>
      <c r="V13" s="17">
        <f>'總表'!BH32</f>
        <v/>
      </c>
      <c r="W13" s="17">
        <f>'總表'!BI32</f>
        <v/>
      </c>
      <c r="X13" s="17">
        <f>'總表'!BJ32</f>
        <v/>
      </c>
      <c r="Y13" s="18">
        <f>'總表'!BK32</f>
        <v/>
      </c>
      <c r="Z13" s="5">
        <f>'總表'!B32</f>
        <v/>
      </c>
    </row>
    <row r="14">
      <c r="A14" s="5" t="n">
        <v>13</v>
      </c>
      <c r="B14" s="6" t="inlineStr">
        <is>
          <t>OSPN</t>
        </is>
      </c>
      <c r="C14" s="5">
        <f>'總表'!D35</f>
        <v/>
      </c>
      <c r="D14" s="5">
        <f>'總表'!F35</f>
        <v/>
      </c>
      <c r="E14" s="5">
        <f>'總表'!G35</f>
        <v/>
      </c>
      <c r="F14" s="40">
        <f>'總表'!H35</f>
        <v/>
      </c>
      <c r="G14" s="41">
        <f>'總表'!J35</f>
        <v/>
      </c>
      <c r="H14" s="9">
        <f>'總表'!L35</f>
        <v/>
      </c>
      <c r="I14" s="41">
        <f>'總表'!R35</f>
        <v/>
      </c>
      <c r="J14" s="41">
        <f>'總表'!S35</f>
        <v/>
      </c>
      <c r="K14" s="9">
        <f>'總表'!W35</f>
        <v/>
      </c>
      <c r="L14" s="9">
        <f>'總表'!X35</f>
        <v/>
      </c>
      <c r="M14" s="9">
        <f>'總表'!U35</f>
        <v/>
      </c>
      <c r="N14" s="5">
        <f>'總表'!AE35</f>
        <v/>
      </c>
      <c r="O14" s="5">
        <f>'總表'!AJ35</f>
        <v/>
      </c>
      <c r="P14" s="5">
        <f>'總表'!AK35</f>
        <v/>
      </c>
      <c r="Q14" s="9">
        <f>'總表'!AS35</f>
        <v/>
      </c>
      <c r="R14" s="5">
        <f>'總表'!AT35</f>
        <v/>
      </c>
      <c r="S14" s="11">
        <f>'總表'!AW35</f>
        <v/>
      </c>
      <c r="T14" s="17">
        <f>'總表'!BE35</f>
        <v/>
      </c>
      <c r="U14" s="17">
        <f>'總表'!BG35</f>
        <v/>
      </c>
      <c r="V14" s="17">
        <f>'總表'!BH35</f>
        <v/>
      </c>
      <c r="W14" s="17">
        <f>'總表'!BI35</f>
        <v/>
      </c>
      <c r="X14" s="17">
        <f>'總表'!BJ35</f>
        <v/>
      </c>
      <c r="Y14" s="18">
        <f>'總表'!BK35</f>
        <v/>
      </c>
      <c r="Z14" s="5">
        <f>'總表'!B35</f>
        <v/>
      </c>
    </row>
    <row r="15">
      <c r="A15" s="5" t="n">
        <v>14</v>
      </c>
      <c r="B15" s="6" t="inlineStr">
        <is>
          <t>TWIN</t>
        </is>
      </c>
      <c r="C15" s="5">
        <f>'總表'!D36</f>
        <v/>
      </c>
      <c r="D15" s="5">
        <f>'總表'!F36</f>
        <v/>
      </c>
      <c r="E15" s="5">
        <f>'總表'!G36</f>
        <v/>
      </c>
      <c r="F15" s="40">
        <f>'總表'!H36</f>
        <v/>
      </c>
      <c r="G15" s="41">
        <f>'總表'!J36</f>
        <v/>
      </c>
      <c r="H15" s="9">
        <f>'總表'!L36</f>
        <v/>
      </c>
      <c r="I15" s="41">
        <f>'總表'!R36</f>
        <v/>
      </c>
      <c r="J15" s="41">
        <f>'總表'!S36</f>
        <v/>
      </c>
      <c r="K15" s="9">
        <f>'總表'!W36</f>
        <v/>
      </c>
      <c r="L15" s="9">
        <f>'總表'!X36</f>
        <v/>
      </c>
      <c r="M15" s="9">
        <f>'總表'!U36</f>
        <v/>
      </c>
      <c r="N15" s="5">
        <f>'總表'!AE36</f>
        <v/>
      </c>
      <c r="O15" s="5">
        <f>'總表'!AJ36</f>
        <v/>
      </c>
      <c r="P15" s="5">
        <f>'總表'!AK36</f>
        <v/>
      </c>
      <c r="Q15" s="9">
        <f>'總表'!AS36</f>
        <v/>
      </c>
      <c r="R15" s="5">
        <f>'總表'!AT36</f>
        <v/>
      </c>
      <c r="S15" s="11">
        <f>'總表'!AW36</f>
        <v/>
      </c>
      <c r="T15" s="17">
        <f>'總表'!BE36</f>
        <v/>
      </c>
      <c r="U15" s="17">
        <f>'總表'!BG36</f>
        <v/>
      </c>
      <c r="V15" s="17">
        <f>'總表'!BH36</f>
        <v/>
      </c>
      <c r="W15" s="17">
        <f>'總表'!BI36</f>
        <v/>
      </c>
      <c r="X15" s="17">
        <f>'總表'!BJ36</f>
        <v/>
      </c>
      <c r="Y15" s="18">
        <f>'總表'!BK36</f>
        <v/>
      </c>
      <c r="Z15" s="5">
        <f>'總表'!B36</f>
        <v/>
      </c>
    </row>
    <row r="16">
      <c r="A16" s="5" t="n">
        <v>15</v>
      </c>
      <c r="B16" s="6" t="inlineStr">
        <is>
          <t>CHPT</t>
        </is>
      </c>
      <c r="C16" s="5">
        <f>'總表'!D37</f>
        <v/>
      </c>
      <c r="D16" s="5">
        <f>'總表'!F37</f>
        <v/>
      </c>
      <c r="E16" s="5">
        <f>'總表'!G37</f>
        <v/>
      </c>
      <c r="F16" s="40">
        <f>'總表'!H37</f>
        <v/>
      </c>
      <c r="G16" s="41">
        <f>'總表'!J37</f>
        <v/>
      </c>
      <c r="H16" s="9">
        <f>'總表'!L37</f>
        <v/>
      </c>
      <c r="I16" s="41">
        <f>'總表'!R37</f>
        <v/>
      </c>
      <c r="J16" s="41">
        <f>'總表'!S37</f>
        <v/>
      </c>
      <c r="K16" s="9">
        <f>'總表'!W37</f>
        <v/>
      </c>
      <c r="L16" s="9">
        <f>'總表'!X37</f>
        <v/>
      </c>
      <c r="M16" s="9">
        <f>'總表'!U37</f>
        <v/>
      </c>
      <c r="N16" s="5">
        <f>'總表'!AE37</f>
        <v/>
      </c>
      <c r="O16" s="5">
        <f>'總表'!AJ37</f>
        <v/>
      </c>
      <c r="P16" s="5">
        <f>'總表'!AK37</f>
        <v/>
      </c>
      <c r="Q16" s="9">
        <f>'總表'!AS37</f>
        <v/>
      </c>
      <c r="R16" s="5">
        <f>'總表'!AT37</f>
        <v/>
      </c>
      <c r="S16" s="11">
        <f>'總表'!AW37</f>
        <v/>
      </c>
      <c r="T16" s="17">
        <f>'總表'!BE37</f>
        <v/>
      </c>
      <c r="U16" s="17">
        <f>'總表'!BG37</f>
        <v/>
      </c>
      <c r="V16" s="17">
        <f>'總表'!BH37</f>
        <v/>
      </c>
      <c r="W16" s="17">
        <f>'總表'!BI37</f>
        <v/>
      </c>
      <c r="X16" s="17">
        <f>'總表'!BJ37</f>
        <v/>
      </c>
      <c r="Y16" s="18">
        <f>'總表'!BK37</f>
        <v/>
      </c>
      <c r="Z16" s="5">
        <f>'總表'!B37</f>
        <v/>
      </c>
    </row>
    <row r="17">
      <c r="A17" s="5" t="n">
        <v>16</v>
      </c>
      <c r="B17" s="6" t="inlineStr">
        <is>
          <t>INFU</t>
        </is>
      </c>
      <c r="C17" s="5">
        <f>'總表'!D39</f>
        <v/>
      </c>
      <c r="D17" s="5">
        <f>'總表'!F39</f>
        <v/>
      </c>
      <c r="E17" s="5">
        <f>'總表'!G39</f>
        <v/>
      </c>
      <c r="F17" s="40">
        <f>'總表'!H39</f>
        <v/>
      </c>
      <c r="G17" s="41">
        <f>'總表'!J39</f>
        <v/>
      </c>
      <c r="H17" s="9">
        <f>'總表'!L39</f>
        <v/>
      </c>
      <c r="I17" s="41">
        <f>'總表'!R39</f>
        <v/>
      </c>
      <c r="J17" s="41">
        <f>'總表'!S39</f>
        <v/>
      </c>
      <c r="K17" s="9">
        <f>'總表'!W39</f>
        <v/>
      </c>
      <c r="L17" s="9">
        <f>'總表'!X39</f>
        <v/>
      </c>
      <c r="M17" s="9">
        <f>'總表'!U39</f>
        <v/>
      </c>
      <c r="N17" s="5">
        <f>'總表'!AE39</f>
        <v/>
      </c>
      <c r="O17" s="5">
        <f>'總表'!AJ39</f>
        <v/>
      </c>
      <c r="P17" s="5">
        <f>'總表'!AK39</f>
        <v/>
      </c>
      <c r="Q17" s="9">
        <f>'總表'!AS39</f>
        <v/>
      </c>
      <c r="R17" s="5">
        <f>'總表'!AT39</f>
        <v/>
      </c>
      <c r="S17" s="11">
        <f>'總表'!AW39</f>
        <v/>
      </c>
      <c r="T17" s="17">
        <f>'總表'!BE39</f>
        <v/>
      </c>
      <c r="U17" s="17">
        <f>'總表'!BG39</f>
        <v/>
      </c>
      <c r="V17" s="17">
        <f>'總表'!BH39</f>
        <v/>
      </c>
      <c r="W17" s="17">
        <f>'總表'!BI39</f>
        <v/>
      </c>
      <c r="X17" s="17">
        <f>'總表'!BJ39</f>
        <v/>
      </c>
      <c r="Y17" s="18">
        <f>'總表'!BK39</f>
        <v/>
      </c>
      <c r="Z17" s="5">
        <f>'總表'!B39</f>
        <v/>
      </c>
    </row>
    <row r="18">
      <c r="A18" s="5" t="n">
        <v>17</v>
      </c>
      <c r="B18" s="6" t="inlineStr">
        <is>
          <t>NGVC</t>
        </is>
      </c>
      <c r="C18" s="5">
        <f>'總表'!D41</f>
        <v/>
      </c>
      <c r="D18" s="5">
        <f>'總表'!F41</f>
        <v/>
      </c>
      <c r="E18" s="5">
        <f>'總表'!G41</f>
        <v/>
      </c>
      <c r="F18" s="40">
        <f>'總表'!H41</f>
        <v/>
      </c>
      <c r="G18" s="41">
        <f>'總表'!J41</f>
        <v/>
      </c>
      <c r="H18" s="9">
        <f>'總表'!L41</f>
        <v/>
      </c>
      <c r="I18" s="41">
        <f>'總表'!R41</f>
        <v/>
      </c>
      <c r="J18" s="41">
        <f>'總表'!S41</f>
        <v/>
      </c>
      <c r="K18" s="9">
        <f>'總表'!W41</f>
        <v/>
      </c>
      <c r="L18" s="9">
        <f>'總表'!X41</f>
        <v/>
      </c>
      <c r="M18" s="9">
        <f>'總表'!U41</f>
        <v/>
      </c>
      <c r="N18" s="5">
        <f>'總表'!AE41</f>
        <v/>
      </c>
      <c r="O18" s="5">
        <f>'總表'!AJ41</f>
        <v/>
      </c>
      <c r="P18" s="5">
        <f>'總表'!AK41</f>
        <v/>
      </c>
      <c r="Q18" s="9">
        <f>'總表'!AS41</f>
        <v/>
      </c>
      <c r="R18" s="5">
        <f>'總表'!AT41</f>
        <v/>
      </c>
      <c r="S18" s="11">
        <f>'總表'!AW41</f>
        <v/>
      </c>
      <c r="T18" s="17">
        <f>'總表'!BE41</f>
        <v/>
      </c>
      <c r="U18" s="17">
        <f>'總表'!BG41</f>
        <v/>
      </c>
      <c r="V18" s="17">
        <f>'總表'!BH41</f>
        <v/>
      </c>
      <c r="W18" s="17">
        <f>'總表'!BI41</f>
        <v/>
      </c>
      <c r="X18" s="17">
        <f>'總表'!BJ41</f>
        <v/>
      </c>
      <c r="Y18" s="18">
        <f>'總表'!BK41</f>
        <v/>
      </c>
      <c r="Z18" s="5">
        <f>'總表'!B41</f>
        <v/>
      </c>
    </row>
    <row r="19">
      <c r="A19" s="5" t="n">
        <v>18</v>
      </c>
      <c r="B19" s="6" t="inlineStr">
        <is>
          <t>FTRE</t>
        </is>
      </c>
      <c r="C19" s="5">
        <f>'總表'!D45</f>
        <v/>
      </c>
      <c r="D19" s="5">
        <f>'總表'!F45</f>
        <v/>
      </c>
      <c r="E19" s="5">
        <f>'總表'!G45</f>
        <v/>
      </c>
      <c r="F19" s="40">
        <f>'總表'!H45</f>
        <v/>
      </c>
      <c r="G19" s="41">
        <f>'總表'!J45</f>
        <v/>
      </c>
      <c r="H19" s="9">
        <f>'總表'!L45</f>
        <v/>
      </c>
      <c r="I19" s="41">
        <f>'總表'!R45</f>
        <v/>
      </c>
      <c r="J19" s="41">
        <f>'總表'!S45</f>
        <v/>
      </c>
      <c r="K19" s="9">
        <f>'總表'!W45</f>
        <v/>
      </c>
      <c r="L19" s="9">
        <f>'總表'!X45</f>
        <v/>
      </c>
      <c r="M19" s="9">
        <f>'總表'!U45</f>
        <v/>
      </c>
      <c r="N19" s="5">
        <f>'總表'!AE45</f>
        <v/>
      </c>
      <c r="O19" s="5">
        <f>'總表'!AJ45</f>
        <v/>
      </c>
      <c r="P19" s="5">
        <f>'總表'!AK45</f>
        <v/>
      </c>
      <c r="Q19" s="9">
        <f>'總表'!AS45</f>
        <v/>
      </c>
      <c r="R19" s="5">
        <f>'總表'!AT45</f>
        <v/>
      </c>
      <c r="S19" s="11">
        <f>'總表'!AW45</f>
        <v/>
      </c>
      <c r="T19" s="17">
        <f>'總表'!BE45</f>
        <v/>
      </c>
      <c r="U19" s="17">
        <f>'總表'!BG45</f>
        <v/>
      </c>
      <c r="V19" s="17">
        <f>'總表'!BH45</f>
        <v/>
      </c>
      <c r="W19" s="17">
        <f>'總表'!BI45</f>
        <v/>
      </c>
      <c r="X19" s="17">
        <f>'總表'!BJ45</f>
        <v/>
      </c>
      <c r="Y19" s="18">
        <f>'總表'!BK45</f>
        <v/>
      </c>
      <c r="Z19" s="5">
        <f>'總表'!B45</f>
        <v/>
      </c>
    </row>
    <row r="20">
      <c r="A20" s="5" t="n">
        <v>19</v>
      </c>
      <c r="B20" s="6" t="inlineStr">
        <is>
          <t>LQDT</t>
        </is>
      </c>
      <c r="C20" s="5">
        <f>'總表'!D46</f>
        <v/>
      </c>
      <c r="D20" s="5">
        <f>'總表'!F46</f>
        <v/>
      </c>
      <c r="E20" s="5">
        <f>'總表'!G46</f>
        <v/>
      </c>
      <c r="F20" s="40">
        <f>'總表'!H46</f>
        <v/>
      </c>
      <c r="G20" s="41">
        <f>'總表'!J46</f>
        <v/>
      </c>
      <c r="H20" s="9">
        <f>'總表'!L46</f>
        <v/>
      </c>
      <c r="I20" s="41">
        <f>'總表'!R46</f>
        <v/>
      </c>
      <c r="J20" s="41">
        <f>'總表'!S46</f>
        <v/>
      </c>
      <c r="K20" s="9">
        <f>'總表'!W46</f>
        <v/>
      </c>
      <c r="L20" s="9">
        <f>'總表'!X46</f>
        <v/>
      </c>
      <c r="M20" s="9">
        <f>'總表'!U46</f>
        <v/>
      </c>
      <c r="N20" s="5">
        <f>'總表'!AE46</f>
        <v/>
      </c>
      <c r="O20" s="5">
        <f>'總表'!AJ46</f>
        <v/>
      </c>
      <c r="P20" s="5">
        <f>'總表'!AK46</f>
        <v/>
      </c>
      <c r="Q20" s="9">
        <f>'總表'!AS46</f>
        <v/>
      </c>
      <c r="R20" s="5">
        <f>'總表'!AT46</f>
        <v/>
      </c>
      <c r="S20" s="11">
        <f>'總表'!AW46</f>
        <v/>
      </c>
      <c r="T20" s="17">
        <f>'總表'!BE46</f>
        <v/>
      </c>
      <c r="U20" s="17">
        <f>'總表'!BG46</f>
        <v/>
      </c>
      <c r="V20" s="17">
        <f>'總表'!BH46</f>
        <v/>
      </c>
      <c r="W20" s="17">
        <f>'總表'!BI46</f>
        <v/>
      </c>
      <c r="X20" s="17">
        <f>'總表'!BJ46</f>
        <v/>
      </c>
      <c r="Y20" s="18">
        <f>'總表'!BK46</f>
        <v/>
      </c>
      <c r="Z20" s="5">
        <f>'總表'!B46</f>
        <v/>
      </c>
    </row>
    <row r="21">
      <c r="A21" s="5" t="n">
        <v>20</v>
      </c>
      <c r="B21" s="6" t="inlineStr">
        <is>
          <t>AMN</t>
        </is>
      </c>
      <c r="C21" s="5">
        <f>'總表'!D47</f>
        <v/>
      </c>
      <c r="D21" s="5">
        <f>'總表'!F47</f>
        <v/>
      </c>
      <c r="E21" s="5">
        <f>'總表'!G47</f>
        <v/>
      </c>
      <c r="F21" s="40">
        <f>'總表'!H47</f>
        <v/>
      </c>
      <c r="G21" s="41">
        <f>'總表'!J47</f>
        <v/>
      </c>
      <c r="H21" s="9">
        <f>'總表'!L47</f>
        <v/>
      </c>
      <c r="I21" s="41">
        <f>'總表'!R47</f>
        <v/>
      </c>
      <c r="J21" s="41">
        <f>'總表'!S47</f>
        <v/>
      </c>
      <c r="K21" s="9">
        <f>'總表'!W47</f>
        <v/>
      </c>
      <c r="L21" s="9">
        <f>'總表'!X47</f>
        <v/>
      </c>
      <c r="M21" s="9">
        <f>'總表'!U47</f>
        <v/>
      </c>
      <c r="N21" s="5">
        <f>'總表'!AE47</f>
        <v/>
      </c>
      <c r="O21" s="5">
        <f>'總表'!AJ47</f>
        <v/>
      </c>
      <c r="P21" s="5">
        <f>'總表'!AK47</f>
        <v/>
      </c>
      <c r="Q21" s="9">
        <f>'總表'!AS47</f>
        <v/>
      </c>
      <c r="R21" s="5">
        <f>'總表'!AT47</f>
        <v/>
      </c>
      <c r="S21" s="11">
        <f>'總表'!AW47</f>
        <v/>
      </c>
      <c r="T21" s="17">
        <f>'總表'!BE47</f>
        <v/>
      </c>
      <c r="U21" s="17">
        <f>'總表'!BG47</f>
        <v/>
      </c>
      <c r="V21" s="17">
        <f>'總表'!BH47</f>
        <v/>
      </c>
      <c r="W21" s="17">
        <f>'總表'!BI47</f>
        <v/>
      </c>
      <c r="X21" s="17">
        <f>'總表'!BJ47</f>
        <v/>
      </c>
      <c r="Y21" s="18">
        <f>'總表'!BK47</f>
        <v/>
      </c>
      <c r="Z21" s="5">
        <f>'總表'!B47</f>
        <v/>
      </c>
    </row>
    <row r="22">
      <c r="A22" s="5" t="n">
        <v>21</v>
      </c>
      <c r="B22" s="6" t="inlineStr">
        <is>
          <t>GNE</t>
        </is>
      </c>
      <c r="C22" s="5">
        <f>'總表'!D49</f>
        <v/>
      </c>
      <c r="D22" s="5">
        <f>'總表'!F49</f>
        <v/>
      </c>
      <c r="E22" s="5">
        <f>'總表'!G49</f>
        <v/>
      </c>
      <c r="F22" s="40">
        <f>'總表'!H49</f>
        <v/>
      </c>
      <c r="G22" s="41">
        <f>'總表'!J49</f>
        <v/>
      </c>
      <c r="H22" s="9">
        <f>'總表'!L49</f>
        <v/>
      </c>
      <c r="I22" s="41">
        <f>'總表'!R49</f>
        <v/>
      </c>
      <c r="J22" s="41">
        <f>'總表'!S49</f>
        <v/>
      </c>
      <c r="K22" s="9">
        <f>'總表'!W49</f>
        <v/>
      </c>
      <c r="L22" s="9">
        <f>'總表'!X49</f>
        <v/>
      </c>
      <c r="M22" s="9">
        <f>'總表'!U49</f>
        <v/>
      </c>
      <c r="N22" s="5">
        <f>'總表'!AE49</f>
        <v/>
      </c>
      <c r="O22" s="5">
        <f>'總表'!AJ49</f>
        <v/>
      </c>
      <c r="P22" s="5">
        <f>'總表'!AK49</f>
        <v/>
      </c>
      <c r="Q22" s="9">
        <f>'總表'!AS49</f>
        <v/>
      </c>
      <c r="R22" s="5">
        <f>'總表'!AT49</f>
        <v/>
      </c>
      <c r="S22" s="11">
        <f>'總表'!AW49</f>
        <v/>
      </c>
      <c r="T22" s="17">
        <f>'總表'!BE49</f>
        <v/>
      </c>
      <c r="U22" s="17">
        <f>'總表'!BG49</f>
        <v/>
      </c>
      <c r="V22" s="17">
        <f>'總表'!BH49</f>
        <v/>
      </c>
      <c r="W22" s="17">
        <f>'總表'!BI49</f>
        <v/>
      </c>
      <c r="X22" s="17">
        <f>'總表'!BJ49</f>
        <v/>
      </c>
      <c r="Y22" s="18">
        <f>'總表'!BK49</f>
        <v/>
      </c>
      <c r="Z22" s="5">
        <f>'總表'!B49</f>
        <v/>
      </c>
    </row>
    <row r="23">
      <c r="A23" s="5" t="n">
        <v>22</v>
      </c>
      <c r="B23" s="6" t="inlineStr">
        <is>
          <t>MAZE</t>
        </is>
      </c>
      <c r="C23" s="5">
        <f>'總表'!D51</f>
        <v/>
      </c>
      <c r="D23" s="5">
        <f>'總表'!F51</f>
        <v/>
      </c>
      <c r="E23" s="5">
        <f>'總表'!G51</f>
        <v/>
      </c>
      <c r="F23" s="40">
        <f>'總表'!H51</f>
        <v/>
      </c>
      <c r="G23" s="41">
        <f>'總表'!J51</f>
        <v/>
      </c>
      <c r="H23" s="9">
        <f>'總表'!L51</f>
        <v/>
      </c>
      <c r="I23" s="41">
        <f>'總表'!R51</f>
        <v/>
      </c>
      <c r="J23" s="41">
        <f>'總表'!S51</f>
        <v/>
      </c>
      <c r="K23" s="9">
        <f>'總表'!W51</f>
        <v/>
      </c>
      <c r="L23" s="9">
        <f>'總表'!X51</f>
        <v/>
      </c>
      <c r="M23" s="9">
        <f>'總表'!U51</f>
        <v/>
      </c>
      <c r="N23" s="19">
        <f>'總表'!AE51</f>
        <v/>
      </c>
      <c r="O23" s="5">
        <f>'總表'!AJ51</f>
        <v/>
      </c>
      <c r="P23" s="5">
        <f>'總表'!AK51</f>
        <v/>
      </c>
      <c r="Q23" s="9">
        <f>'總表'!AS51</f>
        <v/>
      </c>
      <c r="R23" s="5">
        <f>'總表'!AT51</f>
        <v/>
      </c>
      <c r="S23" s="11">
        <f>'總表'!AW51</f>
        <v/>
      </c>
      <c r="T23" s="17">
        <f>'總表'!BE51</f>
        <v/>
      </c>
      <c r="U23" s="17">
        <f>'總表'!BG51</f>
        <v/>
      </c>
      <c r="V23" s="17">
        <f>'總表'!BH51</f>
        <v/>
      </c>
      <c r="W23" s="17">
        <f>'總表'!BI51</f>
        <v/>
      </c>
      <c r="X23" s="17">
        <f>'總表'!BJ51</f>
        <v/>
      </c>
      <c r="Y23" s="18">
        <f>'總表'!BK51</f>
        <v/>
      </c>
      <c r="Z23" s="5">
        <f>'總表'!B51</f>
        <v/>
      </c>
    </row>
    <row r="24">
      <c r="A24" s="5" t="n">
        <v>23</v>
      </c>
      <c r="B24" s="6" t="inlineStr">
        <is>
          <t>KODK</t>
        </is>
      </c>
      <c r="C24" s="5">
        <f>'總表'!D52</f>
        <v/>
      </c>
      <c r="D24" s="5">
        <f>'總表'!F52</f>
        <v/>
      </c>
      <c r="E24" s="5">
        <f>'總表'!G52</f>
        <v/>
      </c>
      <c r="F24" s="40">
        <f>'總表'!H52</f>
        <v/>
      </c>
      <c r="G24" s="41">
        <f>'總表'!J52</f>
        <v/>
      </c>
      <c r="H24" s="9">
        <f>'總表'!L52</f>
        <v/>
      </c>
      <c r="I24" s="41">
        <f>'總表'!R52</f>
        <v/>
      </c>
      <c r="J24" s="41">
        <f>'總表'!S52</f>
        <v/>
      </c>
      <c r="K24" s="9">
        <f>'總表'!W52</f>
        <v/>
      </c>
      <c r="L24" s="9">
        <f>'總表'!X52</f>
        <v/>
      </c>
      <c r="M24" s="9">
        <f>'總表'!U52</f>
        <v/>
      </c>
      <c r="N24" s="5">
        <f>'總表'!AE52</f>
        <v/>
      </c>
      <c r="O24" s="5">
        <f>'總表'!AJ52</f>
        <v/>
      </c>
      <c r="P24" s="5">
        <f>'總表'!AK52</f>
        <v/>
      </c>
      <c r="Q24" s="9">
        <f>'總表'!AS52</f>
        <v/>
      </c>
      <c r="R24" s="5">
        <f>'總表'!AT52</f>
        <v/>
      </c>
      <c r="S24" s="11">
        <f>'總表'!AW52</f>
        <v/>
      </c>
      <c r="T24" s="17">
        <f>'總表'!BE52</f>
        <v/>
      </c>
      <c r="U24" s="17">
        <f>'總表'!BG52</f>
        <v/>
      </c>
      <c r="V24" s="17">
        <f>'總表'!BH52</f>
        <v/>
      </c>
      <c r="W24" s="17">
        <f>'總表'!BI52</f>
        <v/>
      </c>
      <c r="X24" s="17">
        <f>'總表'!BJ52</f>
        <v/>
      </c>
      <c r="Y24" s="18">
        <f>'總表'!BK52</f>
        <v/>
      </c>
      <c r="Z24" s="5">
        <f>'總表'!B52</f>
        <v/>
      </c>
    </row>
    <row r="25">
      <c r="A25" s="5" t="n">
        <v>24</v>
      </c>
      <c r="B25" s="6" t="inlineStr">
        <is>
          <t>AZTA</t>
        </is>
      </c>
      <c r="C25" s="5">
        <f>'總表'!D55</f>
        <v/>
      </c>
      <c r="D25" s="5">
        <f>'總表'!F55</f>
        <v/>
      </c>
      <c r="E25" s="5">
        <f>'總表'!G55</f>
        <v/>
      </c>
      <c r="F25" s="40">
        <f>'總表'!H55</f>
        <v/>
      </c>
      <c r="G25" s="41">
        <f>'總表'!J55</f>
        <v/>
      </c>
      <c r="H25" s="9">
        <f>'總表'!L55</f>
        <v/>
      </c>
      <c r="I25" s="41">
        <f>'總表'!R55</f>
        <v/>
      </c>
      <c r="J25" s="41">
        <f>'總表'!S55</f>
        <v/>
      </c>
      <c r="K25" s="9">
        <f>'總表'!W55</f>
        <v/>
      </c>
      <c r="L25" s="9">
        <f>'總表'!X55</f>
        <v/>
      </c>
      <c r="M25" s="9">
        <f>'總表'!U55</f>
        <v/>
      </c>
      <c r="N25" s="5">
        <f>'總表'!AE55</f>
        <v/>
      </c>
      <c r="O25" s="5">
        <f>'總表'!AJ55</f>
        <v/>
      </c>
      <c r="P25" s="5">
        <f>'總表'!AK55</f>
        <v/>
      </c>
      <c r="Q25" s="9">
        <f>'總表'!AS55</f>
        <v/>
      </c>
      <c r="R25" s="5">
        <f>'總表'!AT55</f>
        <v/>
      </c>
      <c r="S25" s="11">
        <f>'總表'!AW55</f>
        <v/>
      </c>
      <c r="T25" s="17">
        <f>'總表'!BE55</f>
        <v/>
      </c>
      <c r="U25" s="17">
        <f>'總表'!BG55</f>
        <v/>
      </c>
      <c r="V25" s="17">
        <f>'總表'!BH55</f>
        <v/>
      </c>
      <c r="W25" s="17">
        <f>'總表'!BI55</f>
        <v/>
      </c>
      <c r="X25" s="17">
        <f>'總表'!BJ55</f>
        <v/>
      </c>
      <c r="Y25" s="18">
        <f>'總表'!BK55</f>
        <v/>
      </c>
      <c r="Z25" s="5">
        <f>'總表'!B55</f>
        <v/>
      </c>
    </row>
    <row r="26">
      <c r="A26" s="5" t="n">
        <v>25</v>
      </c>
      <c r="B26" s="6" t="inlineStr">
        <is>
          <t>SWBI</t>
        </is>
      </c>
      <c r="C26" s="5">
        <f>'總表'!D56</f>
        <v/>
      </c>
      <c r="D26" s="5">
        <f>'總表'!F56</f>
        <v/>
      </c>
      <c r="E26" s="5">
        <f>'總表'!G56</f>
        <v/>
      </c>
      <c r="F26" s="40">
        <f>'總表'!H56</f>
        <v/>
      </c>
      <c r="G26" s="41">
        <f>'總表'!J56</f>
        <v/>
      </c>
      <c r="H26" s="9">
        <f>'總表'!L56</f>
        <v/>
      </c>
      <c r="I26" s="41">
        <f>'總表'!R56</f>
        <v/>
      </c>
      <c r="J26" s="41">
        <f>'總表'!S56</f>
        <v/>
      </c>
      <c r="K26" s="9">
        <f>'總表'!W56</f>
        <v/>
      </c>
      <c r="L26" s="9">
        <f>'總表'!X56</f>
        <v/>
      </c>
      <c r="M26" s="9">
        <f>'總表'!U56</f>
        <v/>
      </c>
      <c r="N26" s="5">
        <f>'總表'!AE56</f>
        <v/>
      </c>
      <c r="O26" s="5">
        <f>'總表'!AJ56</f>
        <v/>
      </c>
      <c r="P26" s="5">
        <f>'總表'!AK56</f>
        <v/>
      </c>
      <c r="Q26" s="9">
        <f>'總表'!AS56</f>
        <v/>
      </c>
      <c r="R26" s="5">
        <f>'總表'!AT56</f>
        <v/>
      </c>
      <c r="S26" s="11">
        <f>'總表'!AW56</f>
        <v/>
      </c>
      <c r="T26" s="17">
        <f>'總表'!BE56</f>
        <v/>
      </c>
      <c r="U26" s="17">
        <f>'總表'!BG56</f>
        <v/>
      </c>
      <c r="V26" s="17">
        <f>'總表'!BH56</f>
        <v/>
      </c>
      <c r="W26" s="17">
        <f>'總表'!BI56</f>
        <v/>
      </c>
      <c r="X26" s="17">
        <f>'總表'!BJ56</f>
        <v/>
      </c>
      <c r="Y26" s="18">
        <f>'總表'!BK56</f>
        <v/>
      </c>
      <c r="Z26" s="5">
        <f>'總表'!B56</f>
        <v/>
      </c>
    </row>
    <row r="27">
      <c r="A27" s="5" t="n">
        <v>26</v>
      </c>
      <c r="B27" s="6" t="inlineStr">
        <is>
          <t>CSTL</t>
        </is>
      </c>
      <c r="C27" s="5">
        <f>'總表'!D57</f>
        <v/>
      </c>
      <c r="D27" s="5">
        <f>'總表'!F57</f>
        <v/>
      </c>
      <c r="E27" s="5">
        <f>'總表'!G57</f>
        <v/>
      </c>
      <c r="F27" s="40">
        <f>'總表'!H57</f>
        <v/>
      </c>
      <c r="G27" s="41">
        <f>'總表'!J57</f>
        <v/>
      </c>
      <c r="H27" s="9">
        <f>'總表'!L57</f>
        <v/>
      </c>
      <c r="I27" s="41">
        <f>'總表'!R57</f>
        <v/>
      </c>
      <c r="J27" s="41">
        <f>'總表'!S57</f>
        <v/>
      </c>
      <c r="K27" s="9">
        <f>'總表'!W57</f>
        <v/>
      </c>
      <c r="L27" s="9">
        <f>'總表'!X57</f>
        <v/>
      </c>
      <c r="M27" s="9">
        <f>'總表'!U57</f>
        <v/>
      </c>
      <c r="N27" s="5">
        <f>'總表'!AE57</f>
        <v/>
      </c>
      <c r="O27" s="5">
        <f>'總表'!AJ57</f>
        <v/>
      </c>
      <c r="P27" s="5">
        <f>'總表'!AK57</f>
        <v/>
      </c>
      <c r="Q27" s="9">
        <f>'總表'!AS57</f>
        <v/>
      </c>
      <c r="R27" s="5">
        <f>'總表'!AT57</f>
        <v/>
      </c>
      <c r="S27" s="11">
        <f>'總表'!AW57</f>
        <v/>
      </c>
      <c r="T27" s="17">
        <f>'總表'!BE57</f>
        <v/>
      </c>
      <c r="U27" s="17">
        <f>'總表'!BG57</f>
        <v/>
      </c>
      <c r="V27" s="17">
        <f>'總表'!BH57</f>
        <v/>
      </c>
      <c r="W27" s="17">
        <f>'總表'!BI57</f>
        <v/>
      </c>
      <c r="X27" s="17">
        <f>'總表'!BJ57</f>
        <v/>
      </c>
      <c r="Y27" s="18">
        <f>'總表'!BK57</f>
        <v/>
      </c>
      <c r="Z27" s="5">
        <f>'總表'!B57</f>
        <v/>
      </c>
    </row>
    <row r="28">
      <c r="A28" s="5" t="n">
        <v>27</v>
      </c>
      <c r="B28" s="6" t="inlineStr">
        <is>
          <t>PBYI</t>
        </is>
      </c>
      <c r="C28" s="5">
        <f>'總表'!D58</f>
        <v/>
      </c>
      <c r="D28" s="5">
        <f>'總表'!F58</f>
        <v/>
      </c>
      <c r="E28" s="5">
        <f>'總表'!G58</f>
        <v/>
      </c>
      <c r="F28" s="40">
        <f>'總表'!H58</f>
        <v/>
      </c>
      <c r="G28" s="41">
        <f>'總表'!J58</f>
        <v/>
      </c>
      <c r="H28" s="9">
        <f>'總表'!L58</f>
        <v/>
      </c>
      <c r="I28" s="41">
        <f>'總表'!R58</f>
        <v/>
      </c>
      <c r="J28" s="41">
        <f>'總表'!S58</f>
        <v/>
      </c>
      <c r="K28" s="9">
        <f>'總表'!W58</f>
        <v/>
      </c>
      <c r="L28" s="9">
        <f>'總表'!X58</f>
        <v/>
      </c>
      <c r="M28" s="9">
        <f>'總表'!U58</f>
        <v/>
      </c>
      <c r="N28" s="5">
        <f>'總表'!AE58</f>
        <v/>
      </c>
      <c r="O28" s="5">
        <f>'總表'!AJ58</f>
        <v/>
      </c>
      <c r="P28" s="5">
        <f>'總表'!AK58</f>
        <v/>
      </c>
      <c r="Q28" s="9">
        <f>'總表'!AS58</f>
        <v/>
      </c>
      <c r="R28" s="5">
        <f>'總表'!AT58</f>
        <v/>
      </c>
      <c r="S28" s="11">
        <f>'總表'!AW58</f>
        <v/>
      </c>
      <c r="T28" s="17">
        <f>'總表'!BE58</f>
        <v/>
      </c>
      <c r="U28" s="17">
        <f>'總表'!BG58</f>
        <v/>
      </c>
      <c r="V28" s="17">
        <f>'總表'!BH58</f>
        <v/>
      </c>
      <c r="W28" s="17">
        <f>'總表'!BI58</f>
        <v/>
      </c>
      <c r="X28" s="17">
        <f>'總表'!BJ58</f>
        <v/>
      </c>
      <c r="Y28" s="18">
        <f>'總表'!BK58</f>
        <v/>
      </c>
      <c r="Z28" s="5">
        <f>'總表'!B58</f>
        <v/>
      </c>
    </row>
    <row r="29">
      <c r="A29" s="5" t="n">
        <v>28</v>
      </c>
      <c r="B29" s="6" t="inlineStr">
        <is>
          <t>BTGO</t>
        </is>
      </c>
      <c r="C29" s="5">
        <f>'總表'!D62</f>
        <v/>
      </c>
      <c r="D29" s="5">
        <f>'總表'!F62</f>
        <v/>
      </c>
      <c r="E29" s="5">
        <f>'總表'!G62</f>
        <v/>
      </c>
      <c r="F29" s="40">
        <f>'總表'!H62</f>
        <v/>
      </c>
      <c r="G29" s="41">
        <f>'總表'!J62</f>
        <v/>
      </c>
      <c r="H29" s="9">
        <f>'總表'!L62</f>
        <v/>
      </c>
      <c r="I29" s="41">
        <f>'總表'!R62</f>
        <v/>
      </c>
      <c r="J29" s="41">
        <f>'總表'!S62</f>
        <v/>
      </c>
      <c r="K29" s="9">
        <f>'總表'!W62</f>
        <v/>
      </c>
      <c r="L29" s="9">
        <f>'總表'!X62</f>
        <v/>
      </c>
      <c r="M29" s="9">
        <f>'總表'!U62</f>
        <v/>
      </c>
      <c r="N29" s="5">
        <f>'總表'!AE62</f>
        <v/>
      </c>
      <c r="O29" s="5">
        <f>'總表'!AJ62</f>
        <v/>
      </c>
      <c r="P29" s="5">
        <f>'總表'!AK62</f>
        <v/>
      </c>
      <c r="Q29" s="9">
        <f>'總表'!AS62</f>
        <v/>
      </c>
      <c r="R29" s="5">
        <f>'總表'!AT62</f>
        <v/>
      </c>
      <c r="S29" s="11">
        <f>'總表'!AW62</f>
        <v/>
      </c>
      <c r="T29" s="17">
        <f>'總表'!BE62</f>
        <v/>
      </c>
      <c r="U29" s="17">
        <f>'總表'!BG62</f>
        <v/>
      </c>
      <c r="V29" s="17">
        <f>'總表'!BH62</f>
        <v/>
      </c>
      <c r="W29" s="17">
        <f>'總表'!BI62</f>
        <v/>
      </c>
      <c r="X29" s="17">
        <f>'總表'!BJ62</f>
        <v/>
      </c>
      <c r="Y29" s="18">
        <f>'總表'!BK62</f>
        <v/>
      </c>
      <c r="Z29" s="5">
        <f>'總表'!B62</f>
        <v/>
      </c>
    </row>
    <row r="30">
      <c r="A30" s="5" t="n">
        <v>29</v>
      </c>
      <c r="B30" s="6" t="inlineStr">
        <is>
          <t>EGBN</t>
        </is>
      </c>
      <c r="C30" s="5">
        <f>'總表'!D64</f>
        <v/>
      </c>
      <c r="D30" s="5">
        <f>'總表'!F64</f>
        <v/>
      </c>
      <c r="E30" s="5">
        <f>'總表'!G64</f>
        <v/>
      </c>
      <c r="F30" s="40">
        <f>'總表'!H64</f>
        <v/>
      </c>
      <c r="G30" s="41">
        <f>'總表'!J64</f>
        <v/>
      </c>
      <c r="H30" s="9">
        <f>'總表'!L64</f>
        <v/>
      </c>
      <c r="I30" s="41">
        <f>'總表'!R64</f>
        <v/>
      </c>
      <c r="J30" s="41">
        <f>'總表'!S64</f>
        <v/>
      </c>
      <c r="K30" s="9">
        <f>'總表'!W64</f>
        <v/>
      </c>
      <c r="L30" s="9">
        <f>'總表'!X64</f>
        <v/>
      </c>
      <c r="M30" s="9">
        <f>'總表'!U64</f>
        <v/>
      </c>
      <c r="N30" s="5">
        <f>'總表'!AE64</f>
        <v/>
      </c>
      <c r="O30" s="5">
        <f>'總表'!AJ64</f>
        <v/>
      </c>
      <c r="P30" s="5">
        <f>'總表'!AK64</f>
        <v/>
      </c>
      <c r="Q30" s="9">
        <f>'總表'!AS64</f>
        <v/>
      </c>
      <c r="R30" s="5">
        <f>'總表'!AT64</f>
        <v/>
      </c>
      <c r="S30" s="11">
        <f>'總表'!AW64</f>
        <v/>
      </c>
      <c r="T30" s="17">
        <f>'總表'!BE64</f>
        <v/>
      </c>
      <c r="U30" s="17">
        <f>'總表'!BG64</f>
        <v/>
      </c>
      <c r="V30" s="17">
        <f>'總表'!BH64</f>
        <v/>
      </c>
      <c r="W30" s="17">
        <f>'總表'!BI64</f>
        <v/>
      </c>
      <c r="X30" s="17">
        <f>'總表'!BJ64</f>
        <v/>
      </c>
      <c r="Y30" s="18">
        <f>'總表'!BK64</f>
        <v/>
      </c>
      <c r="Z30" s="5">
        <f>'總表'!B64</f>
        <v/>
      </c>
    </row>
    <row r="31">
      <c r="A31" s="5" t="n">
        <v>30</v>
      </c>
      <c r="B31" s="6" t="inlineStr">
        <is>
          <t>DJCO</t>
        </is>
      </c>
      <c r="C31" s="5">
        <f>'總表'!D65</f>
        <v/>
      </c>
      <c r="D31" s="5">
        <f>'總表'!F65</f>
        <v/>
      </c>
      <c r="E31" s="5">
        <f>'總表'!G65</f>
        <v/>
      </c>
      <c r="F31" s="40">
        <f>'總表'!H65</f>
        <v/>
      </c>
      <c r="G31" s="41">
        <f>'總表'!J65</f>
        <v/>
      </c>
      <c r="H31" s="9">
        <f>'總表'!L65</f>
        <v/>
      </c>
      <c r="I31" s="41">
        <f>'總表'!R65</f>
        <v/>
      </c>
      <c r="J31" s="41">
        <f>'總表'!S65</f>
        <v/>
      </c>
      <c r="K31" s="9">
        <f>'總表'!W65</f>
        <v/>
      </c>
      <c r="L31" s="9">
        <f>'總表'!X65</f>
        <v/>
      </c>
      <c r="M31" s="9">
        <f>'總表'!U65</f>
        <v/>
      </c>
      <c r="N31" s="5">
        <f>'總表'!AE65</f>
        <v/>
      </c>
      <c r="O31" s="5">
        <f>'總表'!AJ65</f>
        <v/>
      </c>
      <c r="P31" s="5">
        <f>'總表'!AK65</f>
        <v/>
      </c>
      <c r="Q31" s="9">
        <f>'總表'!AS65</f>
        <v/>
      </c>
      <c r="R31" s="5">
        <f>'總表'!AT65</f>
        <v/>
      </c>
      <c r="S31" s="11">
        <f>'總表'!AW65</f>
        <v/>
      </c>
      <c r="T31" s="17">
        <f>'總表'!BE65</f>
        <v/>
      </c>
      <c r="U31" s="17">
        <f>'總表'!BG65</f>
        <v/>
      </c>
      <c r="V31" s="17">
        <f>'總表'!BH65</f>
        <v/>
      </c>
      <c r="W31" s="17">
        <f>'總表'!BI65</f>
        <v/>
      </c>
      <c r="X31" s="17">
        <f>'總表'!BJ65</f>
        <v/>
      </c>
      <c r="Y31" s="18">
        <f>'總表'!BK65</f>
        <v/>
      </c>
      <c r="Z31" s="5">
        <f>'總表'!B65</f>
        <v/>
      </c>
    </row>
    <row r="32">
      <c r="A32" s="5" t="n">
        <v>31</v>
      </c>
      <c r="B32" s="6" t="inlineStr">
        <is>
          <t>UTMD</t>
        </is>
      </c>
      <c r="C32" s="5">
        <f>'總表'!D71</f>
        <v/>
      </c>
      <c r="D32" s="5">
        <f>'總表'!F71</f>
        <v/>
      </c>
      <c r="E32" s="5">
        <f>'總表'!G71</f>
        <v/>
      </c>
      <c r="F32" s="40">
        <f>'總表'!H71</f>
        <v/>
      </c>
      <c r="G32" s="41">
        <f>'總表'!J71</f>
        <v/>
      </c>
      <c r="H32" s="9">
        <f>'總表'!L71</f>
        <v/>
      </c>
      <c r="I32" s="41">
        <f>'總表'!R71</f>
        <v/>
      </c>
      <c r="J32" s="41">
        <f>'總表'!S71</f>
        <v/>
      </c>
      <c r="K32" s="9">
        <f>'總表'!W71</f>
        <v/>
      </c>
      <c r="L32" s="9">
        <f>'總表'!X71</f>
        <v/>
      </c>
      <c r="M32" s="9">
        <f>'總表'!U71</f>
        <v/>
      </c>
      <c r="N32" s="5">
        <f>'總表'!AE71</f>
        <v/>
      </c>
      <c r="O32" s="5">
        <f>'總表'!AJ71</f>
        <v/>
      </c>
      <c r="P32" s="5">
        <f>'總表'!AK71</f>
        <v/>
      </c>
      <c r="Q32" s="9">
        <f>'總表'!AS71</f>
        <v/>
      </c>
      <c r="R32" s="5">
        <f>'總表'!AT71</f>
        <v/>
      </c>
      <c r="S32" s="11">
        <f>'總表'!AW71</f>
        <v/>
      </c>
      <c r="T32" s="17">
        <f>'總表'!BE71</f>
        <v/>
      </c>
      <c r="U32" s="17">
        <f>'總表'!BG71</f>
        <v/>
      </c>
      <c r="V32" s="17">
        <f>'總表'!BH71</f>
        <v/>
      </c>
      <c r="W32" s="17">
        <f>'總表'!BI71</f>
        <v/>
      </c>
      <c r="X32" s="17">
        <f>'總表'!BJ71</f>
        <v/>
      </c>
      <c r="Y32" s="18">
        <f>'總表'!BK71</f>
        <v/>
      </c>
      <c r="Z32" s="5">
        <f>'總表'!B71</f>
        <v/>
      </c>
    </row>
    <row r="33">
      <c r="A33" s="5" t="n">
        <v>32</v>
      </c>
      <c r="B33" s="6" t="inlineStr">
        <is>
          <t>TH</t>
        </is>
      </c>
      <c r="C33" s="5">
        <f>'總表'!D77</f>
        <v/>
      </c>
      <c r="D33" s="5">
        <f>'總表'!F77</f>
        <v/>
      </c>
      <c r="E33" s="5">
        <f>'總表'!G77</f>
        <v/>
      </c>
      <c r="F33" s="40">
        <f>'總表'!H77</f>
        <v/>
      </c>
      <c r="G33" s="41">
        <f>'總表'!J77</f>
        <v/>
      </c>
      <c r="H33" s="9">
        <f>'總表'!L77</f>
        <v/>
      </c>
      <c r="I33" s="41">
        <f>'總表'!R77</f>
        <v/>
      </c>
      <c r="J33" s="41">
        <f>'總表'!S77</f>
        <v/>
      </c>
      <c r="K33" s="9">
        <f>'總表'!W77</f>
        <v/>
      </c>
      <c r="L33" s="9">
        <f>'總表'!X77</f>
        <v/>
      </c>
      <c r="M33" s="9">
        <f>'總表'!U77</f>
        <v/>
      </c>
      <c r="N33" s="5">
        <f>'總表'!AE77</f>
        <v/>
      </c>
      <c r="O33" s="5">
        <f>'總表'!AJ77</f>
        <v/>
      </c>
      <c r="P33" s="5">
        <f>'總表'!AK77</f>
        <v/>
      </c>
      <c r="Q33" s="9">
        <f>'總表'!AS77</f>
        <v/>
      </c>
      <c r="R33" s="5">
        <f>'總表'!AT77</f>
        <v/>
      </c>
      <c r="S33" s="11">
        <f>'總表'!AW77</f>
        <v/>
      </c>
      <c r="T33" s="17">
        <f>'總表'!BE77</f>
        <v/>
      </c>
      <c r="U33" s="17">
        <f>'總表'!BG77</f>
        <v/>
      </c>
      <c r="V33" s="17">
        <f>'總表'!BH77</f>
        <v/>
      </c>
      <c r="W33" s="17">
        <f>'總表'!BI77</f>
        <v/>
      </c>
      <c r="X33" s="17">
        <f>'總表'!BJ77</f>
        <v/>
      </c>
      <c r="Y33" s="18">
        <f>'總表'!BK77</f>
        <v/>
      </c>
      <c r="Z33" s="5">
        <f>'總表'!B77</f>
        <v/>
      </c>
    </row>
    <row r="34">
      <c r="A34" s="5" t="n">
        <v>33</v>
      </c>
      <c r="B34" s="6" t="inlineStr">
        <is>
          <t>CLDT</t>
        </is>
      </c>
      <c r="C34" s="5">
        <f>'總表'!D78</f>
        <v/>
      </c>
      <c r="D34" s="5">
        <f>'總表'!F78</f>
        <v/>
      </c>
      <c r="E34" s="5">
        <f>'總表'!G78</f>
        <v/>
      </c>
      <c r="F34" s="40">
        <f>'總表'!H78</f>
        <v/>
      </c>
      <c r="G34" s="41">
        <f>'總表'!J78</f>
        <v/>
      </c>
      <c r="H34" s="9">
        <f>'總表'!L78</f>
        <v/>
      </c>
      <c r="I34" s="41">
        <f>'總表'!R78</f>
        <v/>
      </c>
      <c r="J34" s="41">
        <f>'總表'!S78</f>
        <v/>
      </c>
      <c r="K34" s="9">
        <f>'總表'!W78</f>
        <v/>
      </c>
      <c r="L34" s="9">
        <f>'總表'!X78</f>
        <v/>
      </c>
      <c r="M34" s="9">
        <f>'總表'!U78</f>
        <v/>
      </c>
      <c r="N34" s="19">
        <f>'總表'!AE78</f>
        <v/>
      </c>
      <c r="O34" s="5">
        <f>'總表'!AJ78</f>
        <v/>
      </c>
      <c r="P34" s="5">
        <f>'總表'!AK78</f>
        <v/>
      </c>
      <c r="Q34" s="9">
        <f>'總表'!AS78</f>
        <v/>
      </c>
      <c r="R34" s="5">
        <f>'總表'!AT78</f>
        <v/>
      </c>
      <c r="S34" s="11">
        <f>'總表'!AW78</f>
        <v/>
      </c>
      <c r="T34" s="17">
        <f>'總表'!BE78</f>
        <v/>
      </c>
      <c r="U34" s="17">
        <f>'總表'!BG78</f>
        <v/>
      </c>
      <c r="V34" s="17">
        <f>'總表'!BH78</f>
        <v/>
      </c>
      <c r="W34" s="17">
        <f>'總表'!BI78</f>
        <v/>
      </c>
      <c r="X34" s="17">
        <f>'總表'!BJ78</f>
        <v/>
      </c>
      <c r="Y34" s="18">
        <f>'總表'!BK78</f>
        <v/>
      </c>
      <c r="Z34" s="5">
        <f>'總表'!B78</f>
        <v/>
      </c>
    </row>
    <row r="35">
      <c r="A35" s="5" t="n">
        <v>34</v>
      </c>
      <c r="B35" s="6" t="inlineStr">
        <is>
          <t>SMTI</t>
        </is>
      </c>
      <c r="C35" s="5">
        <f>'總表'!D80</f>
        <v/>
      </c>
      <c r="D35" s="5">
        <f>'總表'!F80</f>
        <v/>
      </c>
      <c r="E35" s="5">
        <f>'總表'!G80</f>
        <v/>
      </c>
      <c r="F35" s="40">
        <f>'總表'!H80</f>
        <v/>
      </c>
      <c r="G35" s="41">
        <f>'總表'!J80</f>
        <v/>
      </c>
      <c r="H35" s="9">
        <f>'總表'!L80</f>
        <v/>
      </c>
      <c r="I35" s="41">
        <f>'總表'!R80</f>
        <v/>
      </c>
      <c r="J35" s="41">
        <f>'總表'!S80</f>
        <v/>
      </c>
      <c r="K35" s="9">
        <f>'總表'!W80</f>
        <v/>
      </c>
      <c r="L35" s="9">
        <f>'總表'!X80</f>
        <v/>
      </c>
      <c r="M35" s="9">
        <f>'總表'!U80</f>
        <v/>
      </c>
      <c r="N35" s="5">
        <f>'總表'!AE80</f>
        <v/>
      </c>
      <c r="O35" s="5">
        <f>'總表'!AJ80</f>
        <v/>
      </c>
      <c r="P35" s="5">
        <f>'總表'!AK80</f>
        <v/>
      </c>
      <c r="Q35" s="9">
        <f>'總表'!AS80</f>
        <v/>
      </c>
      <c r="R35" s="5">
        <f>'總表'!AT80</f>
        <v/>
      </c>
      <c r="S35" s="11">
        <f>'總表'!AW80</f>
        <v/>
      </c>
      <c r="T35" s="17">
        <f>'總表'!BE80</f>
        <v/>
      </c>
      <c r="U35" s="17">
        <f>'總表'!BG80</f>
        <v/>
      </c>
      <c r="V35" s="17">
        <f>'總表'!BH80</f>
        <v/>
      </c>
      <c r="W35" s="17">
        <f>'總表'!BI80</f>
        <v/>
      </c>
      <c r="X35" s="17">
        <f>'總表'!BJ80</f>
        <v/>
      </c>
      <c r="Y35" s="18">
        <f>'總表'!BK80</f>
        <v/>
      </c>
      <c r="Z35" s="5">
        <f>'總表'!B80</f>
        <v/>
      </c>
    </row>
    <row r="36">
      <c r="A36" s="5" t="n">
        <v>35</v>
      </c>
      <c r="B36" s="6" t="inlineStr">
        <is>
          <t>BPRN</t>
        </is>
      </c>
      <c r="C36" s="5">
        <f>'總表'!D82</f>
        <v/>
      </c>
      <c r="D36" s="5">
        <f>'總表'!F82</f>
        <v/>
      </c>
      <c r="E36" s="5">
        <f>'總表'!G82</f>
        <v/>
      </c>
      <c r="F36" s="40">
        <f>'總表'!H82</f>
        <v/>
      </c>
      <c r="G36" s="41">
        <f>'總表'!J82</f>
        <v/>
      </c>
      <c r="H36" s="9">
        <f>'總表'!L82</f>
        <v/>
      </c>
      <c r="I36" s="41">
        <f>'總表'!R82</f>
        <v/>
      </c>
      <c r="J36" s="41">
        <f>'總表'!S82</f>
        <v/>
      </c>
      <c r="K36" s="9">
        <f>'總表'!W82</f>
        <v/>
      </c>
      <c r="L36" s="9">
        <f>'總表'!X82</f>
        <v/>
      </c>
      <c r="M36" s="9">
        <f>'總表'!U82</f>
        <v/>
      </c>
      <c r="N36" s="5">
        <f>'總表'!AE82</f>
        <v/>
      </c>
      <c r="O36" s="5">
        <f>'總表'!AJ82</f>
        <v/>
      </c>
      <c r="P36" s="5">
        <f>'總表'!AK82</f>
        <v/>
      </c>
      <c r="Q36" s="9">
        <f>'總表'!AS82</f>
        <v/>
      </c>
      <c r="R36" s="5">
        <f>'總表'!AT82</f>
        <v/>
      </c>
      <c r="S36" s="11">
        <f>'總表'!AW82</f>
        <v/>
      </c>
      <c r="T36" s="17">
        <f>'總表'!BE82</f>
        <v/>
      </c>
      <c r="U36" s="17">
        <f>'總表'!BG82</f>
        <v/>
      </c>
      <c r="V36" s="17">
        <f>'總表'!BH82</f>
        <v/>
      </c>
      <c r="W36" s="17">
        <f>'總表'!BI82</f>
        <v/>
      </c>
      <c r="X36" s="17">
        <f>'總表'!BJ82</f>
        <v/>
      </c>
      <c r="Y36" s="18">
        <f>'總表'!BK82</f>
        <v/>
      </c>
      <c r="Z36" s="5">
        <f>'總表'!B82</f>
        <v/>
      </c>
    </row>
    <row r="37">
      <c r="A37" s="5" t="n">
        <v>36</v>
      </c>
      <c r="B37" s="6" t="inlineStr">
        <is>
          <t>PKOH</t>
        </is>
      </c>
      <c r="C37" s="5">
        <f>'總表'!D83</f>
        <v/>
      </c>
      <c r="D37" s="5">
        <f>'總表'!F83</f>
        <v/>
      </c>
      <c r="E37" s="5">
        <f>'總表'!G83</f>
        <v/>
      </c>
      <c r="F37" s="40">
        <f>'總表'!H83</f>
        <v/>
      </c>
      <c r="G37" s="41">
        <f>'總表'!J83</f>
        <v/>
      </c>
      <c r="H37" s="9">
        <f>'總表'!L83</f>
        <v/>
      </c>
      <c r="I37" s="41">
        <f>'總表'!R83</f>
        <v/>
      </c>
      <c r="J37" s="41">
        <f>'總表'!S83</f>
        <v/>
      </c>
      <c r="K37" s="9">
        <f>'總表'!W83</f>
        <v/>
      </c>
      <c r="L37" s="9">
        <f>'總表'!X83</f>
        <v/>
      </c>
      <c r="M37" s="9">
        <f>'總表'!U83</f>
        <v/>
      </c>
      <c r="N37" s="5">
        <f>'總表'!AE83</f>
        <v/>
      </c>
      <c r="O37" s="5">
        <f>'總表'!AJ83</f>
        <v/>
      </c>
      <c r="P37" s="5">
        <f>'總表'!AK83</f>
        <v/>
      </c>
      <c r="Q37" s="9">
        <f>'總表'!AS83</f>
        <v/>
      </c>
      <c r="R37" s="5">
        <f>'總表'!AT83</f>
        <v/>
      </c>
      <c r="S37" s="11">
        <f>'總表'!AW83</f>
        <v/>
      </c>
      <c r="T37" s="17">
        <f>'總表'!BE83</f>
        <v/>
      </c>
      <c r="U37" s="17">
        <f>'總表'!BG83</f>
        <v/>
      </c>
      <c r="V37" s="17">
        <f>'總表'!BH83</f>
        <v/>
      </c>
      <c r="W37" s="17">
        <f>'總表'!BI83</f>
        <v/>
      </c>
      <c r="X37" s="17">
        <f>'總表'!BJ83</f>
        <v/>
      </c>
      <c r="Y37" s="18">
        <f>'總表'!BK83</f>
        <v/>
      </c>
      <c r="Z37" s="5">
        <f>'總表'!B83</f>
        <v/>
      </c>
    </row>
    <row r="38">
      <c r="A38" s="5" t="n">
        <v>37</v>
      </c>
      <c r="B38" s="6" t="inlineStr">
        <is>
          <t>AIP</t>
        </is>
      </c>
      <c r="C38" s="5">
        <f>'總表'!D86</f>
        <v/>
      </c>
      <c r="D38" s="5">
        <f>'總表'!F86</f>
        <v/>
      </c>
      <c r="E38" s="5">
        <f>'總表'!G86</f>
        <v/>
      </c>
      <c r="F38" s="40">
        <f>'總表'!H86</f>
        <v/>
      </c>
      <c r="G38" s="41">
        <f>'總表'!J86</f>
        <v/>
      </c>
      <c r="H38" s="9">
        <f>'總表'!L86</f>
        <v/>
      </c>
      <c r="I38" s="41">
        <f>'總表'!R86</f>
        <v/>
      </c>
      <c r="J38" s="41">
        <f>'總表'!S86</f>
        <v/>
      </c>
      <c r="K38" s="9">
        <f>'總表'!W86</f>
        <v/>
      </c>
      <c r="L38" s="9">
        <f>'總表'!X86</f>
        <v/>
      </c>
      <c r="M38" s="9">
        <f>'總表'!U86</f>
        <v/>
      </c>
      <c r="N38" s="19">
        <f>'總表'!AE86</f>
        <v/>
      </c>
      <c r="O38" s="5">
        <f>'總表'!AJ86</f>
        <v/>
      </c>
      <c r="P38" s="5">
        <f>'總表'!AK86</f>
        <v/>
      </c>
      <c r="Q38" s="9">
        <f>'總表'!AS86</f>
        <v/>
      </c>
      <c r="R38" s="5">
        <f>'總表'!AT86</f>
        <v/>
      </c>
      <c r="S38" s="11">
        <f>'總表'!AW86</f>
        <v/>
      </c>
      <c r="T38" s="17">
        <f>'總表'!BE86</f>
        <v/>
      </c>
      <c r="U38" s="17">
        <f>'總表'!BG86</f>
        <v/>
      </c>
      <c r="V38" s="17">
        <f>'總表'!BH86</f>
        <v/>
      </c>
      <c r="W38" s="17">
        <f>'總表'!BI86</f>
        <v/>
      </c>
      <c r="X38" s="17">
        <f>'總表'!BJ86</f>
        <v/>
      </c>
      <c r="Y38" s="18">
        <f>'總表'!BK86</f>
        <v/>
      </c>
      <c r="Z38" s="5">
        <f>'總表'!B86</f>
        <v/>
      </c>
    </row>
    <row r="39">
      <c r="A39" s="5" t="n">
        <v>38</v>
      </c>
      <c r="B39" s="6" t="inlineStr">
        <is>
          <t>FSBW</t>
        </is>
      </c>
      <c r="C39" s="5">
        <f>'總表'!D87</f>
        <v/>
      </c>
      <c r="D39" s="5">
        <f>'總表'!F87</f>
        <v/>
      </c>
      <c r="E39" s="5">
        <f>'總表'!G87</f>
        <v/>
      </c>
      <c r="F39" s="40">
        <f>'總表'!H87</f>
        <v/>
      </c>
      <c r="G39" s="41">
        <f>'總表'!J87</f>
        <v/>
      </c>
      <c r="H39" s="9">
        <f>'總表'!L87</f>
        <v/>
      </c>
      <c r="I39" s="41">
        <f>'總表'!R87</f>
        <v/>
      </c>
      <c r="J39" s="41">
        <f>'總表'!S87</f>
        <v/>
      </c>
      <c r="K39" s="9">
        <f>'總表'!W87</f>
        <v/>
      </c>
      <c r="L39" s="9">
        <f>'總表'!X87</f>
        <v/>
      </c>
      <c r="M39" s="9">
        <f>'總表'!U87</f>
        <v/>
      </c>
      <c r="N39" s="5">
        <f>'總表'!AE87</f>
        <v/>
      </c>
      <c r="O39" s="5">
        <f>'總表'!AJ87</f>
        <v/>
      </c>
      <c r="P39" s="5">
        <f>'總表'!AK87</f>
        <v/>
      </c>
      <c r="Q39" s="9">
        <f>'總表'!AS87</f>
        <v/>
      </c>
      <c r="R39" s="5">
        <f>'總表'!AT87</f>
        <v/>
      </c>
      <c r="S39" s="11">
        <f>'總表'!AW87</f>
        <v/>
      </c>
      <c r="T39" s="17">
        <f>'總表'!BE87</f>
        <v/>
      </c>
      <c r="U39" s="17">
        <f>'總表'!BG87</f>
        <v/>
      </c>
      <c r="V39" s="17">
        <f>'總表'!BH87</f>
        <v/>
      </c>
      <c r="W39" s="17">
        <f>'總表'!BI87</f>
        <v/>
      </c>
      <c r="X39" s="17">
        <f>'總表'!BJ87</f>
        <v/>
      </c>
      <c r="Y39" s="18">
        <f>'總表'!BK87</f>
        <v/>
      </c>
      <c r="Z39" s="5">
        <f>'總表'!B87</f>
        <v/>
      </c>
    </row>
    <row r="40">
      <c r="A40" s="5" t="n">
        <v>39</v>
      </c>
      <c r="B40" s="6" t="inlineStr">
        <is>
          <t>FNRN</t>
        </is>
      </c>
      <c r="C40" s="5">
        <f>'總表'!D89</f>
        <v/>
      </c>
      <c r="D40" s="5">
        <f>'總表'!F89</f>
        <v/>
      </c>
      <c r="E40" s="5">
        <f>'總表'!G89</f>
        <v/>
      </c>
      <c r="F40" s="40">
        <f>'總表'!H89</f>
        <v/>
      </c>
      <c r="G40" s="41">
        <f>'總表'!J89</f>
        <v/>
      </c>
      <c r="H40" s="9">
        <f>'總表'!L89</f>
        <v/>
      </c>
      <c r="I40" s="41">
        <f>'總表'!R89</f>
        <v/>
      </c>
      <c r="J40" s="41">
        <f>'總表'!S89</f>
        <v/>
      </c>
      <c r="K40" s="9">
        <f>'總表'!W89</f>
        <v/>
      </c>
      <c r="L40" s="9">
        <f>'總表'!X89</f>
        <v/>
      </c>
      <c r="M40" s="9">
        <f>'總表'!U89</f>
        <v/>
      </c>
      <c r="N40" s="19">
        <f>'總表'!AE89</f>
        <v/>
      </c>
      <c r="O40" s="5">
        <f>'總表'!AJ89</f>
        <v/>
      </c>
      <c r="P40" s="5">
        <f>'總表'!AK89</f>
        <v/>
      </c>
      <c r="Q40" s="9">
        <f>'總表'!AS89</f>
        <v/>
      </c>
      <c r="R40" s="5">
        <f>'總表'!AT89</f>
        <v/>
      </c>
      <c r="S40" s="11">
        <f>'總表'!AW89</f>
        <v/>
      </c>
      <c r="T40" s="17">
        <f>'總表'!BE89</f>
        <v/>
      </c>
      <c r="U40" s="17">
        <f>'總表'!BG89</f>
        <v/>
      </c>
      <c r="V40" s="17">
        <f>'總表'!BH89</f>
        <v/>
      </c>
      <c r="W40" s="17">
        <f>'總表'!BI89</f>
        <v/>
      </c>
      <c r="X40" s="17">
        <f>'總表'!BJ89</f>
        <v/>
      </c>
      <c r="Y40" s="18">
        <f>'總表'!BK89</f>
        <v/>
      </c>
      <c r="Z40" s="5">
        <f>'總表'!B89</f>
        <v/>
      </c>
    </row>
    <row r="41">
      <c r="A41" s="5" t="n">
        <v>40</v>
      </c>
      <c r="B41" s="6" t="inlineStr">
        <is>
          <t>VSTS</t>
        </is>
      </c>
      <c r="C41" s="5">
        <f>'總表'!D92</f>
        <v/>
      </c>
      <c r="D41" s="5">
        <f>'總表'!F92</f>
        <v/>
      </c>
      <c r="E41" s="5">
        <f>'總表'!G92</f>
        <v/>
      </c>
      <c r="F41" s="40">
        <f>'總表'!H92</f>
        <v/>
      </c>
      <c r="G41" s="41">
        <f>'總表'!J92</f>
        <v/>
      </c>
      <c r="H41" s="9">
        <f>'總表'!L92</f>
        <v/>
      </c>
      <c r="I41" s="41">
        <f>'總表'!R92</f>
        <v/>
      </c>
      <c r="J41" s="41">
        <f>'總表'!S92</f>
        <v/>
      </c>
      <c r="K41" s="9">
        <f>'總表'!W92</f>
        <v/>
      </c>
      <c r="L41" s="9">
        <f>'總表'!X92</f>
        <v/>
      </c>
      <c r="M41" s="9">
        <f>'總表'!U92</f>
        <v/>
      </c>
      <c r="N41" s="5">
        <f>'總表'!AE92</f>
        <v/>
      </c>
      <c r="O41" s="5">
        <f>'總表'!AJ92</f>
        <v/>
      </c>
      <c r="P41" s="5">
        <f>'總表'!AK92</f>
        <v/>
      </c>
      <c r="Q41" s="9">
        <f>'總表'!AS92</f>
        <v/>
      </c>
      <c r="R41" s="5">
        <f>'總表'!AT92</f>
        <v/>
      </c>
      <c r="S41" s="11">
        <f>'總表'!AW92</f>
        <v/>
      </c>
      <c r="T41" s="17">
        <f>'總表'!BE92</f>
        <v/>
      </c>
      <c r="U41" s="17">
        <f>'總表'!BG92</f>
        <v/>
      </c>
      <c r="V41" s="17">
        <f>'總表'!BH92</f>
        <v/>
      </c>
      <c r="W41" s="17">
        <f>'總表'!BI92</f>
        <v/>
      </c>
      <c r="X41" s="17">
        <f>'總表'!BJ92</f>
        <v/>
      </c>
      <c r="Y41" s="18">
        <f>'總表'!BK92</f>
        <v/>
      </c>
      <c r="Z41" s="5">
        <f>'總表'!B92</f>
        <v/>
      </c>
    </row>
    <row r="42">
      <c r="A42" s="5" t="n">
        <v>41</v>
      </c>
      <c r="B42" s="6" t="inlineStr">
        <is>
          <t>SAFT</t>
        </is>
      </c>
      <c r="C42" s="5">
        <f>'總表'!D98</f>
        <v/>
      </c>
      <c r="D42" s="5">
        <f>'總表'!F98</f>
        <v/>
      </c>
      <c r="E42" s="5">
        <f>'總表'!G98</f>
        <v/>
      </c>
      <c r="F42" s="40">
        <f>'總表'!H98</f>
        <v/>
      </c>
      <c r="G42" s="41">
        <f>'總表'!J98</f>
        <v/>
      </c>
      <c r="H42" s="9">
        <f>'總表'!L98</f>
        <v/>
      </c>
      <c r="I42" s="41">
        <f>'總表'!R98</f>
        <v/>
      </c>
      <c r="J42" s="41">
        <f>'總表'!S98</f>
        <v/>
      </c>
      <c r="K42" s="9">
        <f>'總表'!W98</f>
        <v/>
      </c>
      <c r="L42" s="9">
        <f>'總表'!X98</f>
        <v/>
      </c>
      <c r="M42" s="9">
        <f>'總表'!U98</f>
        <v/>
      </c>
      <c r="N42" s="5">
        <f>'總表'!AE98</f>
        <v/>
      </c>
      <c r="O42" s="5">
        <f>'總表'!AJ98</f>
        <v/>
      </c>
      <c r="P42" s="5">
        <f>'總表'!AK98</f>
        <v/>
      </c>
      <c r="Q42" s="9">
        <f>'總表'!AS98</f>
        <v/>
      </c>
      <c r="R42" s="5">
        <f>'總表'!AT98</f>
        <v/>
      </c>
      <c r="S42" s="11">
        <f>'總表'!AW98</f>
        <v/>
      </c>
      <c r="T42" s="17">
        <f>'總表'!BE98</f>
        <v/>
      </c>
      <c r="U42" s="17">
        <f>'總表'!BG98</f>
        <v/>
      </c>
      <c r="V42" s="17">
        <f>'總表'!BH98</f>
        <v/>
      </c>
      <c r="W42" s="17">
        <f>'總表'!BI98</f>
        <v/>
      </c>
      <c r="X42" s="17">
        <f>'總表'!BJ98</f>
        <v/>
      </c>
      <c r="Y42" s="18">
        <f>'總表'!BK98</f>
        <v/>
      </c>
      <c r="Z42" s="5">
        <f>'總表'!B98</f>
        <v/>
      </c>
    </row>
    <row r="43">
      <c r="A43" s="5" t="n">
        <v>42</v>
      </c>
      <c r="B43" s="6" t="inlineStr">
        <is>
          <t>TRNS</t>
        </is>
      </c>
      <c r="C43" s="5">
        <f>'總表'!D99</f>
        <v/>
      </c>
      <c r="D43" s="5">
        <f>'總表'!F99</f>
        <v/>
      </c>
      <c r="E43" s="5">
        <f>'總表'!G99</f>
        <v/>
      </c>
      <c r="F43" s="40">
        <f>'總表'!H99</f>
        <v/>
      </c>
      <c r="G43" s="41">
        <f>'總表'!J99</f>
        <v/>
      </c>
      <c r="H43" s="9">
        <f>'總表'!L99</f>
        <v/>
      </c>
      <c r="I43" s="41">
        <f>'總表'!R99</f>
        <v/>
      </c>
      <c r="J43" s="41">
        <f>'總表'!S99</f>
        <v/>
      </c>
      <c r="K43" s="9">
        <f>'總表'!W99</f>
        <v/>
      </c>
      <c r="L43" s="9">
        <f>'總表'!X99</f>
        <v/>
      </c>
      <c r="M43" s="9">
        <f>'總表'!U99</f>
        <v/>
      </c>
      <c r="N43" s="5">
        <f>'總表'!AE99</f>
        <v/>
      </c>
      <c r="O43" s="5">
        <f>'總表'!AJ99</f>
        <v/>
      </c>
      <c r="P43" s="5">
        <f>'總表'!AK99</f>
        <v/>
      </c>
      <c r="Q43" s="9">
        <f>'總表'!AS99</f>
        <v/>
      </c>
      <c r="R43" s="5">
        <f>'總表'!AT99</f>
        <v/>
      </c>
      <c r="S43" s="11">
        <f>'總表'!AW99</f>
        <v/>
      </c>
      <c r="T43" s="17">
        <f>'總表'!BE99</f>
        <v/>
      </c>
      <c r="U43" s="17">
        <f>'總表'!BG99</f>
        <v/>
      </c>
      <c r="V43" s="17">
        <f>'總表'!BH99</f>
        <v/>
      </c>
      <c r="W43" s="17">
        <f>'總表'!BI99</f>
        <v/>
      </c>
      <c r="X43" s="17">
        <f>'總表'!BJ99</f>
        <v/>
      </c>
      <c r="Y43" s="18">
        <f>'總表'!BK99</f>
        <v/>
      </c>
      <c r="Z43" s="5">
        <f>'總表'!B99</f>
        <v/>
      </c>
    </row>
    <row r="44">
      <c r="A44" s="5" t="n">
        <v>43</v>
      </c>
      <c r="B44" s="6" t="inlineStr">
        <is>
          <t>OPY</t>
        </is>
      </c>
      <c r="C44" s="5">
        <f>'總表'!D101</f>
        <v/>
      </c>
      <c r="D44" s="5">
        <f>'總表'!F101</f>
        <v/>
      </c>
      <c r="E44" s="5">
        <f>'總表'!G101</f>
        <v/>
      </c>
      <c r="F44" s="40">
        <f>'總表'!H101</f>
        <v/>
      </c>
      <c r="G44" s="41">
        <f>'總表'!J101</f>
        <v/>
      </c>
      <c r="H44" s="9">
        <f>'總表'!L101</f>
        <v/>
      </c>
      <c r="I44" s="41">
        <f>'總表'!R101</f>
        <v/>
      </c>
      <c r="J44" s="41">
        <f>'總表'!S101</f>
        <v/>
      </c>
      <c r="K44" s="9">
        <f>'總表'!W101</f>
        <v/>
      </c>
      <c r="L44" s="9">
        <f>'總表'!X101</f>
        <v/>
      </c>
      <c r="M44" s="9">
        <f>'總表'!U101</f>
        <v/>
      </c>
      <c r="N44" s="19">
        <f>'總表'!AE101</f>
        <v/>
      </c>
      <c r="O44" s="5">
        <f>'總表'!AJ101</f>
        <v/>
      </c>
      <c r="P44" s="5">
        <f>'總表'!AK101</f>
        <v/>
      </c>
      <c r="Q44" s="9">
        <f>'總表'!AS101</f>
        <v/>
      </c>
      <c r="R44" s="5">
        <f>'總表'!AT101</f>
        <v/>
      </c>
      <c r="S44" s="11">
        <f>'總表'!AW101</f>
        <v/>
      </c>
      <c r="T44" s="17">
        <f>'總表'!BE101</f>
        <v/>
      </c>
      <c r="U44" s="17">
        <f>'總表'!BG101</f>
        <v/>
      </c>
      <c r="V44" s="17">
        <f>'總表'!BH101</f>
        <v/>
      </c>
      <c r="W44" s="17">
        <f>'總表'!BI101</f>
        <v/>
      </c>
      <c r="X44" s="17">
        <f>'總表'!BJ101</f>
        <v/>
      </c>
      <c r="Y44" s="18">
        <f>'總表'!BK101</f>
        <v/>
      </c>
      <c r="Z44" s="5">
        <f>'總表'!B101</f>
        <v/>
      </c>
    </row>
    <row r="46">
      <c r="A46" s="42" t="inlineStr">
        <is>
          <t>小型股（市值 &lt; $20 億）：第一梯隊入面屬呢個市值組嘅股票，每格都係引用總表同一行，改總表會跟住變。</t>
        </is>
      </c>
    </row>
  </sheetData>
  <autoFilter ref="A1:Z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6" customWidth="1" min="5" max="5"/>
    <col width="18" customWidth="1" min="6" max="6"/>
    <col width="90" customWidth="1" min="7" max="7"/>
    <col width="60" customWidth="1" min="8" max="8"/>
    <col width="7" customWidth="1" min="9" max="9"/>
    <col width="6" customWidth="1" min="10" max="10"/>
  </cols>
  <sheetData>
    <row r="1" ht="30" customHeight="1">
      <c r="A1" s="4" t="inlineStr">
        <is>
          <t>梯隊2排名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市值組</t>
        </is>
      </c>
      <c r="F1" s="4" t="inlineStr">
        <is>
          <t>唔過嘅條件</t>
        </is>
      </c>
      <c r="G1" s="4" t="inlineStr">
        <is>
          <t>量度值 vs 嚴格門檻</t>
        </is>
      </c>
      <c r="H1" s="4" t="inlineStr">
        <is>
          <t>放寬門檻（已通過）</t>
        </is>
      </c>
      <c r="I1" s="4" t="inlineStr">
        <is>
          <t>綜合分數</t>
        </is>
      </c>
      <c r="J1" s="4" t="inlineStr">
        <is>
          <t>總表行</t>
        </is>
      </c>
    </row>
    <row r="2">
      <c r="A2" s="5" t="n">
        <v>1</v>
      </c>
      <c r="B2" s="6" t="inlineStr">
        <is>
          <t>FAC</t>
        </is>
      </c>
      <c r="C2" s="5" t="inlineStr">
        <is>
          <t>Factorial Energy Inc.</t>
        </is>
      </c>
      <c r="D2" s="5" t="inlineStr">
        <is>
          <t>其他</t>
        </is>
      </c>
      <c r="E2" s="5" t="inlineStr">
        <is>
          <t>小型</t>
        </is>
      </c>
      <c r="F2" s="5" t="inlineStr">
        <is>
          <t>C4 上升三角／重心偏上</t>
        </is>
      </c>
      <c r="G2" s="3" t="inlineStr">
        <is>
          <t>重心 0.56（要 ≥0.5）、高位斜率 +1.22%/日（要 -0.10 至 +1.00）、低位斜率 +1.01%/日（要 &gt;0）</t>
        </is>
      </c>
      <c r="H2" s="3" t="inlineStr">
        <is>
          <t>重心 ≥0.45、高位斜率 -0.20 至 +1.50 %/日、低位斜率 &gt;0</t>
        </is>
      </c>
      <c r="I2" s="18">
        <f>'總表'!BK102</f>
        <v/>
      </c>
      <c r="J2" s="5" t="n">
        <v>102</v>
      </c>
    </row>
    <row r="3">
      <c r="A3" s="5" t="n">
        <v>2</v>
      </c>
      <c r="B3" s="6" t="inlineStr">
        <is>
          <t>META</t>
        </is>
      </c>
      <c r="C3" s="5" t="inlineStr">
        <is>
          <t>Meta Platforms Inc.</t>
        </is>
      </c>
      <c r="D3" s="5" t="inlineStr">
        <is>
          <t>科技</t>
        </is>
      </c>
      <c r="E3" s="5" t="inlineStr">
        <is>
          <t>大型</t>
        </is>
      </c>
      <c r="F3" s="5" t="inlineStr">
        <is>
          <t>C4 上升三角／重心偏上</t>
        </is>
      </c>
      <c r="G3" s="3" t="inlineStr">
        <is>
          <t>重心 0.56（要 ≥0.5）、高位斜率 +1.17%/日（要 -0.10 至 +1.00）、低位斜率 +1.20%/日（要 &gt;0）</t>
        </is>
      </c>
      <c r="H3" s="3" t="inlineStr">
        <is>
          <t>重心 ≥0.45、高位斜率 -0.20 至 +1.50 %/日、低位斜率 &gt;0</t>
        </is>
      </c>
      <c r="I3" s="18">
        <f>'總表'!BK103</f>
        <v/>
      </c>
      <c r="J3" s="5" t="n">
        <v>103</v>
      </c>
    </row>
    <row r="4">
      <c r="A4" s="5" t="n">
        <v>3</v>
      </c>
      <c r="B4" s="6" t="inlineStr">
        <is>
          <t>PSIX</t>
        </is>
      </c>
      <c r="C4" s="5" t="inlineStr">
        <is>
          <t>Power Solutions International Inc.</t>
        </is>
      </c>
      <c r="D4" s="5" t="inlineStr">
        <is>
          <t>工業</t>
        </is>
      </c>
      <c r="E4" s="5" t="inlineStr">
        <is>
          <t>小型</t>
        </is>
      </c>
      <c r="F4" s="5" t="inlineStr">
        <is>
          <t>C4 上升三角／重心偏上</t>
        </is>
      </c>
      <c r="G4" s="3" t="inlineStr">
        <is>
          <t>重心 0.60（要 ≥0.5）、高位斜率 +1.06%/日（要 -0.10 至 +1.00）、低位斜率 +1.35%/日（要 &gt;0）</t>
        </is>
      </c>
      <c r="H4" s="3" t="inlineStr">
        <is>
          <t>重心 ≥0.45、高位斜率 -0.20 至 +1.50 %/日、低位斜率 &gt;0</t>
        </is>
      </c>
      <c r="I4" s="18">
        <f>'總表'!BK104</f>
        <v/>
      </c>
      <c r="J4" s="5" t="n">
        <v>104</v>
      </c>
    </row>
    <row r="5">
      <c r="A5" s="5" t="n">
        <v>4</v>
      </c>
      <c r="B5" s="6" t="inlineStr">
        <is>
          <t>SNDK</t>
        </is>
      </c>
      <c r="C5" s="5" t="inlineStr">
        <is>
          <t>Sandisk Corporation</t>
        </is>
      </c>
      <c r="D5" s="5" t="inlineStr">
        <is>
          <t>科技</t>
        </is>
      </c>
      <c r="E5" s="5" t="inlineStr">
        <is>
          <t>大型</t>
        </is>
      </c>
      <c r="F5" s="5" t="inlineStr">
        <is>
          <t>C4 上升三角／重心偏上</t>
        </is>
      </c>
      <c r="G5" s="3" t="inlineStr">
        <is>
          <t>重心 0.50（要 ≥0.5）、高位斜率 +0.57%/日（要 -0.10 至 +1.00）、低位斜率 +0.60%/日（要 &gt;0）</t>
        </is>
      </c>
      <c r="H5" s="3" t="inlineStr">
        <is>
          <t>重心 ≥0.45、高位斜率 -0.20 至 +1.50 %/日、低位斜率 &gt;0</t>
        </is>
      </c>
      <c r="I5" s="18">
        <f>'總表'!BK105</f>
        <v/>
      </c>
      <c r="J5" s="5" t="n">
        <v>105</v>
      </c>
    </row>
    <row r="6">
      <c r="A6" s="5" t="n">
        <v>5</v>
      </c>
      <c r="B6" s="6" t="inlineStr">
        <is>
          <t>FEIM</t>
        </is>
      </c>
      <c r="C6" s="5" t="inlineStr">
        <is>
          <t>Frequency Electronics Inc.</t>
        </is>
      </c>
      <c r="D6" s="5" t="inlineStr">
        <is>
          <t>工業</t>
        </is>
      </c>
      <c r="E6" s="5" t="inlineStr">
        <is>
          <t>小型</t>
        </is>
      </c>
      <c r="F6" s="5" t="inlineStr">
        <is>
          <t>C4 上升三角／重心偏上</t>
        </is>
      </c>
      <c r="G6" s="3" t="inlineStr">
        <is>
          <t>重心 0.70（要 ≥0.5）、高位斜率 +1.46%/日（要 -0.10 至 +1.00）、低位斜率 +1.59%/日（要 &gt;0）</t>
        </is>
      </c>
      <c r="H6" s="3" t="inlineStr">
        <is>
          <t>重心 ≥0.45、高位斜率 -0.20 至 +1.50 %/日、低位斜率 &gt;0</t>
        </is>
      </c>
      <c r="I6" s="18">
        <f>'總表'!BK106</f>
        <v/>
      </c>
      <c r="J6" s="5" t="n">
        <v>106</v>
      </c>
    </row>
    <row r="7">
      <c r="A7" s="5" t="n">
        <v>6</v>
      </c>
      <c r="B7" s="6" t="inlineStr">
        <is>
          <t>LUV</t>
        </is>
      </c>
      <c r="C7" s="5" t="inlineStr">
        <is>
          <t>Southwest Airlines Company</t>
        </is>
      </c>
      <c r="D7" s="5" t="inlineStr">
        <is>
          <t>非必需消費</t>
        </is>
      </c>
      <c r="E7" s="5" t="inlineStr">
        <is>
          <t>大型</t>
        </is>
      </c>
      <c r="F7" s="5" t="inlineStr">
        <is>
          <t>C4 上升三角／重心偏上</t>
        </is>
      </c>
      <c r="G7" s="3" t="inlineStr">
        <is>
          <t>重心 0.49（要 ≥0.5）、高位斜率 +0.75%/日（要 -0.10 至 +1.00）、低位斜率 +0.42%/日（要 &gt;0）</t>
        </is>
      </c>
      <c r="H7" s="3" t="inlineStr">
        <is>
          <t>重心 ≥0.45、高位斜率 -0.20 至 +1.50 %/日、低位斜率 &gt;0</t>
        </is>
      </c>
      <c r="I7" s="18">
        <f>'總表'!BK107</f>
        <v/>
      </c>
      <c r="J7" s="5" t="n">
        <v>107</v>
      </c>
    </row>
    <row r="8">
      <c r="A8" s="5" t="n">
        <v>7</v>
      </c>
      <c r="B8" s="6" t="inlineStr">
        <is>
          <t>GIC</t>
        </is>
      </c>
      <c r="C8" s="5" t="inlineStr">
        <is>
          <t>Global Industrial Company</t>
        </is>
      </c>
      <c r="D8" s="5" t="inlineStr">
        <is>
          <t>工業</t>
        </is>
      </c>
      <c r="E8" s="5" t="inlineStr">
        <is>
          <t>小型</t>
        </is>
      </c>
      <c r="F8" s="5" t="inlineStr">
        <is>
          <t>C4 上升三角／重心偏上</t>
        </is>
      </c>
      <c r="G8" s="3" t="inlineStr">
        <is>
          <t>重心 0.46（要 ≥0.5）、高位斜率 -0.08%/日（要 -0.10 至 +1.00）、低位斜率 +0.33%/日（要 &gt;0）</t>
        </is>
      </c>
      <c r="H8" s="3" t="inlineStr">
        <is>
          <t>重心 ≥0.45、高位斜率 -0.20 至 +1.50 %/日、低位斜率 &gt;0</t>
        </is>
      </c>
      <c r="I8" s="18">
        <f>'總表'!BK108</f>
        <v/>
      </c>
      <c r="J8" s="5" t="n">
        <v>108</v>
      </c>
    </row>
    <row r="9">
      <c r="A9" s="5" t="n">
        <v>8</v>
      </c>
      <c r="B9" s="6" t="inlineStr">
        <is>
          <t>WBTN</t>
        </is>
      </c>
      <c r="C9" s="5" t="inlineStr">
        <is>
          <t>WEBTOON Entertainment Inc. Common stock</t>
        </is>
      </c>
      <c r="D9" s="5" t="inlineStr">
        <is>
          <t>非必需消費</t>
        </is>
      </c>
      <c r="E9" s="5" t="inlineStr">
        <is>
          <t>小型</t>
        </is>
      </c>
      <c r="F9" s="5" t="inlineStr">
        <is>
          <t>C4 上升三角／重心偏上</t>
        </is>
      </c>
      <c r="G9" s="3" t="inlineStr">
        <is>
          <t>重心 0.47（要 ≥0.5）、高位斜率 -0.17%/日（要 -0.10 至 +1.00）、低位斜率 +0.45%/日（要 &gt;0）</t>
        </is>
      </c>
      <c r="H9" s="3" t="inlineStr">
        <is>
          <t>重心 ≥0.45、高位斜率 -0.20 至 +1.50 %/日、低位斜率 &gt;0</t>
        </is>
      </c>
      <c r="I9" s="18">
        <f>'總表'!BK109</f>
        <v/>
      </c>
      <c r="J9" s="5" t="n">
        <v>109</v>
      </c>
    </row>
    <row r="10">
      <c r="A10" s="5" t="n">
        <v>9</v>
      </c>
      <c r="B10" s="6" t="inlineStr">
        <is>
          <t>SMTC</t>
        </is>
      </c>
      <c r="C10" s="5" t="inlineStr">
        <is>
          <t>Semtech Corporation</t>
        </is>
      </c>
      <c r="D10" s="5" t="inlineStr">
        <is>
          <t>科技</t>
        </is>
      </c>
      <c r="E10" s="5" t="inlineStr">
        <is>
          <t>大型</t>
        </is>
      </c>
      <c r="F10" s="5" t="inlineStr">
        <is>
          <t>C4 上升三角／重心偏上</t>
        </is>
      </c>
      <c r="G10" s="3" t="inlineStr">
        <is>
          <t>重心 0.60（要 ≥0.5）、高位斜率 +1.05%/日（要 -0.10 至 +1.00）、低位斜率 +1.26%/日（要 &gt;0）</t>
        </is>
      </c>
      <c r="H10" s="3" t="inlineStr">
        <is>
          <t>重心 ≥0.45、高位斜率 -0.20 至 +1.50 %/日、低位斜率 &gt;0</t>
        </is>
      </c>
      <c r="I10" s="18">
        <f>'總表'!BK110</f>
        <v/>
      </c>
      <c r="J10" s="5" t="n">
        <v>110</v>
      </c>
    </row>
    <row r="11">
      <c r="A11" s="5" t="n">
        <v>10</v>
      </c>
      <c r="B11" s="6" t="inlineStr">
        <is>
          <t>FPI</t>
        </is>
      </c>
      <c r="C11" s="5" t="inlineStr">
        <is>
          <t>Farmland Partners Inc.</t>
        </is>
      </c>
      <c r="D11" s="5" t="inlineStr">
        <is>
          <t>房地產</t>
        </is>
      </c>
      <c r="E11" s="5" t="inlineStr">
        <is>
          <t>小型</t>
        </is>
      </c>
      <c r="F11" s="5" t="inlineStr">
        <is>
          <t>C4 上升三角／重心偏上</t>
        </is>
      </c>
      <c r="G11" s="3" t="inlineStr">
        <is>
          <t>重心 0.48（要 ≥0.5）、高位斜率 +0.14%/日（要 -0.10 至 +1.00）、低位斜率 +0.21%/日（要 &gt;0）</t>
        </is>
      </c>
      <c r="H11" s="3" t="inlineStr">
        <is>
          <t>重心 ≥0.45、高位斜率 -0.20 至 +1.50 %/日、低位斜率 &gt;0</t>
        </is>
      </c>
      <c r="I11" s="18">
        <f>'總表'!BK111</f>
        <v/>
      </c>
      <c r="J11" s="5" t="n">
        <v>111</v>
      </c>
    </row>
    <row r="12">
      <c r="A12" s="5" t="n">
        <v>11</v>
      </c>
      <c r="B12" s="6" t="inlineStr">
        <is>
          <t>GME</t>
        </is>
      </c>
      <c r="C12" s="5" t="inlineStr">
        <is>
          <t>GameStop Corporation</t>
        </is>
      </c>
      <c r="D12" s="5" t="inlineStr">
        <is>
          <t>非必需消費</t>
        </is>
      </c>
      <c r="E12" s="5" t="inlineStr">
        <is>
          <t>大型</t>
        </is>
      </c>
      <c r="F12" s="5" t="inlineStr">
        <is>
          <t>C4 上升三角／重心偏上</t>
        </is>
      </c>
      <c r="G12" s="3" t="inlineStr">
        <is>
          <t>重心 0.54（要 ≥0.5）、高位斜率 +1.32%/日（要 -0.10 至 +1.00）、低位斜率 +1.13%/日（要 &gt;0）</t>
        </is>
      </c>
      <c r="H12" s="3" t="inlineStr">
        <is>
          <t>重心 ≥0.45、高位斜率 -0.20 至 +1.50 %/日、低位斜率 &gt;0</t>
        </is>
      </c>
      <c r="I12" s="18">
        <f>'總表'!BK112</f>
        <v/>
      </c>
      <c r="J12" s="5" t="n">
        <v>112</v>
      </c>
    </row>
    <row r="13">
      <c r="A13" s="5" t="n">
        <v>12</v>
      </c>
      <c r="B13" s="6" t="inlineStr">
        <is>
          <t>VSTM</t>
        </is>
      </c>
      <c r="C13" s="5" t="inlineStr">
        <is>
          <t>Verastem Inc.</t>
        </is>
      </c>
      <c r="D13" s="5" t="inlineStr">
        <is>
          <t>醫療保健</t>
        </is>
      </c>
      <c r="E13" s="5" t="inlineStr">
        <is>
          <t>小型</t>
        </is>
      </c>
      <c r="F13" s="5" t="inlineStr">
        <is>
          <t>C4 上升三角／重心偏上</t>
        </is>
      </c>
      <c r="G13" s="3" t="inlineStr">
        <is>
          <t>重心 0.48（要 ≥0.5）、高位斜率 +0.14%/日（要 -0.10 至 +1.00）、低位斜率 +0.30%/日（要 &gt;0）</t>
        </is>
      </c>
      <c r="H13" s="3" t="inlineStr">
        <is>
          <t>重心 ≥0.45、高位斜率 -0.20 至 +1.50 %/日、低位斜率 &gt;0</t>
        </is>
      </c>
      <c r="I13" s="18">
        <f>'總表'!BK113</f>
        <v/>
      </c>
      <c r="J13" s="5" t="n">
        <v>113</v>
      </c>
    </row>
    <row r="14">
      <c r="A14" s="5" t="n">
        <v>13</v>
      </c>
      <c r="B14" s="6" t="inlineStr">
        <is>
          <t>HYLN</t>
        </is>
      </c>
      <c r="C14" s="5" t="inlineStr">
        <is>
          <t>Hyliion Holdings Corp.</t>
        </is>
      </c>
      <c r="D14" s="5" t="inlineStr">
        <is>
          <t>非必需消費</t>
        </is>
      </c>
      <c r="E14" s="5" t="inlineStr">
        <is>
          <t>小型</t>
        </is>
      </c>
      <c r="F14" s="5" t="inlineStr">
        <is>
          <t>C4 上升三角／重心偏上</t>
        </is>
      </c>
      <c r="G14" s="3" t="inlineStr">
        <is>
          <t>重心 0.49（要 ≥0.5）、高位斜率 +1.39%/日（要 -0.10 至 +1.00）、低位斜率 +0.88%/日（要 &gt;0）</t>
        </is>
      </c>
      <c r="H14" s="3" t="inlineStr">
        <is>
          <t>重心 ≥0.45、高位斜率 -0.20 至 +1.50 %/日、低位斜率 &gt;0</t>
        </is>
      </c>
      <c r="I14" s="18">
        <f>'總表'!BK114</f>
        <v/>
      </c>
      <c r="J14" s="5" t="n">
        <v>114</v>
      </c>
    </row>
    <row r="15">
      <c r="A15" s="5" t="n">
        <v>14</v>
      </c>
      <c r="B15" s="6" t="inlineStr">
        <is>
          <t>RVTY</t>
        </is>
      </c>
      <c r="C15" s="5" t="inlineStr">
        <is>
          <t>Revvity Inc.</t>
        </is>
      </c>
      <c r="D15" s="5" t="inlineStr">
        <is>
          <t>工業</t>
        </is>
      </c>
      <c r="E15" s="5" t="inlineStr">
        <is>
          <t>大型</t>
        </is>
      </c>
      <c r="F15" s="5" t="inlineStr">
        <is>
          <t>C4 上升三角／重心偏上</t>
        </is>
      </c>
      <c r="G15" s="3" t="inlineStr">
        <is>
          <t>重心 0.50（要 ≥0.5）、高位斜率 +1.23%/日（要 -0.10 至 +1.00）、低位斜率 +1.43%/日（要 &gt;0）</t>
        </is>
      </c>
      <c r="H15" s="3" t="inlineStr">
        <is>
          <t>重心 ≥0.45、高位斜率 -0.20 至 +1.50 %/日、低位斜率 &gt;0</t>
        </is>
      </c>
      <c r="I15" s="18">
        <f>'總表'!BK115</f>
        <v/>
      </c>
      <c r="J15" s="5" t="n">
        <v>115</v>
      </c>
    </row>
    <row r="16">
      <c r="A16" s="5" t="n">
        <v>15</v>
      </c>
      <c r="B16" s="6" t="inlineStr">
        <is>
          <t>AXTI</t>
        </is>
      </c>
      <c r="C16" s="5" t="inlineStr">
        <is>
          <t>AXT Inc</t>
        </is>
      </c>
      <c r="D16" s="5" t="inlineStr">
        <is>
          <t>科技</t>
        </is>
      </c>
      <c r="E16" s="5" t="inlineStr">
        <is>
          <t>中型</t>
        </is>
      </c>
      <c r="F16" s="5" t="inlineStr">
        <is>
          <t>C4 上升三角／重心偏上</t>
        </is>
      </c>
      <c r="G16" s="3" t="inlineStr">
        <is>
          <t>重心 0.50（要 ≥0.5）、高位斜率 +1.16%/日（要 -0.10 至 +1.00）、低位斜率 +1.50%/日（要 &gt;0）</t>
        </is>
      </c>
      <c r="H16" s="3" t="inlineStr">
        <is>
          <t>重心 ≥0.45、高位斜率 -0.20 至 +1.50 %/日、低位斜率 &gt;0</t>
        </is>
      </c>
      <c r="I16" s="18">
        <f>'總表'!BK116</f>
        <v/>
      </c>
      <c r="J16" s="5" t="n">
        <v>116</v>
      </c>
    </row>
    <row r="17">
      <c r="A17" s="5" t="n">
        <v>16</v>
      </c>
      <c r="B17" s="6" t="inlineStr">
        <is>
          <t>EMBC</t>
        </is>
      </c>
      <c r="C17" s="5" t="inlineStr">
        <is>
          <t>Embecta Corp.</t>
        </is>
      </c>
      <c r="D17" s="5" t="inlineStr">
        <is>
          <t>醫療保健</t>
        </is>
      </c>
      <c r="E17" s="5" t="inlineStr">
        <is>
          <t>小型</t>
        </is>
      </c>
      <c r="F17" s="5" t="inlineStr">
        <is>
          <t>C4 上升三角／重心偏上</t>
        </is>
      </c>
      <c r="G17" s="3" t="inlineStr">
        <is>
          <t>重心 0.48（要 ≥0.5）、高位斜率 +0.08%/日（要 -0.10 至 +1.00）、低位斜率 +0.13%/日（要 &gt;0）</t>
        </is>
      </c>
      <c r="H17" s="3" t="inlineStr">
        <is>
          <t>重心 ≥0.45、高位斜率 -0.20 至 +1.50 %/日、低位斜率 &gt;0</t>
        </is>
      </c>
      <c r="I17" s="18">
        <f>'總表'!BK117</f>
        <v/>
      </c>
      <c r="J17" s="5" t="n">
        <v>117</v>
      </c>
    </row>
    <row r="18">
      <c r="A18" s="5" t="n">
        <v>17</v>
      </c>
      <c r="B18" s="6" t="inlineStr">
        <is>
          <t>FTK</t>
        </is>
      </c>
      <c r="C18" s="5" t="inlineStr">
        <is>
          <t>Flotek Industries Inc.</t>
        </is>
      </c>
      <c r="D18" s="5" t="inlineStr">
        <is>
          <t>工業</t>
        </is>
      </c>
      <c r="E18" s="5" t="inlineStr">
        <is>
          <t>小型</t>
        </is>
      </c>
      <c r="F18" s="5" t="inlineStr">
        <is>
          <t>C4 上升三角／重心偏上</t>
        </is>
      </c>
      <c r="G18" s="3" t="inlineStr">
        <is>
          <t>重心 0.59（要 ≥0.5）、高位斜率 +1.37%/日（要 -0.10 至 +1.00）、低位斜率 +1.80%/日（要 &gt;0）</t>
        </is>
      </c>
      <c r="H18" s="3" t="inlineStr">
        <is>
          <t>重心 ≥0.45、高位斜率 -0.20 至 +1.50 %/日、低位斜率 &gt;0</t>
        </is>
      </c>
      <c r="I18" s="18">
        <f>'總表'!BK118</f>
        <v/>
      </c>
      <c r="J18" s="5" t="n">
        <v>118</v>
      </c>
    </row>
    <row r="19">
      <c r="A19" s="5" t="n">
        <v>18</v>
      </c>
      <c r="B19" s="6" t="inlineStr">
        <is>
          <t>ALNT</t>
        </is>
      </c>
      <c r="C19" s="5" t="inlineStr">
        <is>
          <t>Allient Inc.</t>
        </is>
      </c>
      <c r="D19" s="5" t="inlineStr">
        <is>
          <t>工業</t>
        </is>
      </c>
      <c r="E19" s="5" t="inlineStr">
        <is>
          <t>小型</t>
        </is>
      </c>
      <c r="F19" s="5" t="inlineStr">
        <is>
          <t>C4 上升三角／重心偏上</t>
        </is>
      </c>
      <c r="G19" s="3" t="inlineStr">
        <is>
          <t>重心 0.48（要 ≥0.5）、高位斜率 +0.11%/日（要 -0.10 至 +1.00）、低位斜率 +0.36%/日（要 &gt;0）</t>
        </is>
      </c>
      <c r="H19" s="3" t="inlineStr">
        <is>
          <t>重心 ≥0.45、高位斜率 -0.20 至 +1.50 %/日、低位斜率 &gt;0</t>
        </is>
      </c>
      <c r="I19" s="18">
        <f>'總表'!BK119</f>
        <v/>
      </c>
      <c r="J19" s="5" t="n">
        <v>119</v>
      </c>
    </row>
    <row r="20">
      <c r="A20" s="5" t="n">
        <v>19</v>
      </c>
      <c r="B20" s="6" t="inlineStr">
        <is>
          <t>NTSK</t>
        </is>
      </c>
      <c r="C20" s="5" t="inlineStr">
        <is>
          <t>Netskope Inc.</t>
        </is>
      </c>
      <c r="D20" s="5" t="inlineStr">
        <is>
          <t>科技</t>
        </is>
      </c>
      <c r="E20" s="5" t="inlineStr">
        <is>
          <t>中型</t>
        </is>
      </c>
      <c r="F20" s="5" t="inlineStr">
        <is>
          <t>C4 上升三角／重心偏上</t>
        </is>
      </c>
      <c r="G20" s="3" t="inlineStr">
        <is>
          <t>重心 0.56（要 ≥0.5）、高位斜率 +1.43%/日（要 -0.10 至 +1.00）、低位斜率 +1.09%/日（要 &gt;0）</t>
        </is>
      </c>
      <c r="H20" s="3" t="inlineStr">
        <is>
          <t>重心 ≥0.45、高位斜率 -0.20 至 +1.50 %/日、低位斜率 &gt;0</t>
        </is>
      </c>
      <c r="I20" s="18">
        <f>'總表'!BK120</f>
        <v/>
      </c>
      <c r="J20" s="5" t="n">
        <v>120</v>
      </c>
    </row>
    <row r="21">
      <c r="A21" s="5" t="n">
        <v>20</v>
      </c>
      <c r="B21" s="6" t="inlineStr">
        <is>
          <t>SANM</t>
        </is>
      </c>
      <c r="C21" s="5" t="inlineStr">
        <is>
          <t>Sanmina Corporation</t>
        </is>
      </c>
      <c r="D21" s="5" t="inlineStr">
        <is>
          <t>科技</t>
        </is>
      </c>
      <c r="E21" s="5" t="inlineStr">
        <is>
          <t>大型</t>
        </is>
      </c>
      <c r="F21" s="5" t="inlineStr">
        <is>
          <t>C4 上升三角／重心偏上</t>
        </is>
      </c>
      <c r="G21" s="3" t="inlineStr">
        <is>
          <t>重心 0.47（要 ≥0.5）、高位斜率 +0.57%/日（要 -0.10 至 +1.00）、低位斜率 +0.40%/日（要 &gt;0）</t>
        </is>
      </c>
      <c r="H21" s="3" t="inlineStr">
        <is>
          <t>重心 ≥0.45、高位斜率 -0.20 至 +1.50 %/日、低位斜率 &gt;0</t>
        </is>
      </c>
      <c r="I21" s="18">
        <f>'總表'!BK121</f>
        <v/>
      </c>
      <c r="J21" s="5" t="n">
        <v>121</v>
      </c>
    </row>
    <row r="22">
      <c r="A22" s="5" t="n">
        <v>21</v>
      </c>
      <c r="B22" s="6" t="inlineStr">
        <is>
          <t>DHX</t>
        </is>
      </c>
      <c r="C22" s="5" t="inlineStr">
        <is>
          <t>DHI Group Inc.</t>
        </is>
      </c>
      <c r="D22" s="5" t="inlineStr">
        <is>
          <t>非必需消費</t>
        </is>
      </c>
      <c r="E22" s="5" t="inlineStr">
        <is>
          <t>小型</t>
        </is>
      </c>
      <c r="F22" s="5" t="inlineStr">
        <is>
          <t>C4 上升三角／重心偏上</t>
        </is>
      </c>
      <c r="G22" s="3" t="inlineStr">
        <is>
          <t>重心 0.57（要 ≥0.5）、高位斜率 +1.05%/日（要 -0.10 至 +1.00）、低位斜率 +0.70%/日（要 &gt;0）</t>
        </is>
      </c>
      <c r="H22" s="3" t="inlineStr">
        <is>
          <t>重心 ≥0.45、高位斜率 -0.20 至 +1.50 %/日、低位斜率 &gt;0</t>
        </is>
      </c>
      <c r="I22" s="18">
        <f>'總表'!BK122</f>
        <v/>
      </c>
      <c r="J22" s="5" t="n">
        <v>122</v>
      </c>
    </row>
    <row r="23">
      <c r="A23" s="5" t="n">
        <v>22</v>
      </c>
      <c r="B23" s="6" t="inlineStr">
        <is>
          <t>SMCI</t>
        </is>
      </c>
      <c r="C23" s="5" t="inlineStr">
        <is>
          <t>Super Micro Computer Inc.</t>
        </is>
      </c>
      <c r="D23" s="5" t="inlineStr">
        <is>
          <t>科技</t>
        </is>
      </c>
      <c r="E23" s="5" t="inlineStr">
        <is>
          <t>大型</t>
        </is>
      </c>
      <c r="F23" s="5" t="inlineStr">
        <is>
          <t>C4 上升三角／重心偏上</t>
        </is>
      </c>
      <c r="G23" s="3" t="inlineStr">
        <is>
          <t>重心 0.50（要 ≥0.5）、高位斜率 +0.50%/日（要 -0.10 至 +1.00）、低位斜率 +0.61%/日（要 &gt;0）</t>
        </is>
      </c>
      <c r="H23" s="3" t="inlineStr">
        <is>
          <t>重心 ≥0.45、高位斜率 -0.20 至 +1.50 %/日、低位斜率 &gt;0</t>
        </is>
      </c>
      <c r="I23" s="18">
        <f>'總表'!BK123</f>
        <v/>
      </c>
      <c r="J23" s="5" t="n">
        <v>123</v>
      </c>
    </row>
    <row r="24">
      <c r="A24" s="5" t="n">
        <v>23</v>
      </c>
      <c r="B24" s="6" t="inlineStr">
        <is>
          <t>COHU</t>
        </is>
      </c>
      <c r="C24" s="5" t="inlineStr">
        <is>
          <t>Cohu Inc.</t>
        </is>
      </c>
      <c r="D24" s="5" t="inlineStr">
        <is>
          <t>工業</t>
        </is>
      </c>
      <c r="E24" s="5" t="inlineStr">
        <is>
          <t>中型</t>
        </is>
      </c>
      <c r="F24" s="5" t="inlineStr">
        <is>
          <t>C4 上升三角／重心偏上</t>
        </is>
      </c>
      <c r="G24" s="3" t="inlineStr">
        <is>
          <t>重心 0.47（要 ≥0.5）、高位斜率 +0.72%/日（要 -0.10 至 +1.00）、低位斜率 +0.87%/日（要 &gt;0）</t>
        </is>
      </c>
      <c r="H24" s="3" t="inlineStr">
        <is>
          <t>重心 ≥0.45、高位斜率 -0.20 至 +1.50 %/日、低位斜率 &gt;0</t>
        </is>
      </c>
      <c r="I24" s="18">
        <f>'總表'!BK124</f>
        <v/>
      </c>
      <c r="J24" s="5" t="n">
        <v>124</v>
      </c>
    </row>
    <row r="25">
      <c r="A25" s="5" t="n">
        <v>24</v>
      </c>
      <c r="B25" s="6" t="inlineStr">
        <is>
          <t>VLGEA</t>
        </is>
      </c>
      <c r="C25" s="5" t="inlineStr">
        <is>
          <t>Village Super Market Inc.</t>
        </is>
      </c>
      <c r="D25" s="5" t="inlineStr">
        <is>
          <t>必需消費</t>
        </is>
      </c>
      <c r="E25" s="5" t="inlineStr">
        <is>
          <t>小型</t>
        </is>
      </c>
      <c r="F25" s="5" t="inlineStr">
        <is>
          <t>C4 上升三角／重心偏上</t>
        </is>
      </c>
      <c r="G25" s="3" t="inlineStr">
        <is>
          <t>重心 0.49（要 ≥0.5）、高位斜率 +0.26%/日（要 -0.10 至 +1.00）、低位斜率 +0.32%/日（要 &gt;0）</t>
        </is>
      </c>
      <c r="H25" s="3" t="inlineStr">
        <is>
          <t>重心 ≥0.45、高位斜率 -0.20 至 +1.50 %/日、低位斜率 &gt;0</t>
        </is>
      </c>
      <c r="I25" s="18">
        <f>'總表'!BK125</f>
        <v/>
      </c>
      <c r="J25" s="5" t="n">
        <v>125</v>
      </c>
    </row>
    <row r="26">
      <c r="A26" s="5" t="n">
        <v>25</v>
      </c>
      <c r="B26" s="6" t="inlineStr">
        <is>
          <t>AEHR</t>
        </is>
      </c>
      <c r="C26" s="5" t="inlineStr">
        <is>
          <t>Aehr Test Systems</t>
        </is>
      </c>
      <c r="D26" s="5" t="inlineStr">
        <is>
          <t>工業</t>
        </is>
      </c>
      <c r="E26" s="5" t="inlineStr">
        <is>
          <t>中型</t>
        </is>
      </c>
      <c r="F26" s="5" t="inlineStr">
        <is>
          <t>C4 上升三角／重心偏上</t>
        </is>
      </c>
      <c r="G26" s="3" t="inlineStr">
        <is>
          <t>重心 0.47（要 ≥0.5）、高位斜率 +0.83%/日（要 -0.10 至 +1.00）、低位斜率 +0.73%/日（要 &gt;0）</t>
        </is>
      </c>
      <c r="H26" s="3" t="inlineStr">
        <is>
          <t>重心 ≥0.45、高位斜率 -0.20 至 +1.50 %/日、低位斜率 &gt;0</t>
        </is>
      </c>
      <c r="I26" s="18">
        <f>'總表'!BK126</f>
        <v/>
      </c>
      <c r="J26" s="5" t="n">
        <v>126</v>
      </c>
    </row>
    <row r="27">
      <c r="A27" s="5" t="n">
        <v>26</v>
      </c>
      <c r="B27" s="6" t="inlineStr">
        <is>
          <t>SITM</t>
        </is>
      </c>
      <c r="C27" s="5" t="inlineStr">
        <is>
          <t>SiTime Corporation</t>
        </is>
      </c>
      <c r="D27" s="5" t="inlineStr">
        <is>
          <t>科技</t>
        </is>
      </c>
      <c r="E27" s="5" t="inlineStr">
        <is>
          <t>大型</t>
        </is>
      </c>
      <c r="F27" s="5" t="inlineStr">
        <is>
          <t>C4 上升三角／重心偏上</t>
        </is>
      </c>
      <c r="G27" s="3" t="inlineStr">
        <is>
          <t>重心 0.45（要 ≥0.5）、高位斜率 +0.31%/日（要 -0.10 至 +1.00）、低位斜率 +0.36%/日（要 &gt;0）</t>
        </is>
      </c>
      <c r="H27" s="3" t="inlineStr">
        <is>
          <t>重心 ≥0.45、高位斜率 -0.20 至 +1.50 %/日、低位斜率 &gt;0</t>
        </is>
      </c>
      <c r="I27" s="18">
        <f>'總表'!BK127</f>
        <v/>
      </c>
      <c r="J27" s="5" t="n">
        <v>127</v>
      </c>
    </row>
    <row r="28">
      <c r="A28" s="5" t="n">
        <v>27</v>
      </c>
      <c r="B28" s="6" t="inlineStr">
        <is>
          <t>TWLO</t>
        </is>
      </c>
      <c r="C28" s="5" t="inlineStr">
        <is>
          <t>Twilio Inc.</t>
        </is>
      </c>
      <c r="D28" s="5" t="inlineStr">
        <is>
          <t>科技</t>
        </is>
      </c>
      <c r="E28" s="5" t="inlineStr">
        <is>
          <t>大型</t>
        </is>
      </c>
      <c r="F28" s="5" t="inlineStr">
        <is>
          <t>C4 上升三角／重心偏上</t>
        </is>
      </c>
      <c r="G28" s="3" t="inlineStr">
        <is>
          <t>重心 0.48（要 ≥0.5）、高位斜率 +1.22%/日（要 -0.10 至 +1.00）、低位斜率 +1.03%/日（要 &gt;0）</t>
        </is>
      </c>
      <c r="H28" s="3" t="inlineStr">
        <is>
          <t>重心 ≥0.45、高位斜率 -0.20 至 +1.50 %/日、低位斜率 &gt;0</t>
        </is>
      </c>
      <c r="I28" s="18">
        <f>'總表'!BK128</f>
        <v/>
      </c>
      <c r="J28" s="5" t="n">
        <v>128</v>
      </c>
    </row>
    <row r="29">
      <c r="A29" s="5" t="n">
        <v>28</v>
      </c>
      <c r="B29" s="6" t="inlineStr">
        <is>
          <t>GH</t>
        </is>
      </c>
      <c r="C29" s="5" t="inlineStr">
        <is>
          <t>Guardant Health Inc.</t>
        </is>
      </c>
      <c r="D29" s="5" t="inlineStr">
        <is>
          <t>醫療保健</t>
        </is>
      </c>
      <c r="E29" s="5" t="inlineStr">
        <is>
          <t>大型</t>
        </is>
      </c>
      <c r="F29" s="5" t="inlineStr">
        <is>
          <t>C4 上升三角／重心偏上</t>
        </is>
      </c>
      <c r="G29" s="3" t="inlineStr">
        <is>
          <t>重心 0.57（要 ≥0.5）、高位斜率 -0.20%/日（要 -0.10 至 +1.00）、低位斜率 +0.56%/日（要 &gt;0）</t>
        </is>
      </c>
      <c r="H29" s="3" t="inlineStr">
        <is>
          <t>重心 ≥0.45、高位斜率 -0.20 至 +1.50 %/日、低位斜率 &gt;0</t>
        </is>
      </c>
      <c r="I29" s="18">
        <f>'總表'!BK129</f>
        <v/>
      </c>
      <c r="J29" s="5" t="n">
        <v>129</v>
      </c>
    </row>
    <row r="30">
      <c r="A30" s="5" t="n">
        <v>29</v>
      </c>
      <c r="B30" s="6" t="inlineStr">
        <is>
          <t>TBCH</t>
        </is>
      </c>
      <c r="C30" s="5" t="inlineStr">
        <is>
          <t>Turtle Beach Corporation</t>
        </is>
      </c>
      <c r="D30" s="5" t="inlineStr">
        <is>
          <t>電訊</t>
        </is>
      </c>
      <c r="E30" s="5" t="inlineStr">
        <is>
          <t>小型</t>
        </is>
      </c>
      <c r="F30" s="5" t="inlineStr">
        <is>
          <t>C4 上升三角／重心偏上</t>
        </is>
      </c>
      <c r="G30" s="3" t="inlineStr">
        <is>
          <t>重心 0.57（要 ≥0.5）、高位斜率 -0.16%/日（要 -0.10 至 +1.00）、低位斜率 +0.33%/日（要 &gt;0）</t>
        </is>
      </c>
      <c r="H30" s="3" t="inlineStr">
        <is>
          <t>重心 ≥0.45、高位斜率 -0.20 至 +1.50 %/日、低位斜率 &gt;0</t>
        </is>
      </c>
      <c r="I30" s="18">
        <f>'總表'!BK130</f>
        <v/>
      </c>
      <c r="J30" s="5" t="n">
        <v>130</v>
      </c>
    </row>
    <row r="31">
      <c r="A31" s="5" t="n">
        <v>30</v>
      </c>
      <c r="B31" s="6" t="inlineStr">
        <is>
          <t>ALMR</t>
        </is>
      </c>
      <c r="C31" s="5" t="inlineStr">
        <is>
          <t>Alamar Biosciences Inc.</t>
        </is>
      </c>
      <c r="D31" s="5" t="inlineStr">
        <is>
          <t>工業</t>
        </is>
      </c>
      <c r="E31" s="5" t="inlineStr">
        <is>
          <t>中型</t>
        </is>
      </c>
      <c r="F31" s="5" t="inlineStr">
        <is>
          <t>C4 上升三角／重心偏上</t>
        </is>
      </c>
      <c r="G31" s="3" t="inlineStr">
        <is>
          <t>重心 0.47（要 ≥0.5）、高位斜率 +0.57%/日（要 -0.10 至 +1.00）、低位斜率 +0.49%/日（要 &gt;0）</t>
        </is>
      </c>
      <c r="H31" s="3" t="inlineStr">
        <is>
          <t>重心 ≥0.45、高位斜率 -0.20 至 +1.50 %/日、低位斜率 &gt;0</t>
        </is>
      </c>
      <c r="I31" s="18">
        <f>'總表'!BK131</f>
        <v/>
      </c>
      <c r="J31" s="5" t="n">
        <v>131</v>
      </c>
    </row>
    <row r="32">
      <c r="A32" s="5" t="n">
        <v>31</v>
      </c>
      <c r="B32" s="6" t="inlineStr">
        <is>
          <t>MSTR</t>
        </is>
      </c>
      <c r="C32" s="5" t="inlineStr">
        <is>
          <t>Strategy Inc</t>
        </is>
      </c>
      <c r="D32" s="5" t="inlineStr">
        <is>
          <t>科技</t>
        </is>
      </c>
      <c r="E32" s="5" t="inlineStr">
        <is>
          <t>大型</t>
        </is>
      </c>
      <c r="F32" s="5" t="inlineStr">
        <is>
          <t>C4 上升三角／重心偏上</t>
        </is>
      </c>
      <c r="G32" s="3" t="inlineStr">
        <is>
          <t>重心 0.46（要 ≥0.5）、高位斜率 +1.19%/日（要 -0.10 至 +1.00）、低位斜率 +0.14%/日（要 &gt;0）</t>
        </is>
      </c>
      <c r="H32" s="3" t="inlineStr">
        <is>
          <t>重心 ≥0.45、高位斜率 -0.20 至 +1.50 %/日、低位斜率 &gt;0</t>
        </is>
      </c>
      <c r="I32" s="18">
        <f>'總表'!BK132</f>
        <v/>
      </c>
      <c r="J32" s="5" t="n">
        <v>132</v>
      </c>
    </row>
    <row r="33">
      <c r="A33" s="5" t="n">
        <v>32</v>
      </c>
      <c r="B33" s="6" t="inlineStr">
        <is>
          <t>TWST</t>
        </is>
      </c>
      <c r="C33" s="5" t="inlineStr">
        <is>
          <t>Twist Bioscience Corporation</t>
        </is>
      </c>
      <c r="D33" s="5" t="inlineStr">
        <is>
          <t>醫療保健</t>
        </is>
      </c>
      <c r="E33" s="5" t="inlineStr">
        <is>
          <t>大型</t>
        </is>
      </c>
      <c r="F33" s="5" t="inlineStr">
        <is>
          <t>C4 上升三角／重心偏上</t>
        </is>
      </c>
      <c r="G33" s="3" t="inlineStr">
        <is>
          <t>重心 0.49（要 ≥0.5）、高位斜率 +1.42%/日（要 -0.10 至 +1.00）、低位斜率 +1.95%/日（要 &gt;0）</t>
        </is>
      </c>
      <c r="H33" s="3" t="inlineStr">
        <is>
          <t>重心 ≥0.45、高位斜率 -0.20 至 +1.50 %/日、低位斜率 &gt;0</t>
        </is>
      </c>
      <c r="I33" s="18">
        <f>'總表'!BK133</f>
        <v/>
      </c>
      <c r="J33" s="5" t="n">
        <v>133</v>
      </c>
    </row>
    <row r="34">
      <c r="A34" s="5" t="n">
        <v>33</v>
      </c>
      <c r="B34" s="6" t="inlineStr">
        <is>
          <t>GEV</t>
        </is>
      </c>
      <c r="C34" s="5" t="inlineStr">
        <is>
          <t>GE Vernova Inc.</t>
        </is>
      </c>
      <c r="D34" s="5" t="inlineStr">
        <is>
          <t>科技</t>
        </is>
      </c>
      <c r="E34" s="5" t="inlineStr">
        <is>
          <t>大型</t>
        </is>
      </c>
      <c r="F34" s="5" t="inlineStr">
        <is>
          <t>C4 上升三角／重心偏上</t>
        </is>
      </c>
      <c r="G34" s="3" t="inlineStr">
        <is>
          <t>重心 0.48（要 ≥0.5）、高位斜率 -0.05%/日（要 -0.10 至 +1.00）、低位斜率 +0.30%/日（要 &gt;0）</t>
        </is>
      </c>
      <c r="H34" s="3" t="inlineStr">
        <is>
          <t>重心 ≥0.45、高位斜率 -0.20 至 +1.50 %/日、低位斜率 &gt;0</t>
        </is>
      </c>
      <c r="I34" s="18">
        <f>'總表'!BK134</f>
        <v/>
      </c>
      <c r="J34" s="5" t="n">
        <v>134</v>
      </c>
    </row>
    <row r="35">
      <c r="A35" s="5" t="n">
        <v>34</v>
      </c>
      <c r="B35" s="6" t="inlineStr">
        <is>
          <t>OKTA</t>
        </is>
      </c>
      <c r="C35" s="5" t="inlineStr">
        <is>
          <t>Okta Inc.</t>
        </is>
      </c>
      <c r="D35" s="5" t="inlineStr">
        <is>
          <t>科技</t>
        </is>
      </c>
      <c r="E35" s="5" t="inlineStr">
        <is>
          <t>大型</t>
        </is>
      </c>
      <c r="F35" s="5" t="inlineStr">
        <is>
          <t>C4 上升三角／重心偏上</t>
        </is>
      </c>
      <c r="G35" s="3" t="inlineStr">
        <is>
          <t>重心 0.48（要 ≥0.5）、高位斜率 +0.93%/日（要 -0.10 至 +1.00）、低位斜率 +0.90%/日（要 &gt;0）</t>
        </is>
      </c>
      <c r="H35" s="3" t="inlineStr">
        <is>
          <t>重心 ≥0.45、高位斜率 -0.20 至 +1.50 %/日、低位斜率 &gt;0</t>
        </is>
      </c>
      <c r="I35" s="18">
        <f>'總表'!BK135</f>
        <v/>
      </c>
      <c r="J35" s="5" t="n">
        <v>135</v>
      </c>
    </row>
    <row r="36">
      <c r="A36" s="5" t="n">
        <v>35</v>
      </c>
      <c r="B36" s="6" t="inlineStr">
        <is>
          <t>CVI</t>
        </is>
      </c>
      <c r="C36" s="5" t="inlineStr">
        <is>
          <t>CVR Energy Inc.</t>
        </is>
      </c>
      <c r="D36" s="5" t="inlineStr">
        <is>
          <t>能源</t>
        </is>
      </c>
      <c r="E36" s="5" t="inlineStr">
        <is>
          <t>中型</t>
        </is>
      </c>
      <c r="F36" s="5" t="inlineStr">
        <is>
          <t>C4 上升三角／重心偏上</t>
        </is>
      </c>
      <c r="G36" s="3" t="inlineStr">
        <is>
          <t>重心 0.61（要 ≥0.5）、高位斜率 +1.04%/日（要 -0.10 至 +1.00）、低位斜率 +0.98%/日（要 &gt;0）</t>
        </is>
      </c>
      <c r="H36" s="3" t="inlineStr">
        <is>
          <t>重心 ≥0.45、高位斜率 -0.20 至 +1.50 %/日、低位斜率 &gt;0</t>
        </is>
      </c>
      <c r="I36" s="18">
        <f>'總表'!BK136</f>
        <v/>
      </c>
      <c r="J36" s="5" t="n">
        <v>136</v>
      </c>
    </row>
    <row r="37">
      <c r="A37" s="5" t="n">
        <v>36</v>
      </c>
      <c r="B37" s="6" t="inlineStr">
        <is>
          <t>AMBQ</t>
        </is>
      </c>
      <c r="C37" s="5" t="inlineStr">
        <is>
          <t>Ambiq Micro Inc.</t>
        </is>
      </c>
      <c r="D37" s="5" t="inlineStr">
        <is>
          <t>科技</t>
        </is>
      </c>
      <c r="E37" s="5" t="inlineStr">
        <is>
          <t>小型</t>
        </is>
      </c>
      <c r="F37" s="5" t="inlineStr">
        <is>
          <t>C4 上升三角／重心偏上</t>
        </is>
      </c>
      <c r="G37" s="3" t="inlineStr">
        <is>
          <t>重心 0.50（要 ≥0.5）、高位斜率 +1.12%/日（要 -0.10 至 +1.00）、低位斜率 +0.65%/日（要 &gt;0）</t>
        </is>
      </c>
      <c r="H37" s="3" t="inlineStr">
        <is>
          <t>重心 ≥0.45、高位斜率 -0.20 至 +1.50 %/日、低位斜率 &gt;0</t>
        </is>
      </c>
      <c r="I37" s="18">
        <f>'總表'!BK137</f>
        <v/>
      </c>
      <c r="J37" s="5" t="n">
        <v>137</v>
      </c>
    </row>
    <row r="38">
      <c r="A38" s="5" t="n">
        <v>37</v>
      </c>
      <c r="B38" s="6" t="inlineStr">
        <is>
          <t>ALAB</t>
        </is>
      </c>
      <c r="C38" s="5" t="inlineStr">
        <is>
          <t>Astera Labs Inc.</t>
        </is>
      </c>
      <c r="D38" s="5" t="inlineStr">
        <is>
          <t>科技</t>
        </is>
      </c>
      <c r="E38" s="5" t="inlineStr">
        <is>
          <t>大型</t>
        </is>
      </c>
      <c r="F38" s="5" t="inlineStr">
        <is>
          <t>C4 上升三角／重心偏上</t>
        </is>
      </c>
      <c r="G38" s="3" t="inlineStr">
        <is>
          <t>重心 0.48（要 ≥0.5）、高位斜率 +0.98%/日（要 -0.10 至 +1.00）、低位斜率 +1.46%/日（要 &gt;0）</t>
        </is>
      </c>
      <c r="H38" s="3" t="inlineStr">
        <is>
          <t>重心 ≥0.45、高位斜率 -0.20 至 +1.50 %/日、低位斜率 &gt;0</t>
        </is>
      </c>
      <c r="I38" s="18">
        <f>'總表'!BK138</f>
        <v/>
      </c>
      <c r="J38" s="5" t="n">
        <v>138</v>
      </c>
    </row>
    <row r="39">
      <c r="A39" s="5" t="n">
        <v>38</v>
      </c>
      <c r="B39" s="6" t="inlineStr">
        <is>
          <t>EVCM</t>
        </is>
      </c>
      <c r="C39" s="5" t="inlineStr">
        <is>
          <t>EverCommerce Inc.</t>
        </is>
      </c>
      <c r="D39" s="5" t="inlineStr">
        <is>
          <t>科技</t>
        </is>
      </c>
      <c r="E39" s="5" t="inlineStr">
        <is>
          <t>小型</t>
        </is>
      </c>
      <c r="F39" s="5" t="inlineStr">
        <is>
          <t>C4 上升三角／重心偏上</t>
        </is>
      </c>
      <c r="G39" s="3" t="inlineStr">
        <is>
          <t>重心 0.46（要 ≥0.5）、高位斜率 +0.05%/日（要 -0.10 至 +1.00）、低位斜率 +1.15%/日（要 &gt;0）</t>
        </is>
      </c>
      <c r="H39" s="3" t="inlineStr">
        <is>
          <t>重心 ≥0.45、高位斜率 -0.20 至 +1.50 %/日、低位斜率 &gt;0</t>
        </is>
      </c>
      <c r="I39" s="18">
        <f>'總表'!BK139</f>
        <v/>
      </c>
      <c r="J39" s="5" t="n">
        <v>139</v>
      </c>
    </row>
    <row r="40">
      <c r="A40" s="5" t="n">
        <v>39</v>
      </c>
      <c r="B40" s="6" t="inlineStr">
        <is>
          <t>FBLA</t>
        </is>
      </c>
      <c r="C40" s="5" t="inlineStr">
        <is>
          <t>FB Bancorp Inc.</t>
        </is>
      </c>
      <c r="D40" s="5" t="inlineStr">
        <is>
          <t>金融</t>
        </is>
      </c>
      <c r="E40" s="5" t="inlineStr">
        <is>
          <t>小型</t>
        </is>
      </c>
      <c r="F40" s="5" t="inlineStr">
        <is>
          <t>C4 上升三角／重心偏上</t>
        </is>
      </c>
      <c r="G40" s="3" t="inlineStr">
        <is>
          <t>重心 0.46（要 ≥0.5）、高位斜率 +0.03%/日（要 -0.10 至 +1.00）、低位斜率 +0.17%/日（要 &gt;0）</t>
        </is>
      </c>
      <c r="H40" s="3" t="inlineStr">
        <is>
          <t>重心 ≥0.45、高位斜率 -0.20 至 +1.50 %/日、低位斜率 &gt;0</t>
        </is>
      </c>
      <c r="I40" s="18">
        <f>'總表'!BK140</f>
        <v/>
      </c>
      <c r="J40" s="5" t="n">
        <v>140</v>
      </c>
    </row>
    <row r="41">
      <c r="A41" s="5" t="n">
        <v>40</v>
      </c>
      <c r="B41" s="6" t="inlineStr">
        <is>
          <t>CURI</t>
        </is>
      </c>
      <c r="C41" s="5" t="inlineStr">
        <is>
          <t>CuriosityStream Inc.</t>
        </is>
      </c>
      <c r="D41" s="5" t="inlineStr">
        <is>
          <t>非必需消費</t>
        </is>
      </c>
      <c r="E41" s="5" t="inlineStr">
        <is>
          <t>小型</t>
        </is>
      </c>
      <c r="F41" s="5" t="inlineStr">
        <is>
          <t>C4 上升三角／重心偏上</t>
        </is>
      </c>
      <c r="G41" s="3" t="inlineStr">
        <is>
          <t>重心 0.45（要 ≥0.5）、高位斜率 +0.30%/日（要 -0.10 至 +1.00）、低位斜率 +0.53%/日（要 &gt;0）</t>
        </is>
      </c>
      <c r="H41" s="3" t="inlineStr">
        <is>
          <t>重心 ≥0.45、高位斜率 -0.20 至 +1.50 %/日、低位斜率 &gt;0</t>
        </is>
      </c>
      <c r="I41" s="18">
        <f>'總表'!BK141</f>
        <v/>
      </c>
      <c r="J41" s="5" t="n">
        <v>141</v>
      </c>
    </row>
    <row r="42">
      <c r="A42" s="5" t="n">
        <v>41</v>
      </c>
      <c r="B42" s="6" t="inlineStr">
        <is>
          <t>RXRX</t>
        </is>
      </c>
      <c r="C42" s="5" t="inlineStr">
        <is>
          <t>Recursion Pharmaceuticals Inc.</t>
        </is>
      </c>
      <c r="D42" s="5" t="inlineStr">
        <is>
          <t>醫療保健</t>
        </is>
      </c>
      <c r="E42" s="5" t="inlineStr">
        <is>
          <t>中型</t>
        </is>
      </c>
      <c r="F42" s="5" t="inlineStr">
        <is>
          <t>C4 上升三角／重心偏上</t>
        </is>
      </c>
      <c r="G42" s="3" t="inlineStr">
        <is>
          <t>重心 0.49（要 ≥0.5）、高位斜率 +1.03%/日（要 -0.10 至 +1.00）、低位斜率 +0.57%/日（要 &gt;0）</t>
        </is>
      </c>
      <c r="H42" s="3" t="inlineStr">
        <is>
          <t>重心 ≥0.45、高位斜率 -0.20 至 +1.50 %/日、低位斜率 &gt;0</t>
        </is>
      </c>
      <c r="I42" s="18">
        <f>'總表'!BK142</f>
        <v/>
      </c>
      <c r="J42" s="5" t="n">
        <v>142</v>
      </c>
    </row>
    <row r="43">
      <c r="A43" s="5" t="n">
        <v>42</v>
      </c>
      <c r="B43" s="6" t="inlineStr">
        <is>
          <t>A</t>
        </is>
      </c>
      <c r="C43" s="5" t="inlineStr">
        <is>
          <t>Agilent Technologies Inc.</t>
        </is>
      </c>
      <c r="D43" s="5" t="inlineStr">
        <is>
          <t>工業</t>
        </is>
      </c>
      <c r="E43" s="5" t="inlineStr">
        <is>
          <t>大型</t>
        </is>
      </c>
      <c r="F43" s="5" t="inlineStr">
        <is>
          <t>C4 上升三角／重心偏上</t>
        </is>
      </c>
      <c r="G43" s="3" t="inlineStr">
        <is>
          <t>重心 0.49（要 ≥0.5）、高位斜率 +0.64%/日（要 -0.10 至 +1.00）、低位斜率 +0.61%/日（要 &gt;0）</t>
        </is>
      </c>
      <c r="H43" s="3" t="inlineStr">
        <is>
          <t>重心 ≥0.45、高位斜率 -0.20 至 +1.50 %/日、低位斜率 &gt;0</t>
        </is>
      </c>
      <c r="I43" s="18">
        <f>'總表'!BK143</f>
        <v/>
      </c>
      <c r="J43" s="5" t="n">
        <v>143</v>
      </c>
    </row>
    <row r="44">
      <c r="A44" s="5" t="n">
        <v>43</v>
      </c>
      <c r="B44" s="6" t="inlineStr">
        <is>
          <t>RNG</t>
        </is>
      </c>
      <c r="C44" s="5" t="inlineStr">
        <is>
          <t>RingCentral Inc.</t>
        </is>
      </c>
      <c r="D44" s="5" t="inlineStr">
        <is>
          <t>科技</t>
        </is>
      </c>
      <c r="E44" s="5" t="inlineStr">
        <is>
          <t>中型</t>
        </is>
      </c>
      <c r="F44" s="5" t="inlineStr">
        <is>
          <t>C4 上升三角／重心偏上</t>
        </is>
      </c>
      <c r="G44" s="3" t="inlineStr">
        <is>
          <t>重心 0.47（要 ≥0.5）、高位斜率 +0.39%/日（要 -0.10 至 +1.00）、低位斜率 +0.43%/日（要 &gt;0）</t>
        </is>
      </c>
      <c r="H44" s="3" t="inlineStr">
        <is>
          <t>重心 ≥0.45、高位斜率 -0.20 至 +1.50 %/日、低位斜率 &gt;0</t>
        </is>
      </c>
      <c r="I44" s="18">
        <f>'總表'!BK144</f>
        <v/>
      </c>
      <c r="J44" s="5" t="n">
        <v>144</v>
      </c>
    </row>
    <row r="45">
      <c r="A45" s="5" t="n">
        <v>44</v>
      </c>
      <c r="B45" s="6" t="inlineStr">
        <is>
          <t>DOCS</t>
        </is>
      </c>
      <c r="C45" s="5" t="inlineStr">
        <is>
          <t>Doximity Inc.</t>
        </is>
      </c>
      <c r="D45" s="5" t="inlineStr">
        <is>
          <t>科技</t>
        </is>
      </c>
      <c r="E45" s="5" t="inlineStr">
        <is>
          <t>中型</t>
        </is>
      </c>
      <c r="F45" s="5" t="inlineStr">
        <is>
          <t>C4 上升三角／重心偏上</t>
        </is>
      </c>
      <c r="G45" s="3" t="inlineStr">
        <is>
          <t>重心 0.47（要 ≥0.5）、高位斜率 +0.05%/日（要 -0.10 至 +1.00）、低位斜率 +0.37%/日（要 &gt;0）</t>
        </is>
      </c>
      <c r="H45" s="3" t="inlineStr">
        <is>
          <t>重心 ≥0.45、高位斜率 -0.20 至 +1.50 %/日、低位斜率 &gt;0</t>
        </is>
      </c>
      <c r="I45" s="18">
        <f>'總表'!BK145</f>
        <v/>
      </c>
      <c r="J45" s="5" t="n">
        <v>145</v>
      </c>
    </row>
    <row r="46">
      <c r="A46" s="5" t="n">
        <v>45</v>
      </c>
      <c r="B46" s="6" t="inlineStr">
        <is>
          <t>MAR</t>
        </is>
      </c>
      <c r="C46" s="5" t="inlineStr">
        <is>
          <t>Marriott International</t>
        </is>
      </c>
      <c r="D46" s="5" t="inlineStr">
        <is>
          <t>非必需消費</t>
        </is>
      </c>
      <c r="E46" s="5" t="inlineStr">
        <is>
          <t>大型</t>
        </is>
      </c>
      <c r="F46" s="5" t="inlineStr">
        <is>
          <t>C4 上升三角／重心偏上</t>
        </is>
      </c>
      <c r="G46" s="3" t="inlineStr">
        <is>
          <t>重心 0.49（要 ≥0.5）、高位斜率 +0.17%/日（要 -0.10 至 +1.00）、低位斜率 +0.46%/日（要 &gt;0）</t>
        </is>
      </c>
      <c r="H46" s="3" t="inlineStr">
        <is>
          <t>重心 ≥0.45、高位斜率 -0.20 至 +1.50 %/日、低位斜率 &gt;0</t>
        </is>
      </c>
      <c r="I46" s="18">
        <f>'總表'!BK146</f>
        <v/>
      </c>
      <c r="J46" s="5" t="n">
        <v>146</v>
      </c>
    </row>
    <row r="47">
      <c r="A47" s="5" t="n">
        <v>46</v>
      </c>
      <c r="B47" s="6" t="inlineStr">
        <is>
          <t>DIOD</t>
        </is>
      </c>
      <c r="C47" s="5" t="inlineStr">
        <is>
          <t>Diodes Incorporated</t>
        </is>
      </c>
      <c r="D47" s="5" t="inlineStr">
        <is>
          <t>科技</t>
        </is>
      </c>
      <c r="E47" s="5" t="inlineStr">
        <is>
          <t>中型</t>
        </is>
      </c>
      <c r="F47" s="5" t="inlineStr">
        <is>
          <t>C4 上升三角／重心偏上</t>
        </is>
      </c>
      <c r="G47" s="3" t="inlineStr">
        <is>
          <t>重心 0.49（要 ≥0.5）、高位斜率 +0.33%/日（要 -0.10 至 +1.00）、低位斜率 +0.28%/日（要 &gt;0）</t>
        </is>
      </c>
      <c r="H47" s="3" t="inlineStr">
        <is>
          <t>重心 ≥0.45、高位斜率 -0.20 至 +1.50 %/日、低位斜率 &gt;0</t>
        </is>
      </c>
      <c r="I47" s="18">
        <f>'總表'!BK147</f>
        <v/>
      </c>
      <c r="J47" s="5" t="n">
        <v>147</v>
      </c>
    </row>
    <row r="48">
      <c r="A48" s="5" t="n">
        <v>47</v>
      </c>
      <c r="B48" s="6" t="inlineStr">
        <is>
          <t>FIX</t>
        </is>
      </c>
      <c r="C48" s="5" t="inlineStr">
        <is>
          <t>Comfort Systems USA Inc.</t>
        </is>
      </c>
      <c r="D48" s="5" t="inlineStr">
        <is>
          <t>工業</t>
        </is>
      </c>
      <c r="E48" s="5" t="inlineStr">
        <is>
          <t>大型</t>
        </is>
      </c>
      <c r="F48" s="5" t="inlineStr">
        <is>
          <t>C4 上升三角／重心偏上</t>
        </is>
      </c>
      <c r="G48" s="3" t="inlineStr">
        <is>
          <t>重心 0.52（要 ≥0.5）、高位斜率 -0.19%/日（要 -0.10 至 +1.00）、低位斜率 +0.23%/日（要 &gt;0）</t>
        </is>
      </c>
      <c r="H48" s="3" t="inlineStr">
        <is>
          <t>重心 ≥0.45、高位斜率 -0.20 至 +1.50 %/日、低位斜率 &gt;0</t>
        </is>
      </c>
      <c r="I48" s="18">
        <f>'總表'!BK148</f>
        <v/>
      </c>
      <c r="J48" s="5" t="n">
        <v>148</v>
      </c>
    </row>
    <row r="49">
      <c r="A49" s="5" t="n">
        <v>48</v>
      </c>
      <c r="B49" s="6" t="inlineStr">
        <is>
          <t>DOCN</t>
        </is>
      </c>
      <c r="C49" s="5" t="inlineStr">
        <is>
          <t>DigitalOcean Holdings Inc.</t>
        </is>
      </c>
      <c r="D49" s="5" t="inlineStr">
        <is>
          <t>科技</t>
        </is>
      </c>
      <c r="E49" s="5" t="inlineStr">
        <is>
          <t>大型</t>
        </is>
      </c>
      <c r="F49" s="5" t="inlineStr">
        <is>
          <t>C4 上升三角／重心偏上</t>
        </is>
      </c>
      <c r="G49" s="3" t="inlineStr">
        <is>
          <t>重心 0.53（要 ≥0.5）、高位斜率 +1.15%/日（要 -0.10 至 +1.00）、低位斜率 +1.50%/日（要 &gt;0）</t>
        </is>
      </c>
      <c r="H49" s="3" t="inlineStr">
        <is>
          <t>重心 ≥0.45、高位斜率 -0.20 至 +1.50 %/日、低位斜率 &gt;0</t>
        </is>
      </c>
      <c r="I49" s="18">
        <f>'總表'!BK149</f>
        <v/>
      </c>
      <c r="J49" s="5" t="n">
        <v>149</v>
      </c>
    </row>
    <row r="50">
      <c r="A50" s="5" t="n">
        <v>49</v>
      </c>
      <c r="B50" s="6" t="inlineStr">
        <is>
          <t>NXDR</t>
        </is>
      </c>
      <c r="C50" s="5" t="inlineStr">
        <is>
          <t>Nextdoor Holdings Inc.</t>
        </is>
      </c>
      <c r="D50" s="5" t="inlineStr">
        <is>
          <t>科技</t>
        </is>
      </c>
      <c r="E50" s="5" t="inlineStr">
        <is>
          <t>小型</t>
        </is>
      </c>
      <c r="F50" s="5" t="inlineStr">
        <is>
          <t>C4 上升三角／重心偏上</t>
        </is>
      </c>
      <c r="G50" s="3" t="inlineStr">
        <is>
          <t>重心 0.48（要 ≥0.5）、高位斜率 +1.06%/日（要 -0.10 至 +1.00）、低位斜率 +0.50%/日（要 &gt;0）</t>
        </is>
      </c>
      <c r="H50" s="3" t="inlineStr">
        <is>
          <t>重心 ≥0.45、高位斜率 -0.20 至 +1.50 %/日、低位斜率 &gt;0</t>
        </is>
      </c>
      <c r="I50" s="18">
        <f>'總表'!BK150</f>
        <v/>
      </c>
      <c r="J50" s="5" t="n">
        <v>150</v>
      </c>
    </row>
    <row r="51">
      <c r="A51" s="5" t="n">
        <v>50</v>
      </c>
      <c r="B51" s="6" t="inlineStr">
        <is>
          <t>BAND</t>
        </is>
      </c>
      <c r="C51" s="5" t="inlineStr">
        <is>
          <t>Bandwidth Inc.</t>
        </is>
      </c>
      <c r="D51" s="5" t="inlineStr">
        <is>
          <t>科技</t>
        </is>
      </c>
      <c r="E51" s="5" t="inlineStr">
        <is>
          <t>小型</t>
        </is>
      </c>
      <c r="F51" s="5" t="inlineStr">
        <is>
          <t>C4 上升三角／重心偏上</t>
        </is>
      </c>
      <c r="G51" s="3" t="inlineStr">
        <is>
          <t>重心 0.51（要 ≥0.5）、高位斜率 +1.03%/日（要 -0.10 至 +1.00）、低位斜率 +1.82%/日（要 &gt;0）</t>
        </is>
      </c>
      <c r="H51" s="3" t="inlineStr">
        <is>
          <t>重心 ≥0.45、高位斜率 -0.20 至 +1.50 %/日、低位斜率 &gt;0</t>
        </is>
      </c>
      <c r="I51" s="18">
        <f>'總表'!BK151</f>
        <v/>
      </c>
      <c r="J51" s="5" t="n">
        <v>151</v>
      </c>
    </row>
    <row r="52">
      <c r="A52" s="5" t="n">
        <v>51</v>
      </c>
      <c r="B52" s="6" t="inlineStr">
        <is>
          <t>PRLB</t>
        </is>
      </c>
      <c r="C52" s="5" t="inlineStr">
        <is>
          <t>Proto Labs Inc. Common stock</t>
        </is>
      </c>
      <c r="D52" s="5" t="inlineStr">
        <is>
          <t>工業</t>
        </is>
      </c>
      <c r="E52" s="5" t="inlineStr">
        <is>
          <t>中型</t>
        </is>
      </c>
      <c r="F52" s="5" t="inlineStr">
        <is>
          <t>C4 上升三角／重心偏上</t>
        </is>
      </c>
      <c r="G52" s="3" t="inlineStr">
        <is>
          <t>重心 0.45（要 ≥0.5）、高位斜率 +0.22%/日（要 -0.10 至 +1.00）、低位斜率 +0.13%/日（要 &gt;0）</t>
        </is>
      </c>
      <c r="H52" s="3" t="inlineStr">
        <is>
          <t>重心 ≥0.45、高位斜率 -0.20 至 +1.50 %/日、低位斜率 &gt;0</t>
        </is>
      </c>
      <c r="I52" s="18">
        <f>'總表'!BK152</f>
        <v/>
      </c>
      <c r="J52" s="5" t="n">
        <v>152</v>
      </c>
    </row>
    <row r="53">
      <c r="A53" s="5" t="n">
        <v>52</v>
      </c>
      <c r="B53" s="6" t="inlineStr">
        <is>
          <t>ABSI</t>
        </is>
      </c>
      <c r="C53" s="5" t="inlineStr">
        <is>
          <t>Absci Corporation</t>
        </is>
      </c>
      <c r="D53" s="5" t="inlineStr">
        <is>
          <t>醫療保健</t>
        </is>
      </c>
      <c r="E53" s="5" t="inlineStr">
        <is>
          <t>小型</t>
        </is>
      </c>
      <c r="F53" s="5" t="inlineStr">
        <is>
          <t>C4 上升三角／重心偏上</t>
        </is>
      </c>
      <c r="G53" s="3" t="inlineStr">
        <is>
          <t>重心 0.48（要 ≥0.5）、高位斜率 +0.75%/日（要 -0.10 至 +1.00）、低位斜率 +0.51%/日（要 &gt;0）</t>
        </is>
      </c>
      <c r="H53" s="3" t="inlineStr">
        <is>
          <t>重心 ≥0.45、高位斜率 -0.20 至 +1.50 %/日、低位斜率 &gt;0</t>
        </is>
      </c>
      <c r="I53" s="18">
        <f>'總表'!BK153</f>
        <v/>
      </c>
      <c r="J53" s="5" t="n">
        <v>153</v>
      </c>
    </row>
    <row r="54">
      <c r="A54" s="5" t="n">
        <v>53</v>
      </c>
      <c r="B54" s="6" t="inlineStr">
        <is>
          <t>TSSI</t>
        </is>
      </c>
      <c r="C54" s="5" t="inlineStr">
        <is>
          <t>TSS Inc.</t>
        </is>
      </c>
      <c r="D54" s="5" t="inlineStr">
        <is>
          <t>非必需消費</t>
        </is>
      </c>
      <c r="E54" s="5" t="inlineStr">
        <is>
          <t>小型</t>
        </is>
      </c>
      <c r="F54" s="5" t="inlineStr">
        <is>
          <t>C4 上升三角／重心偏上</t>
        </is>
      </c>
      <c r="G54" s="3" t="inlineStr">
        <is>
          <t>重心 0.47（要 ≥0.5）、高位斜率 +0.84%/日（要 -0.10 至 +1.00）、低位斜率 +0.50%/日（要 &gt;0）</t>
        </is>
      </c>
      <c r="H54" s="3" t="inlineStr">
        <is>
          <t>重心 ≥0.45、高位斜率 -0.20 至 +1.50 %/日、低位斜率 &gt;0</t>
        </is>
      </c>
      <c r="I54" s="18">
        <f>'總表'!BK154</f>
        <v/>
      </c>
      <c r="J54" s="5" t="n">
        <v>154</v>
      </c>
    </row>
    <row r="55">
      <c r="A55" s="5" t="n">
        <v>54</v>
      </c>
      <c r="B55" s="6" t="inlineStr">
        <is>
          <t>TEM</t>
        </is>
      </c>
      <c r="C55" s="5" t="inlineStr">
        <is>
          <t>Tempus AI Inc.</t>
        </is>
      </c>
      <c r="D55" s="5" t="inlineStr">
        <is>
          <t>科技</t>
        </is>
      </c>
      <c r="E55" s="5" t="inlineStr">
        <is>
          <t>大型</t>
        </is>
      </c>
      <c r="F55" s="5" t="inlineStr">
        <is>
          <t>C4 上升三角／重心偏上</t>
        </is>
      </c>
      <c r="G55" s="3" t="inlineStr">
        <is>
          <t>重心 0.47（要 ≥0.5）、高位斜率 +1.32%/日（要 -0.10 至 +1.00）、低位斜率 +1.32%/日（要 &gt;0）</t>
        </is>
      </c>
      <c r="H55" s="3" t="inlineStr">
        <is>
          <t>重心 ≥0.45、高位斜率 -0.20 至 +1.50 %/日、低位斜率 &gt;0</t>
        </is>
      </c>
      <c r="I55" s="18">
        <f>'總表'!BK155</f>
        <v/>
      </c>
      <c r="J55" s="5" t="n">
        <v>155</v>
      </c>
    </row>
    <row r="56">
      <c r="A56" s="5" t="n">
        <v>55</v>
      </c>
      <c r="B56" s="6" t="inlineStr">
        <is>
          <t>ATII</t>
        </is>
      </c>
      <c r="C56" s="5" t="inlineStr">
        <is>
          <t>Archimedes Tech SPAC Partners II Co.</t>
        </is>
      </c>
      <c r="D56" s="5" t="inlineStr">
        <is>
          <t>—</t>
        </is>
      </c>
      <c r="E56" s="5" t="inlineStr">
        <is>
          <t>未分類</t>
        </is>
      </c>
      <c r="F56" s="5" t="inlineStr">
        <is>
          <t>C4 上升三角／重心偏上</t>
        </is>
      </c>
      <c r="G56" s="3" t="inlineStr">
        <is>
          <t>重心 0.45（要 ≥0.5）、高位斜率 -0.00%/日（要 -0.10 至 +1.00）、低位斜率 +0.02%/日（要 &gt;0）</t>
        </is>
      </c>
      <c r="H56" s="3" t="inlineStr">
        <is>
          <t>重心 ≥0.45、高位斜率 -0.20 至 +1.50 %/日、低位斜率 &gt;0</t>
        </is>
      </c>
      <c r="I56" s="18">
        <f>'總表'!BK156</f>
        <v/>
      </c>
      <c r="J56" s="5" t="n">
        <v>156</v>
      </c>
    </row>
    <row r="57">
      <c r="A57" s="5" t="n">
        <v>56</v>
      </c>
      <c r="B57" s="6" t="inlineStr">
        <is>
          <t>RXT</t>
        </is>
      </c>
      <c r="C57" s="5" t="inlineStr">
        <is>
          <t>Rackspace Technology Inc.</t>
        </is>
      </c>
      <c r="D57" s="5" t="inlineStr">
        <is>
          <t>科技</t>
        </is>
      </c>
      <c r="E57" s="5" t="inlineStr">
        <is>
          <t>小型</t>
        </is>
      </c>
      <c r="F57" s="5" t="inlineStr">
        <is>
          <t>C4 上升三角／重心偏上</t>
        </is>
      </c>
      <c r="G57" s="3" t="inlineStr">
        <is>
          <t>重心 0.46（要 ≥0.5）、高位斜率 +1.29%/日（要 -0.10 至 +1.00）、低位斜率 +0.98%/日（要 &gt;0）</t>
        </is>
      </c>
      <c r="H57" s="3" t="inlineStr">
        <is>
          <t>重心 ≥0.45、高位斜率 -0.20 至 +1.50 %/日、低位斜率 &gt;0</t>
        </is>
      </c>
      <c r="I57" s="18">
        <f>'總表'!BK157</f>
        <v/>
      </c>
      <c r="J57" s="5" t="n">
        <v>157</v>
      </c>
    </row>
    <row r="58">
      <c r="A58" s="5" t="n">
        <v>57</v>
      </c>
      <c r="B58" s="6" t="inlineStr">
        <is>
          <t>VIA</t>
        </is>
      </c>
      <c r="C58" s="5" t="inlineStr">
        <is>
          <t>Via Transportation Inc.</t>
        </is>
      </c>
      <c r="D58" s="5" t="inlineStr">
        <is>
          <t>科技</t>
        </is>
      </c>
      <c r="E58" s="5" t="inlineStr">
        <is>
          <t>中型</t>
        </is>
      </c>
      <c r="F58" s="5" t="inlineStr">
        <is>
          <t>C4 上升三角／重心偏上</t>
        </is>
      </c>
      <c r="G58" s="3" t="inlineStr">
        <is>
          <t>重心 0.49（要 ≥0.5）、高位斜率 +0.32%/日（要 -0.10 至 +1.00）、低位斜率 +0.28%/日（要 &gt;0）</t>
        </is>
      </c>
      <c r="H58" s="3" t="inlineStr">
        <is>
          <t>重心 ≥0.45、高位斜率 -0.20 至 +1.50 %/日、低位斜率 &gt;0</t>
        </is>
      </c>
      <c r="I58" s="18">
        <f>'總表'!BK158</f>
        <v/>
      </c>
      <c r="J58" s="5" t="n">
        <v>158</v>
      </c>
    </row>
    <row r="59">
      <c r="A59" s="5" t="n">
        <v>58</v>
      </c>
      <c r="B59" s="6" t="inlineStr">
        <is>
          <t>GEMI</t>
        </is>
      </c>
      <c r="C59" s="5" t="inlineStr">
        <is>
          <t>Gemini Space Station Inc.</t>
        </is>
      </c>
      <c r="D59" s="5" t="inlineStr">
        <is>
          <t>金融</t>
        </is>
      </c>
      <c r="E59" s="5" t="inlineStr">
        <is>
          <t>小型</t>
        </is>
      </c>
      <c r="F59" s="5" t="inlineStr">
        <is>
          <t>C4 上升三角／重心偏上</t>
        </is>
      </c>
      <c r="G59" s="3" t="inlineStr">
        <is>
          <t>重心 0.52（要 ≥0.5）、高位斜率 +1.49%/日（要 -0.10 至 +1.00）、低位斜率 +0.02%/日（要 &gt;0）</t>
        </is>
      </c>
      <c r="H59" s="3" t="inlineStr">
        <is>
          <t>重心 ≥0.45、高位斜率 -0.20 至 +1.50 %/日、低位斜率 &gt;0</t>
        </is>
      </c>
      <c r="I59" s="18">
        <f>'總表'!BK159</f>
        <v/>
      </c>
      <c r="J59" s="5" t="n">
        <v>159</v>
      </c>
    </row>
    <row r="60">
      <c r="A60" s="5" t="n">
        <v>59</v>
      </c>
      <c r="B60" s="6" t="inlineStr">
        <is>
          <t>RBRK</t>
        </is>
      </c>
      <c r="C60" s="5" t="inlineStr">
        <is>
          <t>Rubrik Inc.</t>
        </is>
      </c>
      <c r="D60" s="5" t="inlineStr">
        <is>
          <t>科技</t>
        </is>
      </c>
      <c r="E60" s="5" t="inlineStr">
        <is>
          <t>大型</t>
        </is>
      </c>
      <c r="F60" s="5" t="inlineStr">
        <is>
          <t>C4 上升三角／重心偏上</t>
        </is>
      </c>
      <c r="G60" s="3" t="inlineStr">
        <is>
          <t>重心 0.50（要 ≥0.5）、高位斜率 +0.56%/日（要 -0.10 至 +1.00）、低位斜率 +1.08%/日（要 &gt;0）</t>
        </is>
      </c>
      <c r="H60" s="3" t="inlineStr">
        <is>
          <t>重心 ≥0.45、高位斜率 -0.20 至 +1.50 %/日、低位斜率 &gt;0</t>
        </is>
      </c>
      <c r="I60" s="18">
        <f>'總表'!BK160</f>
        <v/>
      </c>
      <c r="J60" s="5" t="n">
        <v>160</v>
      </c>
    </row>
    <row r="61">
      <c r="A61" s="5" t="n">
        <v>60</v>
      </c>
      <c r="B61" s="6" t="inlineStr">
        <is>
          <t>KN</t>
        </is>
      </c>
      <c r="C61" s="5" t="inlineStr">
        <is>
          <t>Knowles Corporation</t>
        </is>
      </c>
      <c r="D61" s="5" t="inlineStr">
        <is>
          <t>必需消費</t>
        </is>
      </c>
      <c r="E61" s="5" t="inlineStr">
        <is>
          <t>中型</t>
        </is>
      </c>
      <c r="F61" s="5" t="inlineStr">
        <is>
          <t>C4 上升三角／重心偏上</t>
        </is>
      </c>
      <c r="G61" s="3" t="inlineStr">
        <is>
          <t>重心 0.46（要 ≥0.5）、高位斜率 +0.56%/日（要 -0.10 至 +1.00）、低位斜率 +0.25%/日（要 &gt;0）</t>
        </is>
      </c>
      <c r="H61" s="3" t="inlineStr">
        <is>
          <t>重心 ≥0.45、高位斜率 -0.20 至 +1.50 %/日、低位斜率 &gt;0</t>
        </is>
      </c>
      <c r="I61" s="18">
        <f>'總表'!BK161</f>
        <v/>
      </c>
      <c r="J61" s="5" t="n">
        <v>161</v>
      </c>
    </row>
    <row r="62">
      <c r="A62" s="5" t="n">
        <v>61</v>
      </c>
      <c r="B62" s="6" t="inlineStr">
        <is>
          <t>ZS</t>
        </is>
      </c>
      <c r="C62" s="5" t="inlineStr">
        <is>
          <t>Zscaler Inc.</t>
        </is>
      </c>
      <c r="D62" s="5" t="inlineStr">
        <is>
          <t>科技</t>
        </is>
      </c>
      <c r="E62" s="5" t="inlineStr">
        <is>
          <t>大型</t>
        </is>
      </c>
      <c r="F62" s="5" t="inlineStr">
        <is>
          <t>C4 上升三角／重心偏上</t>
        </is>
      </c>
      <c r="G62" s="3" t="inlineStr">
        <is>
          <t>重心 0.48（要 ≥0.5）、高位斜率 +0.78%/日（要 -0.10 至 +1.00）、低位斜率 +1.02%/日（要 &gt;0）</t>
        </is>
      </c>
      <c r="H62" s="3" t="inlineStr">
        <is>
          <t>重心 ≥0.45、高位斜率 -0.20 至 +1.50 %/日、低位斜率 &gt;0</t>
        </is>
      </c>
      <c r="I62" s="18">
        <f>'總表'!BK162</f>
        <v/>
      </c>
      <c r="J62" s="5" t="n">
        <v>162</v>
      </c>
    </row>
    <row r="63">
      <c r="A63" s="5" t="n">
        <v>62</v>
      </c>
      <c r="B63" s="6" t="inlineStr">
        <is>
          <t>CLMB</t>
        </is>
      </c>
      <c r="C63" s="5" t="inlineStr">
        <is>
          <t>Climb Global Solutions Inc.</t>
        </is>
      </c>
      <c r="D63" s="5" t="inlineStr">
        <is>
          <t>科技</t>
        </is>
      </c>
      <c r="E63" s="5" t="inlineStr">
        <is>
          <t>小型</t>
        </is>
      </c>
      <c r="F63" s="5" t="inlineStr">
        <is>
          <t>C4 上升三角／重心偏上</t>
        </is>
      </c>
      <c r="G63" s="3" t="inlineStr">
        <is>
          <t>重心 0.49（要 ≥0.5）、高位斜率 -0.08%/日（要 -0.10 至 +1.00）、低位斜率 +0.03%/日（要 &gt;0）</t>
        </is>
      </c>
      <c r="H63" s="3" t="inlineStr">
        <is>
          <t>重心 ≥0.45、高位斜率 -0.20 至 +1.50 %/日、低位斜率 &gt;0</t>
        </is>
      </c>
      <c r="I63" s="18">
        <f>'總表'!BK163</f>
        <v/>
      </c>
      <c r="J63" s="5" t="n">
        <v>163</v>
      </c>
    </row>
    <row r="64">
      <c r="A64" s="5" t="n">
        <v>63</v>
      </c>
      <c r="B64" s="6" t="inlineStr">
        <is>
          <t>BHE</t>
        </is>
      </c>
      <c r="C64" s="5" t="inlineStr">
        <is>
          <t>Benchmark Electronics Inc.</t>
        </is>
      </c>
      <c r="D64" s="5" t="inlineStr">
        <is>
          <t>科技</t>
        </is>
      </c>
      <c r="E64" s="5" t="inlineStr">
        <is>
          <t>中型</t>
        </is>
      </c>
      <c r="F64" s="5" t="inlineStr">
        <is>
          <t>C4 上升三角／重心偏上</t>
        </is>
      </c>
      <c r="G64" s="3" t="inlineStr">
        <is>
          <t>重心 0.50（要 ≥0.5）、高位斜率 +0.73%/日（要 -0.10 至 +1.00）、低位斜率 +0.45%/日（要 &gt;0）</t>
        </is>
      </c>
      <c r="H64" s="3" t="inlineStr">
        <is>
          <t>重心 ≥0.45、高位斜率 -0.20 至 +1.50 %/日、低位斜率 &gt;0</t>
        </is>
      </c>
      <c r="I64" s="18">
        <f>'總表'!BK164</f>
        <v/>
      </c>
      <c r="J64" s="5" t="n">
        <v>164</v>
      </c>
    </row>
    <row r="65">
      <c r="A65" s="5" t="n">
        <v>64</v>
      </c>
      <c r="B65" s="6" t="inlineStr">
        <is>
          <t>SGHT</t>
        </is>
      </c>
      <c r="C65" s="5" t="inlineStr">
        <is>
          <t>Sight Sciences Inc.</t>
        </is>
      </c>
      <c r="D65" s="5" t="inlineStr">
        <is>
          <t>醫療保健</t>
        </is>
      </c>
      <c r="E65" s="5" t="inlineStr">
        <is>
          <t>小型</t>
        </is>
      </c>
      <c r="F65" s="5" t="inlineStr">
        <is>
          <t>C4 上升三角／重心偏上</t>
        </is>
      </c>
      <c r="G65" s="3" t="inlineStr">
        <is>
          <t>重心 0.47（要 ≥0.5）、高位斜率 +0.40%/日（要 -0.10 至 +1.00）、低位斜率 +0.11%/日（要 &gt;0）</t>
        </is>
      </c>
      <c r="H65" s="3" t="inlineStr">
        <is>
          <t>重心 ≥0.45、高位斜率 -0.20 至 +1.50 %/日、低位斜率 &gt;0</t>
        </is>
      </c>
      <c r="I65" s="18">
        <f>'總表'!BK165</f>
        <v/>
      </c>
      <c r="J65" s="5" t="n">
        <v>165</v>
      </c>
    </row>
    <row r="66">
      <c r="A66" s="5" t="n">
        <v>65</v>
      </c>
      <c r="B66" s="6" t="inlineStr">
        <is>
          <t>VSH</t>
        </is>
      </c>
      <c r="C66" s="5" t="inlineStr">
        <is>
          <t>Vishay Intertechnology Inc.</t>
        </is>
      </c>
      <c r="D66" s="5" t="inlineStr">
        <is>
          <t>科技</t>
        </is>
      </c>
      <c r="E66" s="5" t="inlineStr">
        <is>
          <t>中型</t>
        </is>
      </c>
      <c r="F66" s="5" t="inlineStr">
        <is>
          <t>C4 上升三角／重心偏上</t>
        </is>
      </c>
      <c r="G66" s="3" t="inlineStr">
        <is>
          <t>重心 0.46（要 ≥0.5）、高位斜率 +0.30%/日（要 -0.10 至 +1.00）、低位斜率 +0.33%/日（要 &gt;0）</t>
        </is>
      </c>
      <c r="H66" s="3" t="inlineStr">
        <is>
          <t>重心 ≥0.45、高位斜率 -0.20 至 +1.50 %/日、低位斜率 &gt;0</t>
        </is>
      </c>
      <c r="I66" s="18">
        <f>'總表'!BK166</f>
        <v/>
      </c>
      <c r="J66" s="5" t="n">
        <v>166</v>
      </c>
    </row>
    <row r="67">
      <c r="A67" s="5" t="n">
        <v>66</v>
      </c>
      <c r="B67" s="6" t="inlineStr">
        <is>
          <t>SIGA</t>
        </is>
      </c>
      <c r="C67" s="5" t="inlineStr">
        <is>
          <t>SIGA Technologies Inc.</t>
        </is>
      </c>
      <c r="D67" s="5" t="inlineStr">
        <is>
          <t>醫療保健</t>
        </is>
      </c>
      <c r="E67" s="5" t="inlineStr">
        <is>
          <t>小型</t>
        </is>
      </c>
      <c r="F67" s="5" t="inlineStr">
        <is>
          <t>C4 上升三角／重心偏上</t>
        </is>
      </c>
      <c r="G67" s="3" t="inlineStr">
        <is>
          <t>重心 0.49（要 ≥0.5）、高位斜率 +0.43%/日（要 -0.10 至 +1.00）、低位斜率 +0.05%/日（要 &gt;0）</t>
        </is>
      </c>
      <c r="H67" s="3" t="inlineStr">
        <is>
          <t>重心 ≥0.45、高位斜率 -0.20 至 +1.50 %/日、低位斜率 &gt;0</t>
        </is>
      </c>
      <c r="I67" s="18">
        <f>'總表'!BK167</f>
        <v/>
      </c>
      <c r="J67" s="5" t="n">
        <v>167</v>
      </c>
    </row>
    <row r="68">
      <c r="A68" s="5" t="n">
        <v>67</v>
      </c>
      <c r="B68" s="6" t="inlineStr">
        <is>
          <t>AVTR</t>
        </is>
      </c>
      <c r="C68" s="5" t="inlineStr">
        <is>
          <t>Avantor Inc.</t>
        </is>
      </c>
      <c r="D68" s="5" t="inlineStr">
        <is>
          <t>工業</t>
        </is>
      </c>
      <c r="E68" s="5" t="inlineStr">
        <is>
          <t>大型</t>
        </is>
      </c>
      <c r="F68" s="5" t="inlineStr">
        <is>
          <t>C4 上升三角／重心偏上</t>
        </is>
      </c>
      <c r="G68" s="3" t="inlineStr">
        <is>
          <t>重心 0.49（要 ≥0.5）、高位斜率 +0.64%/日（要 -0.10 至 +1.00）、低位斜率 +0.18%/日（要 &gt;0）</t>
        </is>
      </c>
      <c r="H68" s="3" t="inlineStr">
        <is>
          <t>重心 ≥0.45、高位斜率 -0.20 至 +1.50 %/日、低位斜率 &gt;0</t>
        </is>
      </c>
      <c r="I68" s="18">
        <f>'總表'!BK168</f>
        <v/>
      </c>
      <c r="J68" s="5" t="n">
        <v>168</v>
      </c>
    </row>
    <row r="69">
      <c r="A69" s="5" t="n">
        <v>68</v>
      </c>
      <c r="B69" s="6" t="inlineStr">
        <is>
          <t>CEVA</t>
        </is>
      </c>
      <c r="C69" s="5" t="inlineStr">
        <is>
          <t>CEVA Inc.</t>
        </is>
      </c>
      <c r="D69" s="5" t="inlineStr">
        <is>
          <t>科技</t>
        </is>
      </c>
      <c r="E69" s="5" t="inlineStr">
        <is>
          <t>小型</t>
        </is>
      </c>
      <c r="F69" s="5" t="inlineStr">
        <is>
          <t>C4 上升三角／重心偏上</t>
        </is>
      </c>
      <c r="G69" s="3" t="inlineStr">
        <is>
          <t>重心 0.47（要 ≥0.5）、高位斜率 +1.10%/日（要 -0.10 至 +1.00）、低位斜率 +0.57%/日（要 &gt;0）</t>
        </is>
      </c>
      <c r="H69" s="3" t="inlineStr">
        <is>
          <t>重心 ≥0.45、高位斜率 -0.20 至 +1.50 %/日、低位斜率 &gt;0</t>
        </is>
      </c>
      <c r="I69" s="18">
        <f>'總表'!BK169</f>
        <v/>
      </c>
      <c r="J69" s="5" t="n">
        <v>169</v>
      </c>
    </row>
    <row r="70">
      <c r="A70" s="5" t="n">
        <v>69</v>
      </c>
      <c r="B70" s="6" t="inlineStr">
        <is>
          <t>MSFT</t>
        </is>
      </c>
      <c r="C70" s="5" t="inlineStr">
        <is>
          <t>Microsoft Corporation</t>
        </is>
      </c>
      <c r="D70" s="5" t="inlineStr">
        <is>
          <t>科技</t>
        </is>
      </c>
      <c r="E70" s="5" t="inlineStr">
        <is>
          <t>大型</t>
        </is>
      </c>
      <c r="F70" s="5" t="inlineStr">
        <is>
          <t>C4 上升三角／重心偏上</t>
        </is>
      </c>
      <c r="G70" s="3" t="inlineStr">
        <is>
          <t>重心 0.47（要 ≥0.5）、高位斜率 -0.16%/日（要 -0.10 至 +1.00）、低位斜率 +0.10%/日（要 &gt;0）</t>
        </is>
      </c>
      <c r="H70" s="3" t="inlineStr">
        <is>
          <t>重心 ≥0.45、高位斜率 -0.20 至 +1.50 %/日、低位斜率 &gt;0</t>
        </is>
      </c>
      <c r="I70" s="18">
        <f>'總表'!BK170</f>
        <v/>
      </c>
      <c r="J70" s="5" t="n">
        <v>170</v>
      </c>
    </row>
    <row r="71">
      <c r="A71" s="5" t="n">
        <v>70</v>
      </c>
      <c r="B71" s="6" t="inlineStr">
        <is>
          <t>LYTS</t>
        </is>
      </c>
      <c r="C71" s="5" t="inlineStr">
        <is>
          <t>LSI Industries Inc.</t>
        </is>
      </c>
      <c r="D71" s="5" t="inlineStr">
        <is>
          <t>非必需消費</t>
        </is>
      </c>
      <c r="E71" s="5" t="inlineStr">
        <is>
          <t>小型</t>
        </is>
      </c>
      <c r="F71" s="5" t="inlineStr">
        <is>
          <t>C4 上升三角／重心偏上</t>
        </is>
      </c>
      <c r="G71" s="3" t="inlineStr">
        <is>
          <t>重心 0.48（要 ≥0.5）、高位斜率 +0.23%/日（要 -0.10 至 +1.00）、低位斜率 +0.24%/日（要 &gt;0）</t>
        </is>
      </c>
      <c r="H71" s="3" t="inlineStr">
        <is>
          <t>重心 ≥0.45、高位斜率 -0.20 至 +1.50 %/日、低位斜率 &gt;0</t>
        </is>
      </c>
      <c r="I71" s="18">
        <f>'總表'!BK171</f>
        <v/>
      </c>
      <c r="J71" s="5" t="n">
        <v>171</v>
      </c>
    </row>
    <row r="72">
      <c r="A72" s="5" t="n">
        <v>71</v>
      </c>
      <c r="B72" s="6" t="inlineStr">
        <is>
          <t>LPG</t>
        </is>
      </c>
      <c r="C72" s="5" t="inlineStr">
        <is>
          <t>Dorian LPG Ltd.</t>
        </is>
      </c>
      <c r="D72" s="5" t="inlineStr">
        <is>
          <t>非必需消費</t>
        </is>
      </c>
      <c r="E72" s="5" t="inlineStr">
        <is>
          <t>中型</t>
        </is>
      </c>
      <c r="F72" s="5" t="inlineStr">
        <is>
          <t>C4 上升三角／重心偏上</t>
        </is>
      </c>
      <c r="G72" s="3" t="inlineStr">
        <is>
          <t>重心 0.53（要 ≥0.5）、高位斜率 +1.04%/日（要 -0.10 至 +1.00）、低位斜率 +0.34%/日（要 &gt;0）</t>
        </is>
      </c>
      <c r="H72" s="3" t="inlineStr">
        <is>
          <t>重心 ≥0.45、高位斜率 -0.20 至 +1.50 %/日、低位斜率 &gt;0</t>
        </is>
      </c>
      <c r="I72" s="18">
        <f>'總表'!BK172</f>
        <v/>
      </c>
      <c r="J72" s="5" t="n">
        <v>172</v>
      </c>
    </row>
    <row r="73">
      <c r="A73" s="5" t="n">
        <v>72</v>
      </c>
      <c r="B73" s="6" t="inlineStr">
        <is>
          <t>PLXS</t>
        </is>
      </c>
      <c r="C73" s="5" t="inlineStr">
        <is>
          <t>Plexus Corp.</t>
        </is>
      </c>
      <c r="D73" s="5" t="inlineStr">
        <is>
          <t>科技</t>
        </is>
      </c>
      <c r="E73" s="5" t="inlineStr">
        <is>
          <t>中型</t>
        </is>
      </c>
      <c r="F73" s="5" t="inlineStr">
        <is>
          <t>C4 上升三角／重心偏上</t>
        </is>
      </c>
      <c r="G73" s="3" t="inlineStr">
        <is>
          <t>重心 0.45（要 ≥0.5）、高位斜率 +0.49%/日（要 -0.10 至 +1.00）、低位斜率 +0.09%/日（要 &gt;0）</t>
        </is>
      </c>
      <c r="H73" s="3" t="inlineStr">
        <is>
          <t>重心 ≥0.45、高位斜率 -0.20 至 +1.50 %/日、低位斜率 &gt;0</t>
        </is>
      </c>
      <c r="I73" s="18">
        <f>'總表'!BK173</f>
        <v/>
      </c>
      <c r="J73" s="5" t="n">
        <v>173</v>
      </c>
    </row>
    <row r="74">
      <c r="A74" s="5" t="n">
        <v>73</v>
      </c>
      <c r="B74" s="6" t="inlineStr">
        <is>
          <t>VFC</t>
        </is>
      </c>
      <c r="C74" s="5" t="inlineStr">
        <is>
          <t>V.F. Corporation</t>
        </is>
      </c>
      <c r="D74" s="5" t="inlineStr">
        <is>
          <t>工業</t>
        </is>
      </c>
      <c r="E74" s="5" t="inlineStr">
        <is>
          <t>中型</t>
        </is>
      </c>
      <c r="F74" s="5" t="inlineStr">
        <is>
          <t>C4 上升三角／重心偏上</t>
        </is>
      </c>
      <c r="G74" s="3" t="inlineStr">
        <is>
          <t>重心 0.47（要 ≥0.5）、高位斜率 +0.25%/日（要 -0.10 至 +1.00）、低位斜率 +0.24%/日（要 &gt;0）</t>
        </is>
      </c>
      <c r="H74" s="3" t="inlineStr">
        <is>
          <t>重心 ≥0.45、高位斜率 -0.20 至 +1.50 %/日、低位斜率 &gt;0</t>
        </is>
      </c>
      <c r="I74" s="18">
        <f>'總表'!BK174</f>
        <v/>
      </c>
      <c r="J74" s="5" t="n">
        <v>174</v>
      </c>
    </row>
    <row r="75">
      <c r="A75" s="5" t="n">
        <v>74</v>
      </c>
      <c r="B75" s="6" t="inlineStr">
        <is>
          <t>AMKR</t>
        </is>
      </c>
      <c r="C75" s="5" t="inlineStr">
        <is>
          <t>Amkor Technology Inc.</t>
        </is>
      </c>
      <c r="D75" s="5" t="inlineStr">
        <is>
          <t>科技</t>
        </is>
      </c>
      <c r="E75" s="5" t="inlineStr">
        <is>
          <t>大型</t>
        </is>
      </c>
      <c r="F75" s="5" t="inlineStr">
        <is>
          <t>C4 上升三角／重心偏上</t>
        </is>
      </c>
      <c r="G75" s="3" t="inlineStr">
        <is>
          <t>重心 0.47（要 ≥0.5）、高位斜率 +0.22%/日（要 -0.10 至 +1.00）、低位斜率 +0.01%/日（要 &gt;0）</t>
        </is>
      </c>
      <c r="H75" s="3" t="inlineStr">
        <is>
          <t>重心 ≥0.45、高位斜率 -0.20 至 +1.50 %/日、低位斜率 &gt;0</t>
        </is>
      </c>
      <c r="I75" s="18">
        <f>'總表'!BK175</f>
        <v/>
      </c>
      <c r="J75" s="5" t="n">
        <v>175</v>
      </c>
    </row>
    <row r="76">
      <c r="A76" s="5" t="n">
        <v>75</v>
      </c>
      <c r="B76" s="6" t="inlineStr">
        <is>
          <t>SLP</t>
        </is>
      </c>
      <c r="C76" s="5" t="inlineStr">
        <is>
          <t>Simulations Plus Inc.</t>
        </is>
      </c>
      <c r="D76" s="5" t="inlineStr">
        <is>
          <t>科技</t>
        </is>
      </c>
      <c r="E76" s="5" t="inlineStr">
        <is>
          <t>小型</t>
        </is>
      </c>
      <c r="F76" s="5" t="inlineStr">
        <is>
          <t>C4 上升三角／重心偏上</t>
        </is>
      </c>
      <c r="G76" s="3" t="inlineStr">
        <is>
          <t>重心 0.49（要 ≥0.5）、高位斜率 +0.01%/日（要 -0.10 至 +1.00）、低位斜率 +0.01%/日（要 &gt;0）</t>
        </is>
      </c>
      <c r="H76" s="3" t="inlineStr">
        <is>
          <t>重心 ≥0.45、高位斜率 -0.20 至 +1.50 %/日、低位斜率 &gt;0</t>
        </is>
      </c>
      <c r="I76" s="18">
        <f>'總表'!BK176</f>
        <v/>
      </c>
      <c r="J76" s="5" t="n">
        <v>176</v>
      </c>
    </row>
    <row r="77">
      <c r="A77" s="5" t="n">
        <v>76</v>
      </c>
      <c r="B77" s="6" t="inlineStr">
        <is>
          <t>SHLS</t>
        </is>
      </c>
      <c r="C77" s="5" t="inlineStr">
        <is>
          <t>Shoals Technologies Group Inc.</t>
        </is>
      </c>
      <c r="D77" s="5" t="inlineStr">
        <is>
          <t>科技</t>
        </is>
      </c>
      <c r="E77" s="5" t="inlineStr">
        <is>
          <t>小型</t>
        </is>
      </c>
      <c r="F77" s="5" t="inlineStr">
        <is>
          <t>C4 上升三角／重心偏上</t>
        </is>
      </c>
      <c r="G77" s="3" t="inlineStr">
        <is>
          <t>重心 0.46（要 ≥0.5）、高位斜率 +0.49%/日（要 -0.10 至 +1.00）、低位斜率 +0.50%/日（要 &gt;0）</t>
        </is>
      </c>
      <c r="H77" s="3" t="inlineStr">
        <is>
          <t>重心 ≥0.45、高位斜率 -0.20 至 +1.50 %/日、低位斜率 &gt;0</t>
        </is>
      </c>
      <c r="I77" s="18">
        <f>'總表'!BK177</f>
        <v/>
      </c>
      <c r="J77" s="5" t="n">
        <v>177</v>
      </c>
    </row>
    <row r="78">
      <c r="A78" s="5" t="n">
        <v>77</v>
      </c>
      <c r="B78" s="6" t="inlineStr">
        <is>
          <t>DSGR</t>
        </is>
      </c>
      <c r="C78" s="5" t="inlineStr">
        <is>
          <t>Distribution Solutions Group Inc.</t>
        </is>
      </c>
      <c r="D78" s="5" t="inlineStr">
        <is>
          <t>非必需消費</t>
        </is>
      </c>
      <c r="E78" s="5" t="inlineStr">
        <is>
          <t>小型</t>
        </is>
      </c>
      <c r="F78" s="5" t="inlineStr">
        <is>
          <t>C4 上升三角／重心偏上</t>
        </is>
      </c>
      <c r="G78" s="3" t="inlineStr">
        <is>
          <t>重心 0.50（要 ≥0.5）、高位斜率 +0.02%/日（要 -0.10 至 +1.00）、低位斜率 +0.03%/日（要 &gt;0）</t>
        </is>
      </c>
      <c r="H78" s="3" t="inlineStr">
        <is>
          <t>重心 ≥0.45、高位斜率 -0.20 至 +1.50 %/日、低位斜率 &gt;0</t>
        </is>
      </c>
      <c r="I78" s="18">
        <f>'總表'!BK178</f>
        <v/>
      </c>
      <c r="J78" s="5" t="n">
        <v>178</v>
      </c>
    </row>
    <row r="79">
      <c r="A79" s="5" t="n">
        <v>78</v>
      </c>
      <c r="B79" s="6" t="inlineStr">
        <is>
          <t>PAYO</t>
        </is>
      </c>
      <c r="C79" s="5" t="inlineStr">
        <is>
          <t>Payoneer Global Inc.</t>
        </is>
      </c>
      <c r="D79" s="5" t="inlineStr">
        <is>
          <t>非必需消費</t>
        </is>
      </c>
      <c r="E79" s="5" t="inlineStr">
        <is>
          <t>中型</t>
        </is>
      </c>
      <c r="F79" s="5" t="inlineStr">
        <is>
          <t>C4 上升三角／重心偏上</t>
        </is>
      </c>
      <c r="G79" s="3" t="inlineStr">
        <is>
          <t>重心 0.47（要 ≥0.5）、高位斜率 +0.03%/日（要 -0.10 至 +1.00）、低位斜率 +0.02%/日（要 &gt;0）</t>
        </is>
      </c>
      <c r="H79" s="3" t="inlineStr">
        <is>
          <t>重心 ≥0.45、高位斜率 -0.20 至 +1.50 %/日、低位斜率 &gt;0</t>
        </is>
      </c>
      <c r="I79" s="18">
        <f>'總表'!BK179</f>
        <v/>
      </c>
      <c r="J79" s="5" t="n">
        <v>179</v>
      </c>
    </row>
    <row r="80">
      <c r="A80" s="5" t="n">
        <v>79</v>
      </c>
      <c r="B80" s="6" t="inlineStr">
        <is>
          <t>MSGE</t>
        </is>
      </c>
      <c r="C80" s="5" t="inlineStr">
        <is>
          <t>Madison Square Garden Entertainment Corp.</t>
        </is>
      </c>
      <c r="D80" s="5" t="inlineStr">
        <is>
          <t>非必需消費</t>
        </is>
      </c>
      <c r="E80" s="5" t="inlineStr">
        <is>
          <t>中型</t>
        </is>
      </c>
      <c r="F80" s="5" t="inlineStr">
        <is>
          <t>C4 上升三角／重心偏上</t>
        </is>
      </c>
      <c r="G80" s="3" t="inlineStr">
        <is>
          <t>重心 0.46（要 ≥0.5）、高位斜率 +0.22%/日（要 -0.10 至 +1.00）、低位斜率 +0.01%/日（要 &gt;0）</t>
        </is>
      </c>
      <c r="H80" s="3" t="inlineStr">
        <is>
          <t>重心 ≥0.45、高位斜率 -0.20 至 +1.50 %/日、低位斜率 &gt;0</t>
        </is>
      </c>
      <c r="I80" s="18">
        <f>'總表'!BK180</f>
        <v/>
      </c>
      <c r="J80" s="5" t="n">
        <v>180</v>
      </c>
    </row>
    <row r="81">
      <c r="A81" s="5" t="n">
        <v>80</v>
      </c>
      <c r="B81" s="6" t="inlineStr">
        <is>
          <t>FFIV</t>
        </is>
      </c>
      <c r="C81" s="5" t="inlineStr">
        <is>
          <t>F5 Inc.</t>
        </is>
      </c>
      <c r="D81" s="5" t="inlineStr">
        <is>
          <t>電訊</t>
        </is>
      </c>
      <c r="E81" s="5" t="inlineStr">
        <is>
          <t>大型</t>
        </is>
      </c>
      <c r="F81" s="5" t="inlineStr">
        <is>
          <t>C4 上升三角／重心偏上</t>
        </is>
      </c>
      <c r="G81" s="3" t="inlineStr">
        <is>
          <t>重心 0.50（要 ≥0.5）、高位斜率 +0.60%/日（要 -0.10 至 +1.00）、低位斜率 +0.61%/日（要 &gt;0）</t>
        </is>
      </c>
      <c r="H81" s="3" t="inlineStr">
        <is>
          <t>重心 ≥0.45、高位斜率 -0.20 至 +1.50 %/日、低位斜率 &gt;0</t>
        </is>
      </c>
      <c r="I81" s="18">
        <f>'總表'!BK181</f>
        <v/>
      </c>
      <c r="J81" s="5" t="n">
        <v>181</v>
      </c>
    </row>
    <row r="82">
      <c r="A82" s="5" t="n">
        <v>81</v>
      </c>
      <c r="B82" s="6" t="inlineStr">
        <is>
          <t>EME</t>
        </is>
      </c>
      <c r="C82" s="5" t="inlineStr">
        <is>
          <t>EMCOR Group Inc.</t>
        </is>
      </c>
      <c r="D82" s="5" t="inlineStr">
        <is>
          <t>工業</t>
        </is>
      </c>
      <c r="E82" s="5" t="inlineStr">
        <is>
          <t>大型</t>
        </is>
      </c>
      <c r="F82" s="5" t="inlineStr">
        <is>
          <t>C4 上升三角／重心偏上</t>
        </is>
      </c>
      <c r="G82" s="3" t="inlineStr">
        <is>
          <t>重心 0.46（要 ≥0.5）、高位斜率 -0.05%/日（要 -0.10 至 +1.00）、低位斜率 +0.06%/日（要 &gt;0）</t>
        </is>
      </c>
      <c r="H82" s="3" t="inlineStr">
        <is>
          <t>重心 ≥0.45、高位斜率 -0.20 至 +1.50 %/日、低位斜率 &gt;0</t>
        </is>
      </c>
      <c r="I82" s="18">
        <f>'總表'!BK182</f>
        <v/>
      </c>
      <c r="J82" s="5" t="n">
        <v>182</v>
      </c>
    </row>
    <row r="83">
      <c r="A83" s="5" t="n">
        <v>82</v>
      </c>
      <c r="B83" s="6" t="inlineStr">
        <is>
          <t>CON</t>
        </is>
      </c>
      <c r="C83" s="5" t="inlineStr">
        <is>
          <t>Concentra Group Holdings Parent Inc.</t>
        </is>
      </c>
      <c r="D83" s="5" t="inlineStr">
        <is>
          <t>醫療保健</t>
        </is>
      </c>
      <c r="E83" s="5" t="inlineStr">
        <is>
          <t>中型</t>
        </is>
      </c>
      <c r="F83" s="5" t="inlineStr">
        <is>
          <t>C4 上升三角／重心偏上</t>
        </is>
      </c>
      <c r="G83" s="3" t="inlineStr">
        <is>
          <t>重心 0.49（要 ≥0.5）、高位斜率 +0.14%/日（要 -0.10 至 +1.00）、低位斜率 +0.13%/日（要 &gt;0）</t>
        </is>
      </c>
      <c r="H83" s="3" t="inlineStr">
        <is>
          <t>重心 ≥0.45、高位斜率 -0.20 至 +1.50 %/日、低位斜率 &gt;0</t>
        </is>
      </c>
      <c r="I83" s="18">
        <f>'總表'!BK183</f>
        <v/>
      </c>
      <c r="J83" s="5" t="n">
        <v>183</v>
      </c>
    </row>
    <row r="84">
      <c r="A84" s="5" t="n">
        <v>83</v>
      </c>
      <c r="B84" s="6" t="inlineStr">
        <is>
          <t>FLEX</t>
        </is>
      </c>
      <c r="C84" s="5" t="inlineStr">
        <is>
          <t>Flex Ltd.</t>
        </is>
      </c>
      <c r="D84" s="5" t="inlineStr">
        <is>
          <t>科技</t>
        </is>
      </c>
      <c r="E84" s="5" t="inlineStr">
        <is>
          <t>大型</t>
        </is>
      </c>
      <c r="F84" s="5" t="inlineStr">
        <is>
          <t>C4 上升三角／重心偏上</t>
        </is>
      </c>
      <c r="G84" s="3" t="inlineStr">
        <is>
          <t>重心 0.45（要 ≥0.5）、高位斜率 +0.20%/日（要 -0.10 至 +1.00）、低位斜率 +0.40%/日（要 &gt;0）</t>
        </is>
      </c>
      <c r="H84" s="3" t="inlineStr">
        <is>
          <t>重心 ≥0.45、高位斜率 -0.20 至 +1.50 %/日、低位斜率 &gt;0</t>
        </is>
      </c>
      <c r="I84" s="18">
        <f>'總表'!BK184</f>
        <v/>
      </c>
      <c r="J84" s="5" t="n">
        <v>184</v>
      </c>
    </row>
    <row r="85">
      <c r="A85" s="5" t="n">
        <v>84</v>
      </c>
      <c r="B85" s="6" t="inlineStr">
        <is>
          <t>PEB</t>
        </is>
      </c>
      <c r="C85" s="5" t="inlineStr">
        <is>
          <t>Pebblebrook Hotel Trust</t>
        </is>
      </c>
      <c r="D85" s="5" t="inlineStr">
        <is>
          <t>房地產</t>
        </is>
      </c>
      <c r="E85" s="5" t="inlineStr">
        <is>
          <t>中型</t>
        </is>
      </c>
      <c r="F85" s="5" t="inlineStr">
        <is>
          <t>C4 上升三角／重心偏上</t>
        </is>
      </c>
      <c r="G85" s="3" t="inlineStr">
        <is>
          <t>重心 0.48（要 ≥0.5）、高位斜率 -0.06%/日（要 -0.10 至 +1.00）、低位斜率 +0.04%/日（要 &gt;0）</t>
        </is>
      </c>
      <c r="H85" s="3" t="inlineStr">
        <is>
          <t>重心 ≥0.45、高位斜率 -0.20 至 +1.50 %/日、低位斜率 &gt;0</t>
        </is>
      </c>
      <c r="I85" s="18">
        <f>'總表'!BK185</f>
        <v/>
      </c>
      <c r="J85" s="5" t="n">
        <v>185</v>
      </c>
    </row>
    <row r="86">
      <c r="A86" s="5" t="n">
        <v>85</v>
      </c>
      <c r="B86" s="6" t="inlineStr">
        <is>
          <t>CTKB</t>
        </is>
      </c>
      <c r="C86" s="5" t="inlineStr">
        <is>
          <t>Cytek Biosciences Inc.</t>
        </is>
      </c>
      <c r="D86" s="5" t="inlineStr">
        <is>
          <t>工業</t>
        </is>
      </c>
      <c r="E86" s="5" t="inlineStr">
        <is>
          <t>小型</t>
        </is>
      </c>
      <c r="F86" s="5" t="inlineStr">
        <is>
          <t>C4 上升三角／重心偏上</t>
        </is>
      </c>
      <c r="G86" s="3" t="inlineStr">
        <is>
          <t>重心 0.50（要 ≥0.5）、高位斜率 +1.12%/日（要 -0.10 至 +1.00）、低位斜率 +0.01%/日（要 &gt;0）</t>
        </is>
      </c>
      <c r="H86" s="3" t="inlineStr">
        <is>
          <t>重心 ≥0.45、高位斜率 -0.20 至 +1.50 %/日、低位斜率 &gt;0</t>
        </is>
      </c>
      <c r="I86" s="18">
        <f>'總表'!BK186</f>
        <v/>
      </c>
      <c r="J86" s="5" t="n">
        <v>186</v>
      </c>
    </row>
    <row r="87">
      <c r="A87" s="5" t="n">
        <v>86</v>
      </c>
      <c r="B87" s="6" t="inlineStr">
        <is>
          <t>WMK</t>
        </is>
      </c>
      <c r="C87" s="5" t="inlineStr">
        <is>
          <t>Weis Markets Inc.</t>
        </is>
      </c>
      <c r="D87" s="5" t="inlineStr">
        <is>
          <t>必需消費</t>
        </is>
      </c>
      <c r="E87" s="5" t="inlineStr">
        <is>
          <t>小型</t>
        </is>
      </c>
      <c r="F87" s="5" t="inlineStr">
        <is>
          <t>C4 上升三角／重心偏上</t>
        </is>
      </c>
      <c r="G87" s="3" t="inlineStr">
        <is>
          <t>重心 0.45（要 ≥0.5）、高位斜率 +0.30%/日（要 -0.10 至 +1.00）、低位斜率 +0.15%/日（要 &gt;0）</t>
        </is>
      </c>
      <c r="H87" s="3" t="inlineStr">
        <is>
          <t>重心 ≥0.45、高位斜率 -0.20 至 +1.50 %/日、低位斜率 &gt;0</t>
        </is>
      </c>
      <c r="I87" s="18">
        <f>'總表'!BK187</f>
        <v/>
      </c>
      <c r="J87" s="5" t="n">
        <v>187</v>
      </c>
    </row>
    <row r="88">
      <c r="A88" s="5" t="n">
        <v>87</v>
      </c>
      <c r="B88" s="6" t="inlineStr">
        <is>
          <t>NTGR</t>
        </is>
      </c>
      <c r="C88" s="5" t="inlineStr">
        <is>
          <t>NETGEAR Inc.</t>
        </is>
      </c>
      <c r="D88" s="5" t="inlineStr">
        <is>
          <t>公用事業</t>
        </is>
      </c>
      <c r="E88" s="5" t="inlineStr">
        <is>
          <t>小型</t>
        </is>
      </c>
      <c r="F88" s="5" t="inlineStr">
        <is>
          <t>C4 上升三角／重心偏上</t>
        </is>
      </c>
      <c r="G88" s="3" t="inlineStr">
        <is>
          <t>重心 0.47（要 ≥0.5）、高位斜率 +0.36%/日（要 -0.10 至 +1.00）、低位斜率 +0.25%/日（要 &gt;0）</t>
        </is>
      </c>
      <c r="H88" s="3" t="inlineStr">
        <is>
          <t>重心 ≥0.45、高位斜率 -0.20 至 +1.50 %/日、低位斜率 &gt;0</t>
        </is>
      </c>
      <c r="I88" s="18">
        <f>'總表'!BK188</f>
        <v/>
      </c>
      <c r="J88" s="5" t="n">
        <v>188</v>
      </c>
    </row>
    <row r="89">
      <c r="A89" s="5" t="n">
        <v>88</v>
      </c>
      <c r="B89" s="6" t="inlineStr">
        <is>
          <t>IMKTA</t>
        </is>
      </c>
      <c r="C89" s="5" t="inlineStr">
        <is>
          <t>Ingles Markets Incorporated</t>
        </is>
      </c>
      <c r="D89" s="5" t="inlineStr">
        <is>
          <t>必需消費</t>
        </is>
      </c>
      <c r="E89" s="5" t="inlineStr">
        <is>
          <t>小型</t>
        </is>
      </c>
      <c r="F89" s="5" t="inlineStr">
        <is>
          <t>C4 上升三角／重心偏上</t>
        </is>
      </c>
      <c r="G89" s="3" t="inlineStr">
        <is>
          <t>重心 0.46（要 ≥0.5）、高位斜率 +0.11%/日（要 -0.10 至 +1.00）、低位斜率 +0.15%/日（要 &gt;0）</t>
        </is>
      </c>
      <c r="H89" s="3" t="inlineStr">
        <is>
          <t>重心 ≥0.45、高位斜率 -0.20 至 +1.50 %/日、低位斜率 &gt;0</t>
        </is>
      </c>
      <c r="I89" s="18">
        <f>'總表'!BK189</f>
        <v/>
      </c>
      <c r="J89" s="5" t="n">
        <v>189</v>
      </c>
    </row>
    <row r="90">
      <c r="A90" s="5" t="n">
        <v>89</v>
      </c>
      <c r="B90" s="6" t="inlineStr">
        <is>
          <t>EBF</t>
        </is>
      </c>
      <c r="C90" s="5" t="inlineStr">
        <is>
          <t>Ennis Inc.</t>
        </is>
      </c>
      <c r="D90" s="5" t="inlineStr">
        <is>
          <t>非必需消費</t>
        </is>
      </c>
      <c r="E90" s="5" t="inlineStr">
        <is>
          <t>小型</t>
        </is>
      </c>
      <c r="F90" s="5" t="inlineStr">
        <is>
          <t>C4 上升三角／重心偏上</t>
        </is>
      </c>
      <c r="G90" s="3" t="inlineStr">
        <is>
          <t>重心 0.46（要 ≥0.5）、高位斜率 -0.12%/日（要 -0.10 至 +1.00）、低位斜率 +0.09%/日（要 &gt;0）</t>
        </is>
      </c>
      <c r="H90" s="3" t="inlineStr">
        <is>
          <t>重心 ≥0.45、高位斜率 -0.20 至 +1.50 %/日、低位斜率 &gt;0</t>
        </is>
      </c>
      <c r="I90" s="18">
        <f>'總表'!BK190</f>
        <v/>
      </c>
      <c r="J90" s="5" t="n">
        <v>190</v>
      </c>
    </row>
    <row r="91">
      <c r="A91" s="5" t="n">
        <v>90</v>
      </c>
      <c r="B91" s="6" t="inlineStr">
        <is>
          <t>AES</t>
        </is>
      </c>
      <c r="C91" s="5" t="inlineStr">
        <is>
          <t>The AES Corporation</t>
        </is>
      </c>
      <c r="D91" s="5" t="inlineStr">
        <is>
          <t>工業</t>
        </is>
      </c>
      <c r="E91" s="5" t="inlineStr">
        <is>
          <t>大型</t>
        </is>
      </c>
      <c r="F91" s="5" t="inlineStr">
        <is>
          <t>C4 上升三角／重心偏上</t>
        </is>
      </c>
      <c r="G91" s="3" t="inlineStr">
        <is>
          <t>重心 0.48（要 ≥0.5）、高位斜率 +0.02%/日（要 -0.10 至 +1.00）、低位斜率 +0.03%/日（要 &gt;0）</t>
        </is>
      </c>
      <c r="H91" s="3" t="inlineStr">
        <is>
          <t>重心 ≥0.45、高位斜率 -0.20 至 +1.50 %/日、低位斜率 &gt;0</t>
        </is>
      </c>
      <c r="I91" s="18">
        <f>'總表'!BK191</f>
        <v/>
      </c>
      <c r="J91" s="5" t="n">
        <v>191</v>
      </c>
    </row>
    <row r="92">
      <c r="A92" s="5" t="n">
        <v>91</v>
      </c>
      <c r="B92" s="6" t="inlineStr">
        <is>
          <t>JAKK</t>
        </is>
      </c>
      <c r="C92" s="5" t="inlineStr">
        <is>
          <t>JAKKS Pacific Inc.</t>
        </is>
      </c>
      <c r="D92" s="5" t="inlineStr">
        <is>
          <t>非必需消費</t>
        </is>
      </c>
      <c r="E92" s="5" t="inlineStr">
        <is>
          <t>小型</t>
        </is>
      </c>
      <c r="F92" s="5" t="inlineStr">
        <is>
          <t>C4 上升三角／重心偏上</t>
        </is>
      </c>
      <c r="G92" s="3" t="inlineStr">
        <is>
          <t>重心 0.46（要 ≥0.5）、高位斜率 +0.05%/日（要 -0.10 至 +1.00）、低位斜率 +0.19%/日（要 &gt;0）</t>
        </is>
      </c>
      <c r="H92" s="3" t="inlineStr">
        <is>
          <t>重心 ≥0.45、高位斜率 -0.20 至 +1.50 %/日、低位斜率 &gt;0</t>
        </is>
      </c>
      <c r="I92" s="18">
        <f>'總表'!BK192</f>
        <v/>
      </c>
      <c r="J92" s="5" t="n">
        <v>192</v>
      </c>
    </row>
    <row r="93">
      <c r="A93" s="5" t="n">
        <v>92</v>
      </c>
      <c r="B93" s="6" t="inlineStr">
        <is>
          <t>HSTM</t>
        </is>
      </c>
      <c r="C93" s="5" t="inlineStr">
        <is>
          <t>HealthStream Inc.</t>
        </is>
      </c>
      <c r="D93" s="5" t="inlineStr">
        <is>
          <t>科技</t>
        </is>
      </c>
      <c r="E93" s="5" t="inlineStr">
        <is>
          <t>小型</t>
        </is>
      </c>
      <c r="F93" s="5" t="inlineStr">
        <is>
          <t>C4 上升三角／重心偏上</t>
        </is>
      </c>
      <c r="G93" s="3" t="inlineStr">
        <is>
          <t>重心 0.48（要 ≥0.5）、高位斜率 -0.17%/日（要 -0.10 至 +1.00）、低位斜率 +0.12%/日（要 &gt;0）</t>
        </is>
      </c>
      <c r="H93" s="3" t="inlineStr">
        <is>
          <t>重心 ≥0.45、高位斜率 -0.20 至 +1.50 %/日、低位斜率 &gt;0</t>
        </is>
      </c>
      <c r="I93" s="18">
        <f>'總表'!BK193</f>
        <v/>
      </c>
      <c r="J93" s="5" t="n">
        <v>193</v>
      </c>
    </row>
    <row r="94">
      <c r="A94" s="5" t="n">
        <v>93</v>
      </c>
      <c r="B94" s="6" t="inlineStr">
        <is>
          <t>WCC</t>
        </is>
      </c>
      <c r="C94" s="5" t="inlineStr">
        <is>
          <t>WESCO International Inc.</t>
        </is>
      </c>
      <c r="D94" s="5" t="inlineStr">
        <is>
          <t>非必需消費</t>
        </is>
      </c>
      <c r="E94" s="5" t="inlineStr">
        <is>
          <t>大型</t>
        </is>
      </c>
      <c r="F94" s="5" t="inlineStr">
        <is>
          <t>C4 上升三角／重心偏上</t>
        </is>
      </c>
      <c r="G94" s="3" t="inlineStr">
        <is>
          <t>重心 0.46（要 ≥0.5）、高位斜率 +0.23%/日（要 -0.10 至 +1.00）、低位斜率 +0.09%/日（要 &gt;0）</t>
        </is>
      </c>
      <c r="H94" s="3" t="inlineStr">
        <is>
          <t>重心 ≥0.45、高位斜率 -0.20 至 +1.50 %/日、低位斜率 &gt;0</t>
        </is>
      </c>
      <c r="I94" s="18">
        <f>'總表'!BK194</f>
        <v/>
      </c>
      <c r="J94" s="5" t="n">
        <v>194</v>
      </c>
    </row>
    <row r="95">
      <c r="A95" s="5" t="n">
        <v>94</v>
      </c>
      <c r="B95" s="6" t="inlineStr">
        <is>
          <t>RLGT</t>
        </is>
      </c>
      <c r="C95" s="5" t="inlineStr">
        <is>
          <t>Radiant Logistics Inc.</t>
        </is>
      </c>
      <c r="D95" s="5" t="inlineStr">
        <is>
          <t>工業</t>
        </is>
      </c>
      <c r="E95" s="5" t="inlineStr">
        <is>
          <t>小型</t>
        </is>
      </c>
      <c r="F95" s="5" t="inlineStr">
        <is>
          <t>C4 上升三角／重心偏上</t>
        </is>
      </c>
      <c r="G95" s="3" t="inlineStr">
        <is>
          <t>重心 0.45（要 ≥0.5）、高位斜率 +1.06%/日（要 -0.10 至 +1.00）、低位斜率 +0.35%/日（要 &gt;0）</t>
        </is>
      </c>
      <c r="H95" s="3" t="inlineStr">
        <is>
          <t>重心 ≥0.45、高位斜率 -0.20 至 +1.50 %/日、低位斜率 &gt;0</t>
        </is>
      </c>
      <c r="I95" s="18">
        <f>'總表'!BK195</f>
        <v/>
      </c>
      <c r="J95" s="5" t="n">
        <v>195</v>
      </c>
    </row>
    <row r="96">
      <c r="A96" s="5" t="n">
        <v>95</v>
      </c>
      <c r="B96" s="6" t="inlineStr">
        <is>
          <t>IT</t>
        </is>
      </c>
      <c r="C96" s="5" t="inlineStr">
        <is>
          <t>Gartner Inc.</t>
        </is>
      </c>
      <c r="D96" s="5" t="inlineStr">
        <is>
          <t>非必需消費</t>
        </is>
      </c>
      <c r="E96" s="5" t="inlineStr">
        <is>
          <t>大型</t>
        </is>
      </c>
      <c r="F96" s="5" t="inlineStr">
        <is>
          <t>C4 上升三角／重心偏上</t>
        </is>
      </c>
      <c r="G96" s="3" t="inlineStr">
        <is>
          <t>重心 0.53（要 ≥0.5）、高位斜率 -0.12%/日（要 -0.10 至 +1.00）、低位斜率 +0.47%/日（要 &gt;0）</t>
        </is>
      </c>
      <c r="H96" s="3" t="inlineStr">
        <is>
          <t>重心 ≥0.45、高位斜率 -0.20 至 +1.50 %/日、低位斜率 &gt;0</t>
        </is>
      </c>
      <c r="I96" s="18">
        <f>'總表'!BK196</f>
        <v/>
      </c>
      <c r="J96" s="5" t="n">
        <v>196</v>
      </c>
    </row>
    <row r="97">
      <c r="A97" s="5" t="n">
        <v>96</v>
      </c>
      <c r="B97" s="6" t="inlineStr">
        <is>
          <t>KR</t>
        </is>
      </c>
      <c r="C97" s="5" t="inlineStr">
        <is>
          <t>Kroger Company (The)</t>
        </is>
      </c>
      <c r="D97" s="5" t="inlineStr">
        <is>
          <t>必需消費</t>
        </is>
      </c>
      <c r="E97" s="5" t="inlineStr">
        <is>
          <t>大型</t>
        </is>
      </c>
      <c r="F97" s="5" t="inlineStr">
        <is>
          <t>C4 上升三角／重心偏上</t>
        </is>
      </c>
      <c r="G97" s="3" t="inlineStr">
        <is>
          <t>重心 0.50（要 ≥0.5）、高位斜率 +0.82%/日（要 -0.10 至 +1.00）、低位斜率 +0.10%/日（要 &gt;0）</t>
        </is>
      </c>
      <c r="H97" s="3" t="inlineStr">
        <is>
          <t>重心 ≥0.45、高位斜率 -0.20 至 +1.50 %/日、低位斜率 &gt;0</t>
        </is>
      </c>
      <c r="I97" s="18">
        <f>'總表'!BK197</f>
        <v/>
      </c>
      <c r="J97" s="5" t="n">
        <v>197</v>
      </c>
    </row>
    <row r="98">
      <c r="A98" s="5" t="n">
        <v>97</v>
      </c>
      <c r="B98" s="6" t="inlineStr">
        <is>
          <t>MGNI</t>
        </is>
      </c>
      <c r="C98" s="5" t="inlineStr">
        <is>
          <t>Magnite Inc.</t>
        </is>
      </c>
      <c r="D98" s="5" t="inlineStr">
        <is>
          <t>科技</t>
        </is>
      </c>
      <c r="E98" s="5" t="inlineStr">
        <is>
          <t>中型</t>
        </is>
      </c>
      <c r="F98" s="5" t="inlineStr">
        <is>
          <t>C4 上升三角／重心偏上</t>
        </is>
      </c>
      <c r="G98" s="3" t="inlineStr">
        <is>
          <t>重心 0.47（要 ≥0.5）、高位斜率 +0.46%/日（要 -0.10 至 +1.00）、低位斜率 +0.12%/日（要 &gt;0）</t>
        </is>
      </c>
      <c r="H98" s="3" t="inlineStr">
        <is>
          <t>重心 ≥0.45、高位斜率 -0.20 至 +1.50 %/日、低位斜率 &gt;0</t>
        </is>
      </c>
      <c r="I98" s="18">
        <f>'總表'!BK198</f>
        <v/>
      </c>
      <c r="J98" s="5" t="n">
        <v>198</v>
      </c>
    </row>
    <row r="99">
      <c r="A99" s="5" t="n">
        <v>98</v>
      </c>
      <c r="B99" s="6" t="inlineStr">
        <is>
          <t>CVCO</t>
        </is>
      </c>
      <c r="C99" s="5" t="inlineStr">
        <is>
          <t>Cavco Industries Inc.</t>
        </is>
      </c>
      <c r="D99" s="5" t="inlineStr">
        <is>
          <t>非必需消費</t>
        </is>
      </c>
      <c r="E99" s="5" t="inlineStr">
        <is>
          <t>中型</t>
        </is>
      </c>
      <c r="F99" s="5" t="inlineStr">
        <is>
          <t>C4 上升三角／重心偏上</t>
        </is>
      </c>
      <c r="G99" s="3" t="inlineStr">
        <is>
          <t>重心 0.52（要 ≥0.5）、高位斜率 -0.18%/日（要 -0.10 至 +1.00）、低位斜率 +0.14%/日（要 &gt;0）</t>
        </is>
      </c>
      <c r="H99" s="3" t="inlineStr">
        <is>
          <t>重心 ≥0.45、高位斜率 -0.20 至 +1.50 %/日、低位斜率 &gt;0</t>
        </is>
      </c>
      <c r="I99" s="18">
        <f>'總表'!BK199</f>
        <v/>
      </c>
      <c r="J99" s="5" t="n">
        <v>199</v>
      </c>
    </row>
    <row r="100">
      <c r="A100" s="5" t="n">
        <v>99</v>
      </c>
      <c r="B100" s="6" t="inlineStr">
        <is>
          <t>BJ</t>
        </is>
      </c>
      <c r="C100" s="5" t="inlineStr">
        <is>
          <t>BJ's Wholesale Club Holdings Inc.</t>
        </is>
      </c>
      <c r="D100" s="5" t="inlineStr">
        <is>
          <t>非必需消費</t>
        </is>
      </c>
      <c r="E100" s="5" t="inlineStr">
        <is>
          <t>大型</t>
        </is>
      </c>
      <c r="F100" s="5" t="inlineStr">
        <is>
          <t>C4 上升三角／重心偏上</t>
        </is>
      </c>
      <c r="G100" s="3" t="inlineStr">
        <is>
          <t>重心 0.49（要 ≥0.5）、高位斜率 +0.24%/日（要 -0.10 至 +1.00）、低位斜率 +0.00%/日（要 &gt;0）</t>
        </is>
      </c>
      <c r="H100" s="3" t="inlineStr">
        <is>
          <t>重心 ≥0.45、高位斜率 -0.20 至 +1.50 %/日、低位斜率 &gt;0</t>
        </is>
      </c>
      <c r="I100" s="18">
        <f>'總表'!BK200</f>
        <v/>
      </c>
      <c r="J100" s="5" t="n">
        <v>200</v>
      </c>
    </row>
    <row r="102">
      <c r="A102" s="42" t="inlineStr">
        <is>
          <t>第二梯隊（99 隻）：五項入面只唔過一項，而且嗰一項喺放寬門檻下通過。綜合分數引用總表。</t>
        </is>
      </c>
    </row>
  </sheetData>
  <autoFilter ref="A1:J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8" customWidth="1" min="3" max="3"/>
    <col width="24" customWidth="1" min="4" max="4"/>
    <col width="9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30" customHeight="1">
      <c r="A1" s="4" t="inlineStr">
        <is>
          <t>梯隊</t>
        </is>
      </c>
      <c r="B1" s="4" t="inlineStr">
        <is>
          <t>排名</t>
        </is>
      </c>
      <c r="C1" s="4" t="inlineStr">
        <is>
          <t>代號</t>
        </is>
      </c>
      <c r="D1" s="4" t="inlineStr">
        <is>
          <t>公司</t>
        </is>
      </c>
      <c r="E1" s="4" t="inlineStr">
        <is>
          <t>收市價</t>
        </is>
      </c>
      <c r="F1" s="4" t="inlineStr">
        <is>
          <t>底1（60日內，舊→新）</t>
        </is>
      </c>
      <c r="G1" s="4" t="inlineStr">
        <is>
          <t>底2（60日內，舊→新）</t>
        </is>
      </c>
      <c r="H1" s="4" t="inlineStr">
        <is>
          <t>底3（60日內，舊→新）</t>
        </is>
      </c>
      <c r="I1" s="4" t="inlineStr">
        <is>
          <t>底4（60日內，舊→新）</t>
        </is>
      </c>
      <c r="J1" s="4" t="inlineStr">
        <is>
          <t>底5（60日內，舊→新）</t>
        </is>
      </c>
      <c r="K1" s="4" t="inlineStr">
        <is>
          <t>底6（60日內，舊→新）</t>
        </is>
      </c>
      <c r="L1" s="4" t="inlineStr">
        <is>
          <t>頂1（25日內，舊→新）</t>
        </is>
      </c>
      <c r="M1" s="4" t="inlineStr">
        <is>
          <t>頂2（25日內，舊→新）</t>
        </is>
      </c>
      <c r="N1" s="4" t="inlineStr">
        <is>
          <t>頂3（25日內，舊→新）</t>
        </is>
      </c>
      <c r="O1" s="4" t="inlineStr">
        <is>
          <t>頂4（25日內，舊→新）</t>
        </is>
      </c>
    </row>
    <row r="2">
      <c r="A2" s="5" t="n">
        <v>1</v>
      </c>
      <c r="B2" s="5" t="n">
        <v>1</v>
      </c>
      <c r="C2" s="6" t="inlineStr">
        <is>
          <t>JILL</t>
        </is>
      </c>
      <c r="D2" s="5" t="inlineStr">
        <is>
          <t>J. Jill Inc.</t>
        </is>
      </c>
      <c r="E2" s="8" t="n">
        <v>24.4</v>
      </c>
      <c r="F2" s="14" t="inlineStr">
        <is>
          <t>07-09 @ 15.05</t>
        </is>
      </c>
      <c r="G2" s="14" t="inlineStr">
        <is>
          <t>07-20 @ 15.24</t>
        </is>
      </c>
      <c r="H2" s="14" t="inlineStr">
        <is>
          <t>08-11 @ 18.10</t>
        </is>
      </c>
      <c r="I2" s="14" t="inlineStr">
        <is>
          <t>08-17 @ 18.26</t>
        </is>
      </c>
      <c r="J2" s="14" t="inlineStr">
        <is>
          <t>09-03 @ 18.49</t>
        </is>
      </c>
      <c r="K2" s="14" t="inlineStr">
        <is>
          <t>09-24 @ 22.86</t>
        </is>
      </c>
      <c r="L2" s="14" t="inlineStr">
        <is>
          <t>08-28 @ 20.13</t>
        </is>
      </c>
      <c r="M2" s="14" t="inlineStr">
        <is>
          <t>09-28 @ 25.00</t>
        </is>
      </c>
      <c r="N2" s="14" t="inlineStr"/>
      <c r="O2" s="14" t="inlineStr"/>
    </row>
    <row r="3">
      <c r="A3" s="5" t="n">
        <v>1</v>
      </c>
      <c r="B3" s="5" t="n">
        <v>2</v>
      </c>
      <c r="C3" s="6" t="inlineStr">
        <is>
          <t>PPIH</t>
        </is>
      </c>
      <c r="D3" s="5" t="inlineStr">
        <is>
          <t>Perma-Pipe International Holdings Inc.</t>
        </is>
      </c>
      <c r="E3" s="8" t="n">
        <v>31.32</v>
      </c>
      <c r="F3" s="14" t="inlineStr">
        <is>
          <t>07-08 @ 24.29</t>
        </is>
      </c>
      <c r="G3" s="14" t="inlineStr">
        <is>
          <t>07-17 @ 24.64</t>
        </is>
      </c>
      <c r="H3" s="14" t="inlineStr">
        <is>
          <t>07-29 @ 23.04</t>
        </is>
      </c>
      <c r="I3" s="14" t="inlineStr">
        <is>
          <t>08-20 @ 25.79</t>
        </is>
      </c>
      <c r="J3" s="14" t="inlineStr">
        <is>
          <t>08-28 @ 26.24</t>
        </is>
      </c>
      <c r="K3" s="14" t="inlineStr">
        <is>
          <t>09-23 @ 29.77</t>
        </is>
      </c>
      <c r="L3" s="14" t="inlineStr">
        <is>
          <t>08-27 @ 28.22</t>
        </is>
      </c>
      <c r="M3" s="14" t="inlineStr">
        <is>
          <t>09-11 @ 31.68</t>
        </is>
      </c>
      <c r="N3" s="14" t="inlineStr">
        <is>
          <t>09-18 @ 31.15</t>
        </is>
      </c>
      <c r="O3" s="14" t="inlineStr"/>
    </row>
    <row r="4">
      <c r="A4" s="5" t="n">
        <v>1</v>
      </c>
      <c r="B4" s="5" t="n">
        <v>3</v>
      </c>
      <c r="C4" s="6" t="inlineStr">
        <is>
          <t>MG</t>
        </is>
      </c>
      <c r="D4" s="5" t="inlineStr">
        <is>
          <t>Mistras Group Inc</t>
        </is>
      </c>
      <c r="E4" s="8" t="n">
        <v>20.63</v>
      </c>
      <c r="F4" s="14" t="inlineStr">
        <is>
          <t>07-20 @ 15.25</t>
        </is>
      </c>
      <c r="G4" s="14" t="inlineStr">
        <is>
          <t>07-30 @ 14.76</t>
        </is>
      </c>
      <c r="H4" s="14" t="inlineStr">
        <is>
          <t>08-31 @ 18.17</t>
        </is>
      </c>
      <c r="I4" s="14" t="inlineStr">
        <is>
          <t>09-14 @ 19.15</t>
        </is>
      </c>
      <c r="J4" s="14" t="inlineStr">
        <is>
          <t>09-23 @ 20.51</t>
        </is>
      </c>
      <c r="K4" s="14" t="inlineStr"/>
      <c r="L4" s="14" t="inlineStr">
        <is>
          <t>09-02 @ 19.58</t>
        </is>
      </c>
      <c r="M4" s="14" t="inlineStr">
        <is>
          <t>09-09 @ 20.09</t>
        </is>
      </c>
      <c r="N4" s="14" t="inlineStr">
        <is>
          <t>09-18 @ 21.32</t>
        </is>
      </c>
      <c r="O4" s="14" t="inlineStr">
        <is>
          <t>09-25 @ 21.77</t>
        </is>
      </c>
    </row>
    <row r="5">
      <c r="A5" s="5" t="n">
        <v>1</v>
      </c>
      <c r="B5" s="5" t="n">
        <v>4</v>
      </c>
      <c r="C5" s="6" t="inlineStr">
        <is>
          <t>HNGE</t>
        </is>
      </c>
      <c r="D5" s="5" t="inlineStr">
        <is>
          <t>Hinge Health Inc.</t>
        </is>
      </c>
      <c r="E5" s="8" t="n">
        <v>97.94</v>
      </c>
      <c r="F5" s="14" t="inlineStr">
        <is>
          <t>07-28 @ 71.40</t>
        </is>
      </c>
      <c r="G5" s="14" t="inlineStr">
        <is>
          <t>08-21 @ 84.23</t>
        </is>
      </c>
      <c r="H5" s="14" t="inlineStr">
        <is>
          <t>08-31 @ 85.75</t>
        </is>
      </c>
      <c r="I5" s="14" t="inlineStr">
        <is>
          <t>09-11 @ 86.29</t>
        </is>
      </c>
      <c r="J5" s="14" t="inlineStr">
        <is>
          <t>09-23 @ 89.75</t>
        </is>
      </c>
      <c r="K5" s="14" t="inlineStr"/>
      <c r="L5" s="14" t="inlineStr">
        <is>
          <t>08-27 @ 95.57</t>
        </is>
      </c>
      <c r="M5" s="14" t="inlineStr">
        <is>
          <t>09-17 @ 96.66</t>
        </is>
      </c>
      <c r="N5" s="14" t="inlineStr"/>
      <c r="O5" s="14" t="inlineStr"/>
    </row>
    <row r="6">
      <c r="A6" s="5" t="n">
        <v>1</v>
      </c>
      <c r="B6" s="5" t="n">
        <v>5</v>
      </c>
      <c r="C6" s="6" t="inlineStr">
        <is>
          <t>TTMI</t>
        </is>
      </c>
      <c r="D6" s="5" t="inlineStr">
        <is>
          <t>TTM Technologies Inc.</t>
        </is>
      </c>
      <c r="E6" s="8" t="n">
        <v>126.5</v>
      </c>
      <c r="F6" s="14" t="inlineStr">
        <is>
          <t>07-17 @ 120.38</t>
        </is>
      </c>
      <c r="G6" s="14" t="inlineStr">
        <is>
          <t>07-29 @ 99.19</t>
        </is>
      </c>
      <c r="H6" s="14" t="inlineStr">
        <is>
          <t>08-24 @ 103.66</t>
        </is>
      </c>
      <c r="I6" s="14" t="inlineStr">
        <is>
          <t>09-03 @ 109.53</t>
        </is>
      </c>
      <c r="J6" s="14" t="inlineStr">
        <is>
          <t>09-15 @ 109.94</t>
        </is>
      </c>
      <c r="K6" s="14" t="inlineStr">
        <is>
          <t>09-28 @ 119.02</t>
        </is>
      </c>
      <c r="L6" s="14" t="inlineStr">
        <is>
          <t>08-27 @ 129.51</t>
        </is>
      </c>
      <c r="M6" s="14" t="inlineStr">
        <is>
          <t>09-08 @ 133.77</t>
        </is>
      </c>
      <c r="N6" s="14" t="inlineStr">
        <is>
          <t>09-25 @ 131.32</t>
        </is>
      </c>
      <c r="O6" s="14" t="inlineStr"/>
    </row>
    <row r="7">
      <c r="A7" s="5" t="n">
        <v>1</v>
      </c>
      <c r="B7" s="5" t="n">
        <v>6</v>
      </c>
      <c r="C7" s="6" t="inlineStr">
        <is>
          <t>NVAX</t>
        </is>
      </c>
      <c r="D7" s="5" t="inlineStr">
        <is>
          <t>Novavax Inc.</t>
        </is>
      </c>
      <c r="E7" s="8" t="n">
        <v>10.6</v>
      </c>
      <c r="F7" s="14" t="inlineStr">
        <is>
          <t>07-28 @ 7.15</t>
        </is>
      </c>
      <c r="G7" s="14" t="inlineStr">
        <is>
          <t>08-18 @ 7.84</t>
        </is>
      </c>
      <c r="H7" s="14" t="inlineStr">
        <is>
          <t>08-28 @ 8.89</t>
        </is>
      </c>
      <c r="I7" s="14" t="inlineStr">
        <is>
          <t>09-10 @ 9.11</t>
        </is>
      </c>
      <c r="J7" s="14" t="inlineStr">
        <is>
          <t>09-28 @ 10.26</t>
        </is>
      </c>
      <c r="K7" s="14" t="inlineStr"/>
      <c r="L7" s="14" t="inlineStr">
        <is>
          <t>09-04 @ 10.75</t>
        </is>
      </c>
      <c r="M7" s="14" t="inlineStr">
        <is>
          <t>09-22 @ 11.09</t>
        </is>
      </c>
      <c r="N7" s="14" t="inlineStr"/>
      <c r="O7" s="14" t="inlineStr"/>
    </row>
    <row r="8">
      <c r="A8" s="5" t="n">
        <v>1</v>
      </c>
      <c r="B8" s="5" t="n">
        <v>7</v>
      </c>
      <c r="C8" s="6" t="inlineStr">
        <is>
          <t>FRNM</t>
        </is>
      </c>
      <c r="D8" s="5" t="inlineStr">
        <is>
          <t>Freenome Inc. Common stock</t>
        </is>
      </c>
      <c r="E8" s="8" t="n">
        <v>15.64</v>
      </c>
      <c r="F8" s="14" t="inlineStr">
        <is>
          <t>07-13 @ 9.95</t>
        </is>
      </c>
      <c r="G8" s="14" t="inlineStr">
        <is>
          <t>07-29 @ 9.97</t>
        </is>
      </c>
      <c r="H8" s="14" t="inlineStr">
        <is>
          <t>09-14 @ 14.25</t>
        </is>
      </c>
      <c r="I8" s="14" t="inlineStr">
        <is>
          <t>09-24 @ 15.28</t>
        </is>
      </c>
      <c r="J8" s="14" t="inlineStr"/>
      <c r="K8" s="14" t="inlineStr"/>
      <c r="L8" s="14" t="inlineStr">
        <is>
          <t>09-04 @ 17.18</t>
        </is>
      </c>
      <c r="M8" s="14" t="inlineStr">
        <is>
          <t>09-21 @ 17.50</t>
        </is>
      </c>
      <c r="N8" s="14" t="inlineStr"/>
      <c r="O8" s="14" t="inlineStr"/>
    </row>
    <row r="9">
      <c r="A9" s="5" t="n">
        <v>1</v>
      </c>
      <c r="B9" s="5" t="n">
        <v>8</v>
      </c>
      <c r="C9" s="6" t="inlineStr">
        <is>
          <t>NET</t>
        </is>
      </c>
      <c r="D9" s="5" t="inlineStr">
        <is>
          <t>Cloudflare Inc.</t>
        </is>
      </c>
      <c r="E9" s="8" t="n">
        <v>351</v>
      </c>
      <c r="F9" s="14" t="inlineStr">
        <is>
          <t>07-17 @ 261.73</t>
        </is>
      </c>
      <c r="G9" s="14" t="inlineStr">
        <is>
          <t>07-28 @ 250.69</t>
        </is>
      </c>
      <c r="H9" s="14" t="inlineStr">
        <is>
          <t>08-26 @ 272.29</t>
        </is>
      </c>
      <c r="I9" s="14" t="inlineStr">
        <is>
          <t>09-02 @ 269.30</t>
        </is>
      </c>
      <c r="J9" s="14" t="inlineStr">
        <is>
          <t>09-18 @ 313.50</t>
        </is>
      </c>
      <c r="K9" s="14" t="inlineStr">
        <is>
          <t>09-28 @ 338.67</t>
        </is>
      </c>
      <c r="L9" s="14" t="inlineStr">
        <is>
          <t>08-27 @ 309.53</t>
        </is>
      </c>
      <c r="M9" s="14" t="inlineStr">
        <is>
          <t>09-24 @ 367.43</t>
        </is>
      </c>
      <c r="N9" s="14" t="inlineStr"/>
      <c r="O9" s="14" t="inlineStr"/>
    </row>
    <row r="10">
      <c r="A10" s="5" t="n">
        <v>1</v>
      </c>
      <c r="B10" s="5" t="n">
        <v>9</v>
      </c>
      <c r="C10" s="6" t="inlineStr">
        <is>
          <t>MTSI</t>
        </is>
      </c>
      <c r="D10" s="5" t="inlineStr">
        <is>
          <t>MACOM Technology Solutions Holdings Inc.</t>
        </is>
      </c>
      <c r="E10" s="8" t="n">
        <v>301.63</v>
      </c>
      <c r="F10" s="14" t="inlineStr">
        <is>
          <t>07-17 @ 255.02</t>
        </is>
      </c>
      <c r="G10" s="14" t="inlineStr">
        <is>
          <t>07-29 @ 228.02</t>
        </is>
      </c>
      <c r="H10" s="14" t="inlineStr">
        <is>
          <t>08-24 @ 252.43</t>
        </is>
      </c>
      <c r="I10" s="14" t="inlineStr">
        <is>
          <t>09-03 @ 244.86</t>
        </is>
      </c>
      <c r="J10" s="14" t="inlineStr">
        <is>
          <t>09-15 @ 235.63</t>
        </is>
      </c>
      <c r="K10" s="14" t="inlineStr">
        <is>
          <t>09-24 @ 266.42</t>
        </is>
      </c>
      <c r="L10" s="14" t="inlineStr">
        <is>
          <t>08-27 @ 286.18</t>
        </is>
      </c>
      <c r="M10" s="14" t="inlineStr">
        <is>
          <t>09-09 @ 287.84</t>
        </is>
      </c>
      <c r="N10" s="14" t="inlineStr">
        <is>
          <t>09-21 @ 285.95</t>
        </is>
      </c>
      <c r="O10" s="14" t="inlineStr">
        <is>
          <t>09-25 @ 289.26</t>
        </is>
      </c>
    </row>
    <row r="11">
      <c r="A11" s="5" t="n">
        <v>1</v>
      </c>
      <c r="B11" s="5" t="n">
        <v>10</v>
      </c>
      <c r="C11" s="6" t="inlineStr">
        <is>
          <t>ACVA</t>
        </is>
      </c>
      <c r="D11" s="5" t="inlineStr">
        <is>
          <t>ACV Auctions Inc.</t>
        </is>
      </c>
      <c r="E11" s="8" t="n">
        <v>10.45</v>
      </c>
      <c r="F11" s="14" t="inlineStr">
        <is>
          <t>07-13 @ 6.62</t>
        </is>
      </c>
      <c r="G11" s="14" t="inlineStr">
        <is>
          <t>07-31 @ 7.35</t>
        </is>
      </c>
      <c r="H11" s="14" t="inlineStr">
        <is>
          <t>08-11 @ 6.67</t>
        </is>
      </c>
      <c r="I11" s="14" t="inlineStr">
        <is>
          <t>09-04 @ 6.60</t>
        </is>
      </c>
      <c r="J11" s="14" t="inlineStr">
        <is>
          <t>09-23 @ 10.41</t>
        </is>
      </c>
      <c r="K11" s="14" t="inlineStr"/>
      <c r="L11" s="14" t="inlineStr">
        <is>
          <t>09-11 @ 10.46</t>
        </is>
      </c>
      <c r="M11" s="14" t="inlineStr">
        <is>
          <t>09-17 @ 10.50</t>
        </is>
      </c>
      <c r="N11" s="14" t="inlineStr"/>
      <c r="O11" s="14" t="inlineStr"/>
    </row>
    <row r="12">
      <c r="A12" s="5" t="n">
        <v>1</v>
      </c>
      <c r="B12" s="5" t="n">
        <v>11</v>
      </c>
      <c r="C12" s="6" t="inlineStr">
        <is>
          <t>LTC</t>
        </is>
      </c>
      <c r="D12" s="5" t="inlineStr">
        <is>
          <t>LTC Properties Inc.</t>
        </is>
      </c>
      <c r="E12" s="8" t="n">
        <v>42.67</v>
      </c>
      <c r="F12" s="14" t="inlineStr">
        <is>
          <t>08-04 @ 37.87</t>
        </is>
      </c>
      <c r="G12" s="14" t="inlineStr">
        <is>
          <t>08-11 @ 37.72</t>
        </is>
      </c>
      <c r="H12" s="14" t="inlineStr">
        <is>
          <t>08-25 @ 40.03</t>
        </is>
      </c>
      <c r="I12" s="14" t="inlineStr">
        <is>
          <t>08-31 @ 40.17</t>
        </is>
      </c>
      <c r="J12" s="14" t="inlineStr">
        <is>
          <t>09-08 @ 40.82</t>
        </is>
      </c>
      <c r="K12" s="14" t="inlineStr">
        <is>
          <t>09-21 @ 42.06</t>
        </is>
      </c>
      <c r="L12" s="14" t="inlineStr">
        <is>
          <t>09-16 @ 43.60</t>
        </is>
      </c>
      <c r="M12" s="14" t="inlineStr">
        <is>
          <t>09-28 @ 43.55</t>
        </is>
      </c>
      <c r="N12" s="14" t="inlineStr"/>
      <c r="O12" s="14" t="inlineStr"/>
    </row>
    <row r="13">
      <c r="A13" s="5" t="n">
        <v>1</v>
      </c>
      <c r="B13" s="5" t="n">
        <v>12</v>
      </c>
      <c r="C13" s="6" t="inlineStr">
        <is>
          <t>PANW</t>
        </is>
      </c>
      <c r="D13" s="5" t="inlineStr">
        <is>
          <t>Palo Alto Networks Inc.</t>
        </is>
      </c>
      <c r="E13" s="8" t="n">
        <v>396.25</v>
      </c>
      <c r="F13" s="14" t="inlineStr">
        <is>
          <t>07-08 @ 314.95</t>
        </is>
      </c>
      <c r="G13" s="14" t="inlineStr">
        <is>
          <t>07-28 @ 308.54</t>
        </is>
      </c>
      <c r="H13" s="14" t="inlineStr">
        <is>
          <t>08-26 @ 328.00</t>
        </is>
      </c>
      <c r="I13" s="14" t="inlineStr">
        <is>
          <t>09-02 @ 321.39</t>
        </is>
      </c>
      <c r="J13" s="14" t="inlineStr">
        <is>
          <t>09-18 @ 356.00</t>
        </is>
      </c>
      <c r="K13" s="14" t="inlineStr">
        <is>
          <t>09-28 @ 367.27</t>
        </is>
      </c>
      <c r="L13" s="14" t="inlineStr">
        <is>
          <t>08-27 @ 387.33</t>
        </is>
      </c>
      <c r="M13" s="14" t="inlineStr">
        <is>
          <t>09-17 @ 383.12</t>
        </is>
      </c>
      <c r="N13" s="14" t="inlineStr">
        <is>
          <t>09-24 @ 396.30</t>
        </is>
      </c>
      <c r="O13" s="14" t="inlineStr"/>
    </row>
    <row r="14">
      <c r="A14" s="5" t="n">
        <v>1</v>
      </c>
      <c r="B14" s="5" t="n">
        <v>13</v>
      </c>
      <c r="C14" s="6" t="inlineStr">
        <is>
          <t>PENG</t>
        </is>
      </c>
      <c r="D14" s="5" t="inlineStr">
        <is>
          <t>Penguin Solutions Inc.</t>
        </is>
      </c>
      <c r="E14" s="8" t="n">
        <v>54.98</v>
      </c>
      <c r="F14" s="14" t="inlineStr">
        <is>
          <t>07-20 @ 52.01</t>
        </is>
      </c>
      <c r="G14" s="14" t="inlineStr">
        <is>
          <t>07-29 @ 43.61</t>
        </is>
      </c>
      <c r="H14" s="14" t="inlineStr">
        <is>
          <t>08-24 @ 49.07</t>
        </is>
      </c>
      <c r="I14" s="14" t="inlineStr">
        <is>
          <t>09-03 @ 45.62</t>
        </is>
      </c>
      <c r="J14" s="14" t="inlineStr">
        <is>
          <t>09-15 @ 46.19</t>
        </is>
      </c>
      <c r="K14" s="14" t="inlineStr">
        <is>
          <t>09-24 @ 51.31</t>
        </is>
      </c>
      <c r="L14" s="14" t="inlineStr">
        <is>
          <t>08-27 @ 54.19</t>
        </is>
      </c>
      <c r="M14" s="14" t="inlineStr">
        <is>
          <t>09-09 @ 53.24</t>
        </is>
      </c>
      <c r="N14" s="14" t="inlineStr">
        <is>
          <t>09-22 @ 57.50</t>
        </is>
      </c>
      <c r="O14" s="14" t="inlineStr"/>
    </row>
    <row r="15">
      <c r="A15" s="5" t="n">
        <v>1</v>
      </c>
      <c r="B15" s="5" t="n">
        <v>14</v>
      </c>
      <c r="C15" s="6" t="inlineStr">
        <is>
          <t>DT</t>
        </is>
      </c>
      <c r="D15" s="5" t="inlineStr">
        <is>
          <t>Dynatrace Inc.</t>
        </is>
      </c>
      <c r="E15" s="8" t="n">
        <v>59.26</v>
      </c>
      <c r="F15" s="14" t="inlineStr">
        <is>
          <t>07-09 @ 42.34</t>
        </is>
      </c>
      <c r="G15" s="14" t="inlineStr">
        <is>
          <t>07-23 @ 40.40</t>
        </is>
      </c>
      <c r="H15" s="14" t="inlineStr">
        <is>
          <t>08-17 @ 46.79</t>
        </is>
      </c>
      <c r="I15" s="14" t="inlineStr">
        <is>
          <t>09-09 @ 49.56</t>
        </is>
      </c>
      <c r="J15" s="14" t="inlineStr">
        <is>
          <t>09-28 @ 55.64</t>
        </is>
      </c>
      <c r="K15" s="14" t="inlineStr"/>
      <c r="L15" s="14" t="inlineStr">
        <is>
          <t>08-31 @ 54.84</t>
        </is>
      </c>
      <c r="M15" s="14" t="inlineStr">
        <is>
          <t>09-24 @ 59.41</t>
        </is>
      </c>
      <c r="N15" s="14" t="inlineStr"/>
      <c r="O15" s="14" t="inlineStr"/>
    </row>
    <row r="16">
      <c r="A16" s="5" t="n">
        <v>1</v>
      </c>
      <c r="B16" s="5" t="n">
        <v>15</v>
      </c>
      <c r="C16" s="6" t="inlineStr">
        <is>
          <t>NUTX</t>
        </is>
      </c>
      <c r="D16" s="5" t="inlineStr">
        <is>
          <t>Nutex Health Inc.</t>
        </is>
      </c>
      <c r="E16" s="8" t="n">
        <v>212.31</v>
      </c>
      <c r="F16" s="14" t="inlineStr">
        <is>
          <t>07-08 @ 171.64</t>
        </is>
      </c>
      <c r="G16" s="14" t="inlineStr">
        <is>
          <t>07-29 @ 140.25</t>
        </is>
      </c>
      <c r="H16" s="14" t="inlineStr">
        <is>
          <t>08-25 @ 176.55</t>
        </is>
      </c>
      <c r="I16" s="14" t="inlineStr">
        <is>
          <t>09-01 @ 182.66</t>
        </is>
      </c>
      <c r="J16" s="14" t="inlineStr">
        <is>
          <t>09-09 @ 184.00</t>
        </is>
      </c>
      <c r="K16" s="14" t="inlineStr">
        <is>
          <t>09-24 @ 198.25</t>
        </is>
      </c>
      <c r="L16" s="14" t="inlineStr">
        <is>
          <t>09-04 @ 200.00</t>
        </is>
      </c>
      <c r="M16" s="14" t="inlineStr">
        <is>
          <t>09-16 @ 224.28</t>
        </is>
      </c>
      <c r="N16" s="14" t="inlineStr">
        <is>
          <t>09-28 @ 222.13</t>
        </is>
      </c>
      <c r="O16" s="14" t="inlineStr"/>
    </row>
    <row r="17">
      <c r="A17" s="5" t="n">
        <v>1</v>
      </c>
      <c r="B17" s="5" t="n">
        <v>16</v>
      </c>
      <c r="C17" s="6" t="inlineStr">
        <is>
          <t>DDD</t>
        </is>
      </c>
      <c r="D17" s="5" t="inlineStr">
        <is>
          <t>3D Systems Corporation</t>
        </is>
      </c>
      <c r="E17" s="8" t="n">
        <v>3.54</v>
      </c>
      <c r="F17" s="14" t="inlineStr">
        <is>
          <t>07-20 @ 2.55</t>
        </is>
      </c>
      <c r="G17" s="14" t="inlineStr">
        <is>
          <t>07-29 @ 2.43</t>
        </is>
      </c>
      <c r="H17" s="14" t="inlineStr">
        <is>
          <t>08-24 @ 3.10</t>
        </is>
      </c>
      <c r="I17" s="14" t="inlineStr">
        <is>
          <t>09-16 @ 3.10</t>
        </is>
      </c>
      <c r="J17" s="14" t="inlineStr">
        <is>
          <t>09-25 @ 3.35</t>
        </is>
      </c>
      <c r="K17" s="14" t="inlineStr"/>
      <c r="L17" s="14" t="inlineStr">
        <is>
          <t>09-01 @ 3.59</t>
        </is>
      </c>
      <c r="M17" s="14" t="inlineStr">
        <is>
          <t>09-08 @ 3.53</t>
        </is>
      </c>
      <c r="N17" s="14" t="inlineStr">
        <is>
          <t>09-18 @ 3.71</t>
        </is>
      </c>
      <c r="O17" s="14" t="inlineStr"/>
    </row>
    <row r="18">
      <c r="A18" s="5" t="n">
        <v>1</v>
      </c>
      <c r="B18" s="5" t="n">
        <v>17</v>
      </c>
      <c r="C18" s="6" t="inlineStr">
        <is>
          <t>MTW</t>
        </is>
      </c>
      <c r="D18" s="5" t="inlineStr">
        <is>
          <t>Manitowoc Company Inc. (The)</t>
        </is>
      </c>
      <c r="E18" s="8" t="n">
        <v>22.4</v>
      </c>
      <c r="F18" s="14" t="inlineStr">
        <is>
          <t>07-31 @ 13.33</t>
        </is>
      </c>
      <c r="G18" s="14" t="inlineStr">
        <is>
          <t>08-20 @ 18.57</t>
        </is>
      </c>
      <c r="H18" s="14" t="inlineStr">
        <is>
          <t>09-01 @ 18.73</t>
        </is>
      </c>
      <c r="I18" s="14" t="inlineStr">
        <is>
          <t>09-14 @ 19.63</t>
        </is>
      </c>
      <c r="J18" s="14" t="inlineStr">
        <is>
          <t>09-24 @ 21.19</t>
        </is>
      </c>
      <c r="K18" s="14" t="inlineStr"/>
      <c r="L18" s="14" t="inlineStr">
        <is>
          <t>09-04 @ 21.50</t>
        </is>
      </c>
      <c r="M18" s="14" t="inlineStr">
        <is>
          <t>09-22 @ 23.17</t>
        </is>
      </c>
      <c r="N18" s="14" t="inlineStr"/>
      <c r="O18" s="14" t="inlineStr"/>
    </row>
    <row r="19">
      <c r="A19" s="5" t="n">
        <v>1</v>
      </c>
      <c r="B19" s="5" t="n">
        <v>18</v>
      </c>
      <c r="C19" s="6" t="inlineStr">
        <is>
          <t>ISRG</t>
        </is>
      </c>
      <c r="D19" s="5" t="inlineStr">
        <is>
          <t>Intuitive Surgical Inc.</t>
        </is>
      </c>
      <c r="E19" s="8" t="n">
        <v>401.24</v>
      </c>
      <c r="F19" s="14" t="inlineStr">
        <is>
          <t>07-23 @ 328.57</t>
        </is>
      </c>
      <c r="G19" s="14" t="inlineStr">
        <is>
          <t>08-31 @ 365.32</t>
        </is>
      </c>
      <c r="H19" s="14" t="inlineStr">
        <is>
          <t>09-10 @ 345.25</t>
        </is>
      </c>
      <c r="I19" s="14" t="inlineStr">
        <is>
          <t>09-25 @ 391.92</t>
        </is>
      </c>
      <c r="J19" s="14" t="inlineStr"/>
      <c r="K19" s="14" t="inlineStr"/>
      <c r="L19" s="14" t="inlineStr">
        <is>
          <t>09-02 @ 382.41</t>
        </is>
      </c>
      <c r="M19" s="14" t="inlineStr">
        <is>
          <t>09-28 @ 416.51</t>
        </is>
      </c>
      <c r="N19" s="14" t="inlineStr"/>
      <c r="O19" s="14" t="inlineStr"/>
    </row>
    <row r="20">
      <c r="A20" s="5" t="n">
        <v>1</v>
      </c>
      <c r="B20" s="5" t="n">
        <v>19</v>
      </c>
      <c r="C20" s="6" t="inlineStr">
        <is>
          <t>SEI</t>
        </is>
      </c>
      <c r="D20" s="5" t="inlineStr">
        <is>
          <t>Solaris Energy Infrastructure Inc.</t>
        </is>
      </c>
      <c r="E20" s="8" t="n">
        <v>71.38</v>
      </c>
      <c r="F20" s="14" t="inlineStr">
        <is>
          <t>07-17 @ 56.96</t>
        </is>
      </c>
      <c r="G20" s="14" t="inlineStr">
        <is>
          <t>07-29 @ 42.67</t>
        </is>
      </c>
      <c r="H20" s="14" t="inlineStr">
        <is>
          <t>08-24 @ 50.56</t>
        </is>
      </c>
      <c r="I20" s="14" t="inlineStr">
        <is>
          <t>09-02 @ 47.81</t>
        </is>
      </c>
      <c r="J20" s="14" t="inlineStr">
        <is>
          <t>09-14 @ 60.59</t>
        </is>
      </c>
      <c r="K20" s="14" t="inlineStr">
        <is>
          <t>09-23 @ 64.23</t>
        </is>
      </c>
      <c r="L20" s="14" t="inlineStr">
        <is>
          <t>09-11 @ 70.33</t>
        </is>
      </c>
      <c r="M20" s="14" t="inlineStr">
        <is>
          <t>09-21 @ 71.40</t>
        </is>
      </c>
      <c r="N20" s="14" t="inlineStr"/>
      <c r="O20" s="14" t="inlineStr"/>
    </row>
    <row r="21">
      <c r="A21" s="5" t="n">
        <v>1</v>
      </c>
      <c r="B21" s="5" t="n">
        <v>20</v>
      </c>
      <c r="C21" s="6" t="inlineStr">
        <is>
          <t>FTNT</t>
        </is>
      </c>
      <c r="D21" s="5" t="inlineStr">
        <is>
          <t>Fortinet Inc.</t>
        </is>
      </c>
      <c r="E21" s="8" t="n">
        <v>178.72</v>
      </c>
      <c r="F21" s="14" t="inlineStr">
        <is>
          <t>07-29 @ 143.77</t>
        </is>
      </c>
      <c r="G21" s="14" t="inlineStr">
        <is>
          <t>08-06 @ 158.27</t>
        </is>
      </c>
      <c r="H21" s="14" t="inlineStr">
        <is>
          <t>08-21 @ 148.25</t>
        </is>
      </c>
      <c r="I21" s="14" t="inlineStr">
        <is>
          <t>09-02 @ 151.80</t>
        </is>
      </c>
      <c r="J21" s="14" t="inlineStr">
        <is>
          <t>09-18 @ 166.09</t>
        </is>
      </c>
      <c r="K21" s="14" t="inlineStr">
        <is>
          <t>09-28 @ 169.56</t>
        </is>
      </c>
      <c r="L21" s="14" t="inlineStr">
        <is>
          <t>08-27 @ 173.89</t>
        </is>
      </c>
      <c r="M21" s="14" t="inlineStr">
        <is>
          <t>09-17 @ 176.10</t>
        </is>
      </c>
      <c r="N21" s="14" t="inlineStr">
        <is>
          <t>09-24 @ 181.37</t>
        </is>
      </c>
      <c r="O21" s="14" t="inlineStr"/>
    </row>
    <row r="22">
      <c r="A22" s="5" t="n">
        <v>1</v>
      </c>
      <c r="B22" s="5" t="n">
        <v>21</v>
      </c>
      <c r="C22" s="6" t="inlineStr">
        <is>
          <t>AVT</t>
        </is>
      </c>
      <c r="D22" s="5" t="inlineStr">
        <is>
          <t>Avnet Inc.</t>
        </is>
      </c>
      <c r="E22" s="8" t="n">
        <v>102.24</v>
      </c>
      <c r="F22" s="14" t="inlineStr">
        <is>
          <t>07-17 @ 82.50</t>
        </is>
      </c>
      <c r="G22" s="14" t="inlineStr">
        <is>
          <t>07-29 @ 83.48</t>
        </is>
      </c>
      <c r="H22" s="14" t="inlineStr">
        <is>
          <t>08-24 @ 85.52</t>
        </is>
      </c>
      <c r="I22" s="14" t="inlineStr">
        <is>
          <t>09-03 @ 86.71</t>
        </is>
      </c>
      <c r="J22" s="14" t="inlineStr">
        <is>
          <t>09-16 @ 90.90</t>
        </is>
      </c>
      <c r="K22" s="14" t="inlineStr"/>
      <c r="L22" s="14" t="inlineStr">
        <is>
          <t>08-28 @ 92.70</t>
        </is>
      </c>
      <c r="M22" s="14" t="inlineStr">
        <is>
          <t>09-11 @ 99.92</t>
        </is>
      </c>
      <c r="N22" s="14" t="inlineStr">
        <is>
          <t>09-25 @ 104.58</t>
        </is>
      </c>
      <c r="O22" s="14" t="inlineStr"/>
    </row>
    <row r="23">
      <c r="A23" s="5" t="n">
        <v>1</v>
      </c>
      <c r="B23" s="5" t="n">
        <v>22</v>
      </c>
      <c r="C23" s="6" t="inlineStr">
        <is>
          <t>MRVL</t>
        </is>
      </c>
      <c r="D23" s="5" t="inlineStr">
        <is>
          <t>Marvell Technology Inc.</t>
        </is>
      </c>
      <c r="E23" s="8" t="n">
        <v>268.08</v>
      </c>
      <c r="F23" s="14" t="inlineStr">
        <is>
          <t>07-29 @ 162.90</t>
        </is>
      </c>
      <c r="G23" s="14" t="inlineStr">
        <is>
          <t>08-18 @ 211.10</t>
        </is>
      </c>
      <c r="H23" s="14" t="inlineStr">
        <is>
          <t>08-24 @ 220.42</t>
        </is>
      </c>
      <c r="I23" s="14" t="inlineStr">
        <is>
          <t>09-01 @ 200.62</t>
        </is>
      </c>
      <c r="J23" s="14" t="inlineStr">
        <is>
          <t>09-14 @ 213.63</t>
        </is>
      </c>
      <c r="K23" s="14" t="inlineStr">
        <is>
          <t>09-28 @ 248.14</t>
        </is>
      </c>
      <c r="L23" s="14" t="inlineStr">
        <is>
          <t>08-27 @ 254.60</t>
        </is>
      </c>
      <c r="M23" s="14" t="inlineStr">
        <is>
          <t>09-09 @ 241.88</t>
        </is>
      </c>
      <c r="N23" s="14" t="inlineStr">
        <is>
          <t>09-25 @ 267.48</t>
        </is>
      </c>
      <c r="O23" s="14" t="inlineStr"/>
    </row>
    <row r="24">
      <c r="A24" s="5" t="n">
        <v>1</v>
      </c>
      <c r="B24" s="5" t="n">
        <v>23</v>
      </c>
      <c r="C24" s="6" t="inlineStr">
        <is>
          <t>CVLT</t>
        </is>
      </c>
      <c r="D24" s="5" t="inlineStr">
        <is>
          <t>Commvault Systems Inc.</t>
        </is>
      </c>
      <c r="E24" s="8" t="n">
        <v>147.77</v>
      </c>
      <c r="F24" s="14" t="inlineStr">
        <is>
          <t>07-15 @ 144.56</t>
        </is>
      </c>
      <c r="G24" s="14" t="inlineStr">
        <is>
          <t>07-31 @ 113.53</t>
        </is>
      </c>
      <c r="H24" s="14" t="inlineStr">
        <is>
          <t>08-26 @ 128.57</t>
        </is>
      </c>
      <c r="I24" s="14" t="inlineStr">
        <is>
          <t>09-02 @ 125.90</t>
        </is>
      </c>
      <c r="J24" s="14" t="inlineStr">
        <is>
          <t>09-11 @ 129.50</t>
        </is>
      </c>
      <c r="K24" s="14" t="inlineStr">
        <is>
          <t>09-28 @ 141.10</t>
        </is>
      </c>
      <c r="L24" s="14" t="inlineStr">
        <is>
          <t>08-27 @ 141.99</t>
        </is>
      </c>
      <c r="M24" s="14" t="inlineStr">
        <is>
          <t>09-24 @ 151.62</t>
        </is>
      </c>
      <c r="N24" s="14" t="inlineStr"/>
      <c r="O24" s="14" t="inlineStr"/>
    </row>
    <row r="25">
      <c r="A25" s="5" t="n">
        <v>1</v>
      </c>
      <c r="B25" s="5" t="n">
        <v>24</v>
      </c>
      <c r="C25" s="6" t="inlineStr">
        <is>
          <t>ADPT</t>
        </is>
      </c>
      <c r="D25" s="5" t="inlineStr">
        <is>
          <t>Adaptive Biotechnologies Corporation</t>
        </is>
      </c>
      <c r="E25" s="8" t="n">
        <v>27.37</v>
      </c>
      <c r="F25" s="14" t="inlineStr">
        <is>
          <t>07-08 @ 19.77</t>
        </is>
      </c>
      <c r="G25" s="14" t="inlineStr">
        <is>
          <t>07-21 @ 20.90</t>
        </is>
      </c>
      <c r="H25" s="14" t="inlineStr">
        <is>
          <t>07-29 @ 21.74</t>
        </is>
      </c>
      <c r="I25" s="14" t="inlineStr">
        <is>
          <t>08-18 @ 23.92</t>
        </is>
      </c>
      <c r="J25" s="14" t="inlineStr">
        <is>
          <t>09-10 @ 23.53</t>
        </is>
      </c>
      <c r="K25" s="14" t="inlineStr">
        <is>
          <t>09-22 @ 26.73</t>
        </is>
      </c>
      <c r="L25" s="14" t="inlineStr">
        <is>
          <t>08-27 @ 26.87</t>
        </is>
      </c>
      <c r="M25" s="14" t="inlineStr">
        <is>
          <t>09-03 @ 25.36</t>
        </is>
      </c>
      <c r="N25" s="14" t="inlineStr">
        <is>
          <t>09-25 @ 29.96</t>
        </is>
      </c>
      <c r="O25" s="14" t="inlineStr"/>
    </row>
    <row r="26">
      <c r="A26" s="5" t="n">
        <v>1</v>
      </c>
      <c r="B26" s="5" t="n">
        <v>25</v>
      </c>
      <c r="C26" s="6" t="inlineStr">
        <is>
          <t>DELL</t>
        </is>
      </c>
      <c r="D26" s="5" t="inlineStr">
        <is>
          <t>Dell Technologies Inc. Class C</t>
        </is>
      </c>
      <c r="E26" s="8" t="n">
        <v>541.74</v>
      </c>
      <c r="F26" s="14" t="inlineStr">
        <is>
          <t>07-28 @ 358.88</t>
        </is>
      </c>
      <c r="G26" s="14" t="inlineStr">
        <is>
          <t>08-07 @ 416.30</t>
        </is>
      </c>
      <c r="H26" s="14" t="inlineStr">
        <is>
          <t>08-24 @ 424.00</t>
        </is>
      </c>
      <c r="I26" s="14" t="inlineStr">
        <is>
          <t>09-01 @ 421.89</t>
        </is>
      </c>
      <c r="J26" s="14" t="inlineStr">
        <is>
          <t>09-10 @ 506.25</t>
        </is>
      </c>
      <c r="K26" s="14" t="inlineStr">
        <is>
          <t>09-24 @ 530.45</t>
        </is>
      </c>
      <c r="L26" s="14" t="inlineStr">
        <is>
          <t>09-18 @ 595.51</t>
        </is>
      </c>
      <c r="M26" s="14" t="inlineStr"/>
      <c r="N26" s="14" t="inlineStr"/>
      <c r="O26" s="14" t="inlineStr"/>
    </row>
    <row r="27">
      <c r="A27" s="5" t="n">
        <v>1</v>
      </c>
      <c r="B27" s="5" t="n">
        <v>26</v>
      </c>
      <c r="C27" s="6" t="inlineStr">
        <is>
          <t>STX</t>
        </is>
      </c>
      <c r="D27" s="5" t="inlineStr">
        <is>
          <t>Seagate Technology Holdings PLC</t>
        </is>
      </c>
      <c r="E27" s="8" t="n">
        <v>945.5700000000001</v>
      </c>
      <c r="F27" s="14" t="inlineStr">
        <is>
          <t>07-28 @ 698.99</t>
        </is>
      </c>
      <c r="G27" s="14" t="inlineStr">
        <is>
          <t>08-07 @ 761.80</t>
        </is>
      </c>
      <c r="H27" s="14" t="inlineStr">
        <is>
          <t>08-24 @ 774.00</t>
        </is>
      </c>
      <c r="I27" s="14" t="inlineStr">
        <is>
          <t>09-03 @ 763.52</t>
        </is>
      </c>
      <c r="J27" s="14" t="inlineStr">
        <is>
          <t>09-15 @ 758.35</t>
        </is>
      </c>
      <c r="K27" s="14" t="inlineStr">
        <is>
          <t>09-28 @ 870.38</t>
        </is>
      </c>
      <c r="L27" s="14" t="inlineStr">
        <is>
          <t>08-27 @ 875.75</t>
        </is>
      </c>
      <c r="M27" s="14" t="inlineStr">
        <is>
          <t>09-08 @ 925.44</t>
        </is>
      </c>
      <c r="N27" s="14" t="inlineStr">
        <is>
          <t>09-22 @ 936.94</t>
        </is>
      </c>
      <c r="O27" s="14" t="inlineStr"/>
    </row>
    <row r="28">
      <c r="A28" s="5" t="n">
        <v>1</v>
      </c>
      <c r="B28" s="5" t="n">
        <v>27</v>
      </c>
      <c r="C28" s="6" t="inlineStr">
        <is>
          <t>OBIO</t>
        </is>
      </c>
      <c r="D28" s="5" t="inlineStr">
        <is>
          <t>Orchestra BioMed Holdings Inc.</t>
        </is>
      </c>
      <c r="E28" s="8" t="n">
        <v>6.35</v>
      </c>
      <c r="F28" s="14" t="inlineStr">
        <is>
          <t>07-08 @ 3.80</t>
        </is>
      </c>
      <c r="G28" s="14" t="inlineStr">
        <is>
          <t>07-23 @ 3.56</t>
        </is>
      </c>
      <c r="H28" s="14" t="inlineStr">
        <is>
          <t>09-03 @ 4.71</t>
        </is>
      </c>
      <c r="I28" s="14" t="inlineStr">
        <is>
          <t>09-18 @ 5.71</t>
        </is>
      </c>
      <c r="J28" s="14" t="inlineStr">
        <is>
          <t>09-24 @ 5.75</t>
        </is>
      </c>
      <c r="K28" s="14" t="inlineStr"/>
      <c r="L28" s="14" t="inlineStr">
        <is>
          <t>09-22 @ 6.48</t>
        </is>
      </c>
      <c r="M28" s="14" t="inlineStr"/>
      <c r="N28" s="14" t="inlineStr"/>
      <c r="O28" s="14" t="inlineStr"/>
    </row>
    <row r="29">
      <c r="A29" s="5" t="n">
        <v>1</v>
      </c>
      <c r="B29" s="5" t="n">
        <v>28</v>
      </c>
      <c r="C29" s="6" t="inlineStr">
        <is>
          <t>ANET</t>
        </is>
      </c>
      <c r="D29" s="5" t="inlineStr">
        <is>
          <t>Arista Networks Inc.</t>
        </is>
      </c>
      <c r="E29" s="8" t="n">
        <v>204.49</v>
      </c>
      <c r="F29" s="14" t="inlineStr">
        <is>
          <t>07-29 @ 156.84</t>
        </is>
      </c>
      <c r="G29" s="14" t="inlineStr">
        <is>
          <t>08-10 @ 187.03</t>
        </is>
      </c>
      <c r="H29" s="14" t="inlineStr">
        <is>
          <t>08-20 @ 182.83</t>
        </is>
      </c>
      <c r="I29" s="14" t="inlineStr">
        <is>
          <t>09-03 @ 181.27</t>
        </is>
      </c>
      <c r="J29" s="14" t="inlineStr">
        <is>
          <t>09-14 @ 186.11</t>
        </is>
      </c>
      <c r="K29" s="14" t="inlineStr">
        <is>
          <t>09-24 @ 198.76</t>
        </is>
      </c>
      <c r="L29" s="14" t="inlineStr">
        <is>
          <t>08-27 @ 206.13</t>
        </is>
      </c>
      <c r="M29" s="14" t="inlineStr">
        <is>
          <t>09-08 @ 200.68</t>
        </is>
      </c>
      <c r="N29" s="14" t="inlineStr">
        <is>
          <t>09-25 @ 212.00</t>
        </is>
      </c>
      <c r="O29" s="14" t="inlineStr"/>
    </row>
    <row r="30">
      <c r="A30" s="5" t="n">
        <v>1</v>
      </c>
      <c r="B30" s="5" t="n">
        <v>29</v>
      </c>
      <c r="C30" s="6" t="inlineStr">
        <is>
          <t>ARW</t>
        </is>
      </c>
      <c r="D30" s="5" t="inlineStr">
        <is>
          <t>Arrow Electronics Inc.</t>
        </is>
      </c>
      <c r="E30" s="8" t="n">
        <v>231.63</v>
      </c>
      <c r="F30" s="14" t="inlineStr">
        <is>
          <t>07-17 @ 198.43</t>
        </is>
      </c>
      <c r="G30" s="14" t="inlineStr">
        <is>
          <t>07-29 @ 202.79</t>
        </is>
      </c>
      <c r="H30" s="14" t="inlineStr">
        <is>
          <t>08-07 @ 194.45</t>
        </is>
      </c>
      <c r="I30" s="14" t="inlineStr">
        <is>
          <t>08-25 @ 199.94</t>
        </is>
      </c>
      <c r="J30" s="14" t="inlineStr">
        <is>
          <t>09-01 @ 200.99</t>
        </is>
      </c>
      <c r="K30" s="14" t="inlineStr">
        <is>
          <t>09-16 @ 207.88</t>
        </is>
      </c>
      <c r="L30" s="14" t="inlineStr">
        <is>
          <t>08-27 @ 210.66</t>
        </is>
      </c>
      <c r="M30" s="14" t="inlineStr">
        <is>
          <t>09-11 @ 230.44</t>
        </is>
      </c>
      <c r="N30" s="14" t="inlineStr">
        <is>
          <t>09-25 @ 233.94</t>
        </is>
      </c>
      <c r="O30" s="14" t="inlineStr"/>
    </row>
    <row r="31">
      <c r="A31" s="5" t="n">
        <v>1</v>
      </c>
      <c r="B31" s="5" t="n">
        <v>30</v>
      </c>
      <c r="C31" s="6" t="inlineStr">
        <is>
          <t>FLGT</t>
        </is>
      </c>
      <c r="D31" s="5" t="inlineStr">
        <is>
          <t>Fulgent Genetics Inc.</t>
        </is>
      </c>
      <c r="E31" s="8" t="n">
        <v>21.3</v>
      </c>
      <c r="F31" s="14" t="inlineStr">
        <is>
          <t>07-14 @ 20.02</t>
        </is>
      </c>
      <c r="G31" s="14" t="inlineStr">
        <is>
          <t>07-22 @ 19.20</t>
        </is>
      </c>
      <c r="H31" s="14" t="inlineStr">
        <is>
          <t>07-31 @ 16.05</t>
        </is>
      </c>
      <c r="I31" s="14" t="inlineStr">
        <is>
          <t>08-17 @ 18.28</t>
        </is>
      </c>
      <c r="J31" s="14" t="inlineStr">
        <is>
          <t>08-31 @ 19.04</t>
        </is>
      </c>
      <c r="K31" s="14" t="inlineStr">
        <is>
          <t>09-21 @ 21.01</t>
        </is>
      </c>
      <c r="L31" s="14" t="inlineStr">
        <is>
          <t>08-27 @ 20.21</t>
        </is>
      </c>
      <c r="M31" s="14" t="inlineStr">
        <is>
          <t>09-03 @ 20.34</t>
        </is>
      </c>
      <c r="N31" s="14" t="inlineStr">
        <is>
          <t>09-21 @ 21.93</t>
        </is>
      </c>
      <c r="O31" s="14" t="inlineStr"/>
    </row>
    <row r="32">
      <c r="A32" s="5" t="n">
        <v>1</v>
      </c>
      <c r="B32" s="5" t="n">
        <v>31</v>
      </c>
      <c r="C32" s="6" t="inlineStr">
        <is>
          <t>CRSR</t>
        </is>
      </c>
      <c r="D32" s="5" t="inlineStr">
        <is>
          <t>Corsair Gaming Inc.</t>
        </is>
      </c>
      <c r="E32" s="8" t="n">
        <v>13.85</v>
      </c>
      <c r="F32" s="14" t="inlineStr">
        <is>
          <t>07-17 @ 9.02</t>
        </is>
      </c>
      <c r="G32" s="14" t="inlineStr">
        <is>
          <t>08-06 @ 10.45</t>
        </is>
      </c>
      <c r="H32" s="14" t="inlineStr">
        <is>
          <t>08-24 @ 10.73</t>
        </is>
      </c>
      <c r="I32" s="14" t="inlineStr">
        <is>
          <t>09-01 @ 11.55</t>
        </is>
      </c>
      <c r="J32" s="14" t="inlineStr">
        <is>
          <t>09-10 @ 12.05</t>
        </is>
      </c>
      <c r="K32" s="14" t="inlineStr">
        <is>
          <t>09-24 @ 13.06</t>
        </is>
      </c>
      <c r="L32" s="14" t="inlineStr">
        <is>
          <t>09-04 @ 12.95</t>
        </is>
      </c>
      <c r="M32" s="14" t="inlineStr">
        <is>
          <t>09-15 @ 13.78</t>
        </is>
      </c>
      <c r="N32" s="14" t="inlineStr">
        <is>
          <t>09-21 @ 13.84</t>
        </is>
      </c>
      <c r="O32" s="14" t="inlineStr">
        <is>
          <t>09-25 @ 13.96</t>
        </is>
      </c>
    </row>
    <row r="33">
      <c r="A33" s="5" t="n">
        <v>1</v>
      </c>
      <c r="B33" s="5" t="n">
        <v>32</v>
      </c>
      <c r="C33" s="6" t="inlineStr">
        <is>
          <t>UCTT</t>
        </is>
      </c>
      <c r="D33" s="5" t="inlineStr">
        <is>
          <t>Ultra Clean Holdings Inc.</t>
        </is>
      </c>
      <c r="E33" s="8" t="n">
        <v>78.64</v>
      </c>
      <c r="F33" s="14" t="inlineStr">
        <is>
          <t>07-17 @ 82.24</t>
        </is>
      </c>
      <c r="G33" s="14" t="inlineStr">
        <is>
          <t>07-29 @ 69.32</t>
        </is>
      </c>
      <c r="H33" s="14" t="inlineStr">
        <is>
          <t>08-06 @ 76.57</t>
        </is>
      </c>
      <c r="I33" s="14" t="inlineStr">
        <is>
          <t>08-24 @ 71.07</t>
        </is>
      </c>
      <c r="J33" s="14" t="inlineStr">
        <is>
          <t>09-03 @ 62.68</t>
        </is>
      </c>
      <c r="K33" s="14" t="inlineStr">
        <is>
          <t>09-15 @ 64.77</t>
        </is>
      </c>
      <c r="L33" s="14" t="inlineStr">
        <is>
          <t>08-27 @ 76.75</t>
        </is>
      </c>
      <c r="M33" s="14" t="inlineStr">
        <is>
          <t>09-09 @ 76.23</t>
        </is>
      </c>
      <c r="N33" s="14" t="inlineStr"/>
      <c r="O33" s="14" t="inlineStr"/>
    </row>
    <row r="34">
      <c r="A34" s="5" t="n">
        <v>1</v>
      </c>
      <c r="B34" s="5" t="n">
        <v>33</v>
      </c>
      <c r="C34" s="6" t="inlineStr">
        <is>
          <t>NTAP</t>
        </is>
      </c>
      <c r="D34" s="5" t="inlineStr">
        <is>
          <t>NetApp Inc.</t>
        </is>
      </c>
      <c r="E34" s="8" t="n">
        <v>215.05</v>
      </c>
      <c r="F34" s="14" t="inlineStr">
        <is>
          <t>07-16 @ 156.26</t>
        </is>
      </c>
      <c r="G34" s="14" t="inlineStr">
        <is>
          <t>08-25 @ 185.27</t>
        </is>
      </c>
      <c r="H34" s="14" t="inlineStr">
        <is>
          <t>09-03 @ 161.00</t>
        </is>
      </c>
      <c r="I34" s="14" t="inlineStr">
        <is>
          <t>09-22 @ 190.89</t>
        </is>
      </c>
      <c r="J34" s="14" t="inlineStr"/>
      <c r="K34" s="14" t="inlineStr"/>
      <c r="L34" s="14" t="inlineStr">
        <is>
          <t>09-11 @ 199.62</t>
        </is>
      </c>
      <c r="M34" s="14" t="inlineStr"/>
      <c r="N34" s="14" t="inlineStr"/>
      <c r="O34" s="14" t="inlineStr"/>
    </row>
    <row r="35">
      <c r="A35" s="5" t="n">
        <v>1</v>
      </c>
      <c r="B35" s="5" t="n">
        <v>34</v>
      </c>
      <c r="C35" s="6" t="inlineStr">
        <is>
          <t>OSPN</t>
        </is>
      </c>
      <c r="D35" s="5" t="inlineStr">
        <is>
          <t>OneSpan Inc.</t>
        </is>
      </c>
      <c r="E35" s="8" t="n">
        <v>18.04</v>
      </c>
      <c r="F35" s="14" t="inlineStr">
        <is>
          <t>07-23 @ 14.66</t>
        </is>
      </c>
      <c r="G35" s="14" t="inlineStr">
        <is>
          <t>07-31 @ 15.03</t>
        </is>
      </c>
      <c r="H35" s="14" t="inlineStr">
        <is>
          <t>08-06 @ 15.53</t>
        </is>
      </c>
      <c r="I35" s="14" t="inlineStr">
        <is>
          <t>08-26 @ 15.06</t>
        </is>
      </c>
      <c r="J35" s="14" t="inlineStr">
        <is>
          <t>09-10 @ 15.97</t>
        </is>
      </c>
      <c r="K35" s="14" t="inlineStr">
        <is>
          <t>09-22 @ 17.05</t>
        </is>
      </c>
      <c r="L35" s="14" t="inlineStr">
        <is>
          <t>08-28 @ 16.74</t>
        </is>
      </c>
      <c r="M35" s="14" t="inlineStr">
        <is>
          <t>09-03 @ 16.77</t>
        </is>
      </c>
      <c r="N35" s="14" t="inlineStr">
        <is>
          <t>09-15 @ 18.08</t>
        </is>
      </c>
      <c r="O35" s="14" t="inlineStr">
        <is>
          <t>09-24 @ 18.05</t>
        </is>
      </c>
    </row>
    <row r="36">
      <c r="A36" s="5" t="n">
        <v>1</v>
      </c>
      <c r="B36" s="5" t="n">
        <v>35</v>
      </c>
      <c r="C36" s="6" t="inlineStr">
        <is>
          <t>TWIN</t>
        </is>
      </c>
      <c r="D36" s="5" t="inlineStr">
        <is>
          <t>Twin Disc Incorporated</t>
        </is>
      </c>
      <c r="E36" s="8" t="n">
        <v>26.86</v>
      </c>
      <c r="F36" s="14" t="inlineStr">
        <is>
          <t>07-08 @ 21.05</t>
        </is>
      </c>
      <c r="G36" s="14" t="inlineStr">
        <is>
          <t>07-29 @ 22.09</t>
        </is>
      </c>
      <c r="H36" s="14" t="inlineStr">
        <is>
          <t>08-11 @ 23.24</t>
        </is>
      </c>
      <c r="I36" s="14" t="inlineStr">
        <is>
          <t>08-20 @ 22.15</t>
        </is>
      </c>
      <c r="J36" s="14" t="inlineStr">
        <is>
          <t>09-01 @ 22.16</t>
        </is>
      </c>
      <c r="K36" s="14" t="inlineStr">
        <is>
          <t>09-16 @ 23.56</t>
        </is>
      </c>
      <c r="L36" s="14" t="inlineStr"/>
      <c r="M36" s="14" t="inlineStr"/>
      <c r="N36" s="14" t="inlineStr"/>
      <c r="O36" s="14" t="inlineStr"/>
    </row>
    <row r="37">
      <c r="A37" s="5" t="n">
        <v>1</v>
      </c>
      <c r="B37" s="5" t="n">
        <v>36</v>
      </c>
      <c r="C37" s="6" t="inlineStr">
        <is>
          <t>CHPT</t>
        </is>
      </c>
      <c r="D37" s="5" t="inlineStr">
        <is>
          <t>ChargePoint Holdings Inc.</t>
        </is>
      </c>
      <c r="E37" s="8" t="n">
        <v>10.2</v>
      </c>
      <c r="F37" s="14" t="inlineStr">
        <is>
          <t>07-08 @ 5.53</t>
        </is>
      </c>
      <c r="G37" s="14" t="inlineStr">
        <is>
          <t>07-24 @ 5.08</t>
        </is>
      </c>
      <c r="H37" s="14" t="inlineStr">
        <is>
          <t>08-18 @ 5.50</t>
        </is>
      </c>
      <c r="I37" s="14" t="inlineStr">
        <is>
          <t>09-02 @ 5.19</t>
        </is>
      </c>
      <c r="J37" s="14" t="inlineStr">
        <is>
          <t>09-10 @ 8.56</t>
        </is>
      </c>
      <c r="K37" s="14" t="inlineStr">
        <is>
          <t>09-28 @ 8.65</t>
        </is>
      </c>
      <c r="L37" s="14" t="inlineStr">
        <is>
          <t>09-08 @ 10.43</t>
        </is>
      </c>
      <c r="M37" s="14" t="inlineStr">
        <is>
          <t>09-18 @ 10.72</t>
        </is>
      </c>
      <c r="N37" s="14" t="inlineStr"/>
      <c r="O37" s="14" t="inlineStr"/>
    </row>
    <row r="38">
      <c r="A38" s="5" t="n">
        <v>1</v>
      </c>
      <c r="B38" s="5" t="n">
        <v>37</v>
      </c>
      <c r="C38" s="6" t="inlineStr">
        <is>
          <t>VRNS</t>
        </is>
      </c>
      <c r="D38" s="5" t="inlineStr">
        <is>
          <t>Varonis Systems Inc.</t>
        </is>
      </c>
      <c r="E38" s="8" t="n">
        <v>47.45</v>
      </c>
      <c r="F38" s="14" t="inlineStr">
        <is>
          <t>07-31 @ 38.96</t>
        </is>
      </c>
      <c r="G38" s="14" t="inlineStr">
        <is>
          <t>08-12 @ 41.22</t>
        </is>
      </c>
      <c r="H38" s="14" t="inlineStr">
        <is>
          <t>08-21 @ 39.88</t>
        </is>
      </c>
      <c r="I38" s="14" t="inlineStr">
        <is>
          <t>09-02 @ 40.89</t>
        </is>
      </c>
      <c r="J38" s="14" t="inlineStr">
        <is>
          <t>09-11 @ 44.17</t>
        </is>
      </c>
      <c r="K38" s="14" t="inlineStr">
        <is>
          <t>09-28 @ 44.62</t>
        </is>
      </c>
      <c r="L38" s="14" t="inlineStr">
        <is>
          <t>08-27 @ 45.07</t>
        </is>
      </c>
      <c r="M38" s="14" t="inlineStr">
        <is>
          <t>09-02 @ 48.21</t>
        </is>
      </c>
      <c r="N38" s="14" t="inlineStr">
        <is>
          <t>09-21 @ 48.79</t>
        </is>
      </c>
      <c r="O38" s="14" t="inlineStr"/>
    </row>
    <row r="39">
      <c r="A39" s="5" t="n">
        <v>1</v>
      </c>
      <c r="B39" s="5" t="n">
        <v>38</v>
      </c>
      <c r="C39" s="6" t="inlineStr">
        <is>
          <t>INFU</t>
        </is>
      </c>
      <c r="D39" s="5" t="inlineStr">
        <is>
          <t>InfuSystems Holdings Inc.</t>
        </is>
      </c>
      <c r="E39" s="8" t="n">
        <v>12.82</v>
      </c>
      <c r="F39" s="14" t="inlineStr">
        <is>
          <t>07-31 @ 8.88</t>
        </is>
      </c>
      <c r="G39" s="14" t="inlineStr">
        <is>
          <t>08-17 @ 11.90</t>
        </is>
      </c>
      <c r="H39" s="14" t="inlineStr">
        <is>
          <t>08-26 @ 11.79</t>
        </is>
      </c>
      <c r="I39" s="14" t="inlineStr">
        <is>
          <t>09-08 @ 11.81</t>
        </is>
      </c>
      <c r="J39" s="14" t="inlineStr">
        <is>
          <t>09-14 @ 11.80</t>
        </is>
      </c>
      <c r="K39" s="14" t="inlineStr">
        <is>
          <t>09-25 @ 12.47</t>
        </is>
      </c>
      <c r="L39" s="14" t="inlineStr">
        <is>
          <t>09-03 @ 12.47</t>
        </is>
      </c>
      <c r="M39" s="14" t="inlineStr">
        <is>
          <t>09-10 @ 12.45</t>
        </is>
      </c>
      <c r="N39" s="14" t="inlineStr">
        <is>
          <t>09-22 @ 13.20</t>
        </is>
      </c>
      <c r="O39" s="14" t="inlineStr"/>
    </row>
    <row r="40">
      <c r="A40" s="5" t="n">
        <v>1</v>
      </c>
      <c r="B40" s="5" t="n">
        <v>39</v>
      </c>
      <c r="C40" s="6" t="inlineStr">
        <is>
          <t>HPE</t>
        </is>
      </c>
      <c r="D40" s="5" t="inlineStr">
        <is>
          <t>Hewlett Packard Enterprise Company</t>
        </is>
      </c>
      <c r="E40" s="8" t="n">
        <v>64.58</v>
      </c>
      <c r="F40" s="14" t="inlineStr">
        <is>
          <t>07-17 @ 43.70</t>
        </is>
      </c>
      <c r="G40" s="14" t="inlineStr">
        <is>
          <t>07-28 @ 43.30</t>
        </is>
      </c>
      <c r="H40" s="14" t="inlineStr">
        <is>
          <t>08-24 @ 51.30</t>
        </is>
      </c>
      <c r="I40" s="14" t="inlineStr">
        <is>
          <t>09-03 @ 45.70</t>
        </is>
      </c>
      <c r="J40" s="14" t="inlineStr">
        <is>
          <t>09-16 @ 55.02</t>
        </is>
      </c>
      <c r="K40" s="14" t="inlineStr"/>
      <c r="L40" s="14" t="inlineStr">
        <is>
          <t>08-27 @ 55.78</t>
        </is>
      </c>
      <c r="M40" s="14" t="inlineStr">
        <is>
          <t>09-11 @ 62.15</t>
        </is>
      </c>
      <c r="N40" s="14" t="inlineStr"/>
      <c r="O40" s="14" t="inlineStr"/>
    </row>
    <row r="41">
      <c r="A41" s="5" t="n">
        <v>1</v>
      </c>
      <c r="B41" s="5" t="n">
        <v>40</v>
      </c>
      <c r="C41" s="6" t="inlineStr">
        <is>
          <t>NGVC</t>
        </is>
      </c>
      <c r="D41" s="5" t="inlineStr">
        <is>
          <t>Natural Grocers by Vitamin Cottage Inc.</t>
        </is>
      </c>
      <c r="E41" s="8" t="n">
        <v>30.48</v>
      </c>
      <c r="F41" s="14" t="inlineStr">
        <is>
          <t>07-31 @ 31.31</t>
        </is>
      </c>
      <c r="G41" s="14" t="inlineStr">
        <is>
          <t>08-11 @ 26.02</t>
        </is>
      </c>
      <c r="H41" s="14" t="inlineStr">
        <is>
          <t>08-20 @ 26.79</t>
        </is>
      </c>
      <c r="I41" s="14" t="inlineStr">
        <is>
          <t>08-27 @ 26.89</t>
        </is>
      </c>
      <c r="J41" s="14" t="inlineStr">
        <is>
          <t>09-09 @ 26.50</t>
        </is>
      </c>
      <c r="K41" s="14" t="inlineStr">
        <is>
          <t>09-25 @ 29.48</t>
        </is>
      </c>
      <c r="L41" s="14" t="inlineStr">
        <is>
          <t>08-31 @ 28.57</t>
        </is>
      </c>
      <c r="M41" s="14" t="inlineStr">
        <is>
          <t>09-18 @ 31.61</t>
        </is>
      </c>
      <c r="N41" s="14" t="inlineStr"/>
      <c r="O41" s="14" t="inlineStr"/>
    </row>
    <row r="42">
      <c r="A42" s="5" t="n">
        <v>1</v>
      </c>
      <c r="B42" s="5" t="n">
        <v>41</v>
      </c>
      <c r="C42" s="6" t="inlineStr">
        <is>
          <t>PI</t>
        </is>
      </c>
      <c r="D42" s="5" t="inlineStr">
        <is>
          <t>Impinj Inc.</t>
        </is>
      </c>
      <c r="E42" s="8" t="n">
        <v>183.87</v>
      </c>
      <c r="F42" s="14" t="inlineStr">
        <is>
          <t>07-08 @ 134.04</t>
        </is>
      </c>
      <c r="G42" s="14" t="inlineStr">
        <is>
          <t>07-17 @ 133.00</t>
        </is>
      </c>
      <c r="H42" s="14" t="inlineStr">
        <is>
          <t>07-24 @ 124.49</t>
        </is>
      </c>
      <c r="I42" s="14" t="inlineStr">
        <is>
          <t>08-26 @ 156.96</t>
        </is>
      </c>
      <c r="J42" s="14" t="inlineStr">
        <is>
          <t>09-10 @ 161.17</t>
        </is>
      </c>
      <c r="K42" s="14" t="inlineStr">
        <is>
          <t>09-24 @ 172.40</t>
        </is>
      </c>
      <c r="L42" s="14" t="inlineStr">
        <is>
          <t>08-28 @ 179.55</t>
        </is>
      </c>
      <c r="M42" s="14" t="inlineStr">
        <is>
          <t>09-22 @ 186.66</t>
        </is>
      </c>
      <c r="N42" s="14" t="inlineStr"/>
      <c r="O42" s="14" t="inlineStr"/>
    </row>
    <row r="43">
      <c r="A43" s="5" t="n">
        <v>1</v>
      </c>
      <c r="B43" s="5" t="n">
        <v>42</v>
      </c>
      <c r="C43" s="6" t="inlineStr">
        <is>
          <t>CRWD</t>
        </is>
      </c>
      <c r="D43" s="5" t="inlineStr">
        <is>
          <t>CrowdStrike Holdings Inc.</t>
        </is>
      </c>
      <c r="E43" s="8" t="n">
        <v>266.09</v>
      </c>
      <c r="F43" s="14" t="inlineStr">
        <is>
          <t>07-28 @ 174.14</t>
        </is>
      </c>
      <c r="G43" s="14" t="inlineStr">
        <is>
          <t>08-26 @ 181.24</t>
        </is>
      </c>
      <c r="H43" s="14" t="inlineStr">
        <is>
          <t>09-02 @ 200.60</t>
        </is>
      </c>
      <c r="I43" s="14" t="inlineStr">
        <is>
          <t>09-10 @ 204.27</t>
        </is>
      </c>
      <c r="J43" s="14" t="inlineStr">
        <is>
          <t>09-21 @ 230.85</t>
        </is>
      </c>
      <c r="K43" s="14" t="inlineStr">
        <is>
          <t>09-28 @ 246.51</t>
        </is>
      </c>
      <c r="L43" s="14" t="inlineStr">
        <is>
          <t>08-31 @ 233.88</t>
        </is>
      </c>
      <c r="M43" s="14" t="inlineStr"/>
      <c r="N43" s="14" t="inlineStr"/>
      <c r="O43" s="14" t="inlineStr"/>
    </row>
    <row r="44">
      <c r="A44" s="5" t="n">
        <v>1</v>
      </c>
      <c r="B44" s="5" t="n">
        <v>43</v>
      </c>
      <c r="C44" s="6" t="inlineStr">
        <is>
          <t>NVDA</t>
        </is>
      </c>
      <c r="D44" s="5" t="inlineStr">
        <is>
          <t>NVIDIA Corporation</t>
        </is>
      </c>
      <c r="E44" s="8" t="n">
        <v>230.86</v>
      </c>
      <c r="F44" s="14" t="inlineStr">
        <is>
          <t>07-29 @ 190.01</t>
        </is>
      </c>
      <c r="G44" s="14" t="inlineStr">
        <is>
          <t>08-11 @ 216.20</t>
        </is>
      </c>
      <c r="H44" s="14" t="inlineStr">
        <is>
          <t>08-24 @ 207.25</t>
        </is>
      </c>
      <c r="I44" s="14" t="inlineStr">
        <is>
          <t>09-01 @ 215.10</t>
        </is>
      </c>
      <c r="J44" s="14" t="inlineStr">
        <is>
          <t>09-14 @ 208.93</t>
        </is>
      </c>
      <c r="K44" s="14" t="inlineStr">
        <is>
          <t>09-24 @ 221.09</t>
        </is>
      </c>
      <c r="L44" s="14" t="inlineStr">
        <is>
          <t>08-27 @ 230.47</t>
        </is>
      </c>
      <c r="M44" s="14" t="inlineStr">
        <is>
          <t>09-04 @ 234.76</t>
        </is>
      </c>
      <c r="N44" s="14" t="inlineStr">
        <is>
          <t>09-22 @ 229.98</t>
        </is>
      </c>
      <c r="O44" s="14" t="inlineStr">
        <is>
          <t>09-28 @ 233.21</t>
        </is>
      </c>
    </row>
    <row r="45">
      <c r="A45" s="5" t="n">
        <v>1</v>
      </c>
      <c r="B45" s="5" t="n">
        <v>44</v>
      </c>
      <c r="C45" s="6" t="inlineStr">
        <is>
          <t>FTRE</t>
        </is>
      </c>
      <c r="D45" s="5" t="inlineStr">
        <is>
          <t>Fortrea Holdings Inc.</t>
        </is>
      </c>
      <c r="E45" s="8" t="n">
        <v>19.4</v>
      </c>
      <c r="F45" s="14" t="inlineStr">
        <is>
          <t>08-07 @ 17.58</t>
        </is>
      </c>
      <c r="G45" s="14" t="inlineStr">
        <is>
          <t>08-14 @ 16.84</t>
        </is>
      </c>
      <c r="H45" s="14" t="inlineStr">
        <is>
          <t>08-24 @ 17.78</t>
        </is>
      </c>
      <c r="I45" s="14" t="inlineStr">
        <is>
          <t>09-01 @ 17.62</t>
        </is>
      </c>
      <c r="J45" s="14" t="inlineStr">
        <is>
          <t>09-10 @ 16.07</t>
        </is>
      </c>
      <c r="K45" s="14" t="inlineStr">
        <is>
          <t>09-24 @ 19.25</t>
        </is>
      </c>
      <c r="L45" s="14" t="inlineStr">
        <is>
          <t>08-27 @ 19.34</t>
        </is>
      </c>
      <c r="M45" s="14" t="inlineStr">
        <is>
          <t>09-17 @ 21.11</t>
        </is>
      </c>
      <c r="N45" s="14" t="inlineStr">
        <is>
          <t>09-28 @ 20.97</t>
        </is>
      </c>
      <c r="O45" s="14" t="inlineStr"/>
    </row>
    <row r="46">
      <c r="A46" s="5" t="n">
        <v>1</v>
      </c>
      <c r="B46" s="5" t="n">
        <v>45</v>
      </c>
      <c r="C46" s="6" t="inlineStr">
        <is>
          <t>LQDT</t>
        </is>
      </c>
      <c r="D46" s="5" t="inlineStr">
        <is>
          <t>Liquidity Services Inc.</t>
        </is>
      </c>
      <c r="E46" s="8" t="n">
        <v>43.64</v>
      </c>
      <c r="F46" s="14" t="inlineStr">
        <is>
          <t>07-08 @ 36.36</t>
        </is>
      </c>
      <c r="G46" s="14" t="inlineStr">
        <is>
          <t>07-24 @ 37.33</t>
        </is>
      </c>
      <c r="H46" s="14" t="inlineStr">
        <is>
          <t>08-05 @ 37.24</t>
        </is>
      </c>
      <c r="I46" s="14" t="inlineStr">
        <is>
          <t>09-01 @ 38.49</t>
        </is>
      </c>
      <c r="J46" s="14" t="inlineStr">
        <is>
          <t>09-18 @ 42.10</t>
        </is>
      </c>
      <c r="K46" s="14" t="inlineStr"/>
      <c r="L46" s="14" t="inlineStr">
        <is>
          <t>09-04 @ 42.30</t>
        </is>
      </c>
      <c r="M46" s="14" t="inlineStr">
        <is>
          <t>09-16 @ 43.79</t>
        </is>
      </c>
      <c r="N46" s="14" t="inlineStr">
        <is>
          <t>09-25 @ 43.98</t>
        </is>
      </c>
      <c r="O46" s="14" t="inlineStr"/>
    </row>
    <row r="47">
      <c r="A47" s="5" t="n">
        <v>1</v>
      </c>
      <c r="B47" s="5" t="n">
        <v>46</v>
      </c>
      <c r="C47" s="6" t="inlineStr">
        <is>
          <t>AMN</t>
        </is>
      </c>
      <c r="D47" s="5" t="inlineStr">
        <is>
          <t>AMN Healthcare Services Inc</t>
        </is>
      </c>
      <c r="E47" s="8" t="n">
        <v>35.86</v>
      </c>
      <c r="F47" s="14" t="inlineStr">
        <is>
          <t>07-24 @ 32.43</t>
        </is>
      </c>
      <c r="G47" s="14" t="inlineStr">
        <is>
          <t>08-06 @ 30.17</t>
        </is>
      </c>
      <c r="H47" s="14" t="inlineStr">
        <is>
          <t>08-26 @ 33.00</t>
        </is>
      </c>
      <c r="I47" s="14" t="inlineStr">
        <is>
          <t>09-03 @ 32.03</t>
        </is>
      </c>
      <c r="J47" s="14" t="inlineStr">
        <is>
          <t>09-10 @ 32.66</t>
        </is>
      </c>
      <c r="K47" s="14" t="inlineStr">
        <is>
          <t>09-24 @ 33.41</t>
        </is>
      </c>
      <c r="L47" s="14" t="inlineStr">
        <is>
          <t>08-28 @ 35.46</t>
        </is>
      </c>
      <c r="M47" s="14" t="inlineStr">
        <is>
          <t>09-10 @ 34.63</t>
        </is>
      </c>
      <c r="N47" s="14" t="inlineStr">
        <is>
          <t>09-16 @ 35.56</t>
        </is>
      </c>
      <c r="O47" s="14" t="inlineStr"/>
    </row>
    <row r="48">
      <c r="A48" s="5" t="n">
        <v>1</v>
      </c>
      <c r="B48" s="5" t="n">
        <v>47</v>
      </c>
      <c r="C48" s="6" t="inlineStr">
        <is>
          <t>CNXN</t>
        </is>
      </c>
      <c r="D48" s="5" t="inlineStr">
        <is>
          <t>PC Connection Inc.</t>
        </is>
      </c>
      <c r="E48" s="8" t="n">
        <v>92.56999999999999</v>
      </c>
      <c r="F48" s="14" t="inlineStr">
        <is>
          <t>07-15 @ 75.20</t>
        </is>
      </c>
      <c r="G48" s="14" t="inlineStr">
        <is>
          <t>07-31 @ 80.23</t>
        </is>
      </c>
      <c r="H48" s="14" t="inlineStr">
        <is>
          <t>08-25 @ 76.20</t>
        </is>
      </c>
      <c r="I48" s="14" t="inlineStr">
        <is>
          <t>09-01 @ 77.98</t>
        </is>
      </c>
      <c r="J48" s="14" t="inlineStr">
        <is>
          <t>09-18 @ 84.11</t>
        </is>
      </c>
      <c r="K48" s="14" t="inlineStr"/>
      <c r="L48" s="14" t="inlineStr">
        <is>
          <t>08-28 @ 82.14</t>
        </is>
      </c>
      <c r="M48" s="14" t="inlineStr">
        <is>
          <t>09-16 @ 88.35</t>
        </is>
      </c>
      <c r="N48" s="14" t="inlineStr"/>
      <c r="O48" s="14" t="inlineStr"/>
    </row>
    <row r="49">
      <c r="A49" s="5" t="n">
        <v>1</v>
      </c>
      <c r="B49" s="5" t="n">
        <v>48</v>
      </c>
      <c r="C49" s="6" t="inlineStr">
        <is>
          <t>GNE</t>
        </is>
      </c>
      <c r="D49" s="5" t="inlineStr">
        <is>
          <t>Genie Energy Ltd. Class B</t>
        </is>
      </c>
      <c r="E49" s="8" t="n">
        <v>16.42</v>
      </c>
      <c r="F49" s="14" t="inlineStr">
        <is>
          <t>07-09 @ 13.41</t>
        </is>
      </c>
      <c r="G49" s="14" t="inlineStr">
        <is>
          <t>07-17 @ 13.92</t>
        </is>
      </c>
      <c r="H49" s="14" t="inlineStr">
        <is>
          <t>08-10 @ 13.62</t>
        </is>
      </c>
      <c r="I49" s="14" t="inlineStr">
        <is>
          <t>08-21 @ 14.47</t>
        </is>
      </c>
      <c r="J49" s="14" t="inlineStr">
        <is>
          <t>08-31 @ 14.58</t>
        </is>
      </c>
      <c r="K49" s="14" t="inlineStr">
        <is>
          <t>09-25 @ 15.72</t>
        </is>
      </c>
      <c r="L49" s="14" t="inlineStr">
        <is>
          <t>09-17 @ 16.55</t>
        </is>
      </c>
      <c r="M49" s="14" t="inlineStr"/>
      <c r="N49" s="14" t="inlineStr"/>
      <c r="O49" s="14" t="inlineStr"/>
    </row>
    <row r="50">
      <c r="A50" s="5" t="n">
        <v>1</v>
      </c>
      <c r="B50" s="5" t="n">
        <v>49</v>
      </c>
      <c r="C50" s="6" t="inlineStr">
        <is>
          <t>CRUS</t>
        </is>
      </c>
      <c r="D50" s="5" t="inlineStr">
        <is>
          <t>Cirrus Logic Inc.</t>
        </is>
      </c>
      <c r="E50" s="8" t="n">
        <v>120.17</v>
      </c>
      <c r="F50" s="14" t="inlineStr">
        <is>
          <t>07-17 @ 134.02</t>
        </is>
      </c>
      <c r="G50" s="14" t="inlineStr">
        <is>
          <t>07-23 @ 131.63</t>
        </is>
      </c>
      <c r="H50" s="14" t="inlineStr">
        <is>
          <t>08-06 @ 119.85</t>
        </is>
      </c>
      <c r="I50" s="14" t="inlineStr">
        <is>
          <t>09-01 @ 106.26</t>
        </is>
      </c>
      <c r="J50" s="14" t="inlineStr">
        <is>
          <t>09-09 @ 108.21</t>
        </is>
      </c>
      <c r="K50" s="14" t="inlineStr">
        <is>
          <t>09-28 @ 116.94</t>
        </is>
      </c>
      <c r="L50" s="14" t="inlineStr">
        <is>
          <t>09-15 @ 124.75</t>
        </is>
      </c>
      <c r="M50" s="14" t="inlineStr"/>
      <c r="N50" s="14" t="inlineStr"/>
      <c r="O50" s="14" t="inlineStr"/>
    </row>
    <row r="51">
      <c r="A51" s="5" t="n">
        <v>1</v>
      </c>
      <c r="B51" s="5" t="n">
        <v>50</v>
      </c>
      <c r="C51" s="6" t="inlineStr">
        <is>
          <t>MAZE</t>
        </is>
      </c>
      <c r="D51" s="5" t="inlineStr">
        <is>
          <t>Maze Therapeutics Inc.</t>
        </is>
      </c>
      <c r="E51" s="8" t="n">
        <v>26.65</v>
      </c>
      <c r="F51" s="14" t="inlineStr">
        <is>
          <t>07-16 @ 26.37</t>
        </is>
      </c>
      <c r="G51" s="14" t="inlineStr">
        <is>
          <t>07-31 @ 25.85</t>
        </is>
      </c>
      <c r="H51" s="14" t="inlineStr">
        <is>
          <t>09-10 @ 23.94</t>
        </is>
      </c>
      <c r="I51" s="14" t="inlineStr">
        <is>
          <t>09-21 @ 21.95</t>
        </is>
      </c>
      <c r="J51" s="14" t="inlineStr">
        <is>
          <t>09-28 @ 24.84</t>
        </is>
      </c>
      <c r="K51" s="14" t="inlineStr"/>
      <c r="L51" s="14" t="inlineStr">
        <is>
          <t>09-23 @ 29.91</t>
        </is>
      </c>
      <c r="M51" s="14" t="inlineStr"/>
      <c r="N51" s="14" t="inlineStr"/>
      <c r="O51" s="14" t="inlineStr"/>
    </row>
    <row r="52">
      <c r="A52" s="5" t="n">
        <v>1</v>
      </c>
      <c r="B52" s="5" t="n">
        <v>51</v>
      </c>
      <c r="C52" s="6" t="inlineStr">
        <is>
          <t>KODK</t>
        </is>
      </c>
      <c r="D52" s="5" t="inlineStr">
        <is>
          <t>Eastman Kodak Company Common New</t>
        </is>
      </c>
      <c r="E52" s="8" t="n">
        <v>9.85</v>
      </c>
      <c r="F52" s="14" t="inlineStr">
        <is>
          <t>07-08 @ 7.96</t>
        </is>
      </c>
      <c r="G52" s="14" t="inlineStr">
        <is>
          <t>07-20 @ 7.47</t>
        </is>
      </c>
      <c r="H52" s="14" t="inlineStr">
        <is>
          <t>09-01 @ 8.71</t>
        </is>
      </c>
      <c r="I52" s="14" t="inlineStr">
        <is>
          <t>09-10 @ 8.85</t>
        </is>
      </c>
      <c r="J52" s="14" t="inlineStr">
        <is>
          <t>09-28 @ 9.36</t>
        </is>
      </c>
      <c r="K52" s="14" t="inlineStr"/>
      <c r="L52" s="14" t="inlineStr">
        <is>
          <t>09-21 @ 9.89</t>
        </is>
      </c>
      <c r="M52" s="14" t="inlineStr"/>
      <c r="N52" s="14" t="inlineStr"/>
      <c r="O52" s="14" t="inlineStr"/>
    </row>
    <row r="53">
      <c r="A53" s="5" t="n">
        <v>1</v>
      </c>
      <c r="B53" s="5" t="n">
        <v>52</v>
      </c>
      <c r="C53" s="6" t="inlineStr">
        <is>
          <t>NEU</t>
        </is>
      </c>
      <c r="D53" s="5" t="inlineStr">
        <is>
          <t>NewMarket Corp</t>
        </is>
      </c>
      <c r="E53" s="8" t="n">
        <v>921.14</v>
      </c>
      <c r="F53" s="14" t="inlineStr">
        <is>
          <t>07-15 @ 725.71</t>
        </is>
      </c>
      <c r="G53" s="14" t="inlineStr">
        <is>
          <t>07-23 @ 750.91</t>
        </is>
      </c>
      <c r="H53" s="14" t="inlineStr">
        <is>
          <t>09-09 @ 833.43</t>
        </is>
      </c>
      <c r="I53" s="14" t="inlineStr">
        <is>
          <t>09-22 @ 874.71</t>
        </is>
      </c>
      <c r="J53" s="14" t="inlineStr"/>
      <c r="K53" s="14" t="inlineStr"/>
      <c r="L53" s="14" t="inlineStr">
        <is>
          <t>09-18 @ 915.07</t>
        </is>
      </c>
      <c r="M53" s="14" t="inlineStr"/>
      <c r="N53" s="14" t="inlineStr"/>
      <c r="O53" s="14" t="inlineStr"/>
    </row>
    <row r="54">
      <c r="A54" s="5" t="n">
        <v>1</v>
      </c>
      <c r="B54" s="5" t="n">
        <v>53</v>
      </c>
      <c r="C54" s="6" t="inlineStr">
        <is>
          <t>EXEL</t>
        </is>
      </c>
      <c r="D54" s="5" t="inlineStr">
        <is>
          <t>Exelixis Inc.</t>
        </is>
      </c>
      <c r="E54" s="8" t="n">
        <v>57.94</v>
      </c>
      <c r="F54" s="14" t="inlineStr">
        <is>
          <t>07-15 @ 54.39</t>
        </is>
      </c>
      <c r="G54" s="14" t="inlineStr">
        <is>
          <t>07-23 @ 54.20</t>
        </is>
      </c>
      <c r="H54" s="14" t="inlineStr">
        <is>
          <t>08-13 @ 49.97</t>
        </is>
      </c>
      <c r="I54" s="14" t="inlineStr">
        <is>
          <t>08-31 @ 53.43</t>
        </is>
      </c>
      <c r="J54" s="14" t="inlineStr">
        <is>
          <t>09-11 @ 54.55</t>
        </is>
      </c>
      <c r="K54" s="14" t="inlineStr">
        <is>
          <t>09-23 @ 56.26</t>
        </is>
      </c>
      <c r="L54" s="14" t="inlineStr">
        <is>
          <t>09-03 @ 59.72</t>
        </is>
      </c>
      <c r="M54" s="14" t="inlineStr">
        <is>
          <t>09-18 @ 59.15</t>
        </is>
      </c>
      <c r="N54" s="14" t="inlineStr"/>
      <c r="O54" s="14" t="inlineStr"/>
    </row>
    <row r="55">
      <c r="A55" s="5" t="n">
        <v>1</v>
      </c>
      <c r="B55" s="5" t="n">
        <v>54</v>
      </c>
      <c r="C55" s="6" t="inlineStr">
        <is>
          <t>AZTA</t>
        </is>
      </c>
      <c r="D55" s="5" t="inlineStr">
        <is>
          <t>Azenta Inc.</t>
        </is>
      </c>
      <c r="E55" s="8" t="n">
        <v>34.48</v>
      </c>
      <c r="F55" s="14" t="inlineStr">
        <is>
          <t>07-21 @ 25.18</t>
        </is>
      </c>
      <c r="G55" s="14" t="inlineStr">
        <is>
          <t>08-17 @ 32.64</t>
        </is>
      </c>
      <c r="H55" s="14" t="inlineStr">
        <is>
          <t>08-24 @ 31.86</t>
        </is>
      </c>
      <c r="I55" s="14" t="inlineStr">
        <is>
          <t>09-01 @ 30.57</t>
        </is>
      </c>
      <c r="J55" s="14" t="inlineStr">
        <is>
          <t>09-10 @ 29.64</t>
        </is>
      </c>
      <c r="K55" s="14" t="inlineStr">
        <is>
          <t>09-28 @ 33.28</t>
        </is>
      </c>
      <c r="L55" s="14" t="inlineStr">
        <is>
          <t>09-23 @ 34.88</t>
        </is>
      </c>
      <c r="M55" s="14" t="inlineStr"/>
      <c r="N55" s="14" t="inlineStr"/>
      <c r="O55" s="14" t="inlineStr"/>
    </row>
    <row r="56">
      <c r="A56" s="5" t="n">
        <v>1</v>
      </c>
      <c r="B56" s="5" t="n">
        <v>55</v>
      </c>
      <c r="C56" s="6" t="inlineStr">
        <is>
          <t>SWBI</t>
        </is>
      </c>
      <c r="D56" s="5" t="inlineStr">
        <is>
          <t>Smith &amp; Wesson Brands Inc.</t>
        </is>
      </c>
      <c r="E56" s="8" t="n">
        <v>14.41</v>
      </c>
      <c r="F56" s="14" t="inlineStr">
        <is>
          <t>07-23 @ 14.40</t>
        </is>
      </c>
      <c r="G56" s="14" t="inlineStr">
        <is>
          <t>07-29 @ 14.41</t>
        </is>
      </c>
      <c r="H56" s="14" t="inlineStr">
        <is>
          <t>08-12 @ 14.08</t>
        </is>
      </c>
      <c r="I56" s="14" t="inlineStr">
        <is>
          <t>09-03 @ 12.09</t>
        </is>
      </c>
      <c r="J56" s="14" t="inlineStr">
        <is>
          <t>09-17 @ 12.90</t>
        </is>
      </c>
      <c r="K56" s="14" t="inlineStr"/>
      <c r="L56" s="14" t="inlineStr">
        <is>
          <t>09-04 @ 14.12</t>
        </is>
      </c>
      <c r="M56" s="14" t="inlineStr"/>
      <c r="N56" s="14" t="inlineStr"/>
      <c r="O56" s="14" t="inlineStr"/>
    </row>
    <row r="57">
      <c r="A57" s="5" t="n">
        <v>1</v>
      </c>
      <c r="B57" s="5" t="n">
        <v>56</v>
      </c>
      <c r="C57" s="6" t="inlineStr">
        <is>
          <t>CSTL</t>
        </is>
      </c>
      <c r="D57" s="5" t="inlineStr">
        <is>
          <t>Castle Biosciences Inc.</t>
        </is>
      </c>
      <c r="E57" s="8" t="n">
        <v>35.255</v>
      </c>
      <c r="F57" s="14" t="inlineStr">
        <is>
          <t>07-21 @ 23.25</t>
        </is>
      </c>
      <c r="G57" s="14" t="inlineStr">
        <is>
          <t>07-29 @ 23.73</t>
        </is>
      </c>
      <c r="H57" s="14" t="inlineStr">
        <is>
          <t>08-18 @ 28.72</t>
        </is>
      </c>
      <c r="I57" s="14" t="inlineStr">
        <is>
          <t>08-31 @ 32.36</t>
        </is>
      </c>
      <c r="J57" s="14" t="inlineStr">
        <is>
          <t>09-10 @ 31.44</t>
        </is>
      </c>
      <c r="K57" s="14" t="inlineStr">
        <is>
          <t>09-24 @ 33.90</t>
        </is>
      </c>
      <c r="L57" s="14" t="inlineStr">
        <is>
          <t>09-02 @ 34.73</t>
        </is>
      </c>
      <c r="M57" s="14" t="inlineStr">
        <is>
          <t>09-17 @ 36.85</t>
        </is>
      </c>
      <c r="N57" s="14" t="inlineStr"/>
      <c r="O57" s="14" t="inlineStr"/>
    </row>
    <row r="58">
      <c r="A58" s="5" t="n">
        <v>1</v>
      </c>
      <c r="B58" s="5" t="n">
        <v>57</v>
      </c>
      <c r="C58" s="6" t="inlineStr">
        <is>
          <t>PBYI</t>
        </is>
      </c>
      <c r="D58" s="5" t="inlineStr">
        <is>
          <t>Puma Biotechnology Inc</t>
        </is>
      </c>
      <c r="E58" s="8" t="n">
        <v>9.84</v>
      </c>
      <c r="F58" s="14" t="inlineStr">
        <is>
          <t>07-09 @ 7.67</t>
        </is>
      </c>
      <c r="G58" s="14" t="inlineStr">
        <is>
          <t>07-23 @ 7.61</t>
        </is>
      </c>
      <c r="H58" s="14" t="inlineStr">
        <is>
          <t>08-03 @ 7.41</t>
        </is>
      </c>
      <c r="I58" s="14" t="inlineStr">
        <is>
          <t>08-31 @ 8.78</t>
        </is>
      </c>
      <c r="J58" s="14" t="inlineStr">
        <is>
          <t>09-08 @ 8.85</t>
        </is>
      </c>
      <c r="K58" s="14" t="inlineStr">
        <is>
          <t>09-24 @ 9.02</t>
        </is>
      </c>
      <c r="L58" s="14" t="inlineStr">
        <is>
          <t>09-02 @ 9.74</t>
        </is>
      </c>
      <c r="M58" s="14" t="inlineStr">
        <is>
          <t>09-22 @ 9.98</t>
        </is>
      </c>
      <c r="N58" s="14" t="inlineStr"/>
      <c r="O58" s="14" t="inlineStr"/>
    </row>
    <row r="59">
      <c r="A59" s="5" t="n">
        <v>1</v>
      </c>
      <c r="B59" s="5" t="n">
        <v>58</v>
      </c>
      <c r="C59" s="6" t="inlineStr">
        <is>
          <t>HWKN</t>
        </is>
      </c>
      <c r="D59" s="5" t="inlineStr">
        <is>
          <t>Hawkins Inc.</t>
        </is>
      </c>
      <c r="E59" s="8" t="n">
        <v>127.19</v>
      </c>
      <c r="F59" s="14" t="inlineStr">
        <is>
          <t>07-13 @ 131.41</t>
        </is>
      </c>
      <c r="G59" s="14" t="inlineStr">
        <is>
          <t>07-24 @ 135.03</t>
        </is>
      </c>
      <c r="H59" s="14" t="inlineStr">
        <is>
          <t>07-31 @ 119.02</t>
        </is>
      </c>
      <c r="I59" s="14" t="inlineStr">
        <is>
          <t>08-27 @ 116.05</t>
        </is>
      </c>
      <c r="J59" s="14" t="inlineStr">
        <is>
          <t>09-15 @ 118.71</t>
        </is>
      </c>
      <c r="K59" s="14" t="inlineStr"/>
      <c r="L59" s="14" t="inlineStr">
        <is>
          <t>09-08 @ 130.52</t>
        </is>
      </c>
      <c r="M59" s="14" t="inlineStr">
        <is>
          <t>09-28 @ 129.99</t>
        </is>
      </c>
      <c r="N59" s="14" t="inlineStr"/>
      <c r="O59" s="14" t="inlineStr"/>
    </row>
    <row r="60">
      <c r="A60" s="5" t="n">
        <v>1</v>
      </c>
      <c r="B60" s="5" t="n">
        <v>59</v>
      </c>
      <c r="C60" s="6" t="inlineStr">
        <is>
          <t>S</t>
        </is>
      </c>
      <c r="D60" s="5" t="inlineStr">
        <is>
          <t>SentinelOne Inc.</t>
        </is>
      </c>
      <c r="E60" s="8" t="n">
        <v>24.67</v>
      </c>
      <c r="F60" s="14" t="inlineStr">
        <is>
          <t>07-09 @ 17.20</t>
        </is>
      </c>
      <c r="G60" s="14" t="inlineStr">
        <is>
          <t>07-23 @ 17.32</t>
        </is>
      </c>
      <c r="H60" s="14" t="inlineStr">
        <is>
          <t>08-26 @ 19.82</t>
        </is>
      </c>
      <c r="I60" s="14" t="inlineStr">
        <is>
          <t>09-08 @ 19.07</t>
        </is>
      </c>
      <c r="J60" s="14" t="inlineStr">
        <is>
          <t>09-28 @ 21.79</t>
        </is>
      </c>
      <c r="K60" s="14" t="inlineStr"/>
      <c r="L60" s="14" t="inlineStr">
        <is>
          <t>08-27 @ 22.95</t>
        </is>
      </c>
      <c r="M60" s="14" t="inlineStr">
        <is>
          <t>09-17 @ 24.25</t>
        </is>
      </c>
      <c r="N60" s="14" t="inlineStr">
        <is>
          <t>09-24 @ 24.40</t>
        </is>
      </c>
      <c r="O60" s="14" t="inlineStr"/>
    </row>
    <row r="61">
      <c r="A61" s="5" t="n">
        <v>1</v>
      </c>
      <c r="B61" s="5" t="n">
        <v>60</v>
      </c>
      <c r="C61" s="6" t="inlineStr">
        <is>
          <t>BRKR</t>
        </is>
      </c>
      <c r="D61" s="5" t="inlineStr">
        <is>
          <t>Bruker Corporation</t>
        </is>
      </c>
      <c r="E61" s="8" t="n">
        <v>61.94</v>
      </c>
      <c r="F61" s="14" t="inlineStr">
        <is>
          <t>07-21 @ 54.80</t>
        </is>
      </c>
      <c r="G61" s="14" t="inlineStr">
        <is>
          <t>08-05 @ 48.63</t>
        </is>
      </c>
      <c r="H61" s="14" t="inlineStr">
        <is>
          <t>08-25 @ 56.00</t>
        </is>
      </c>
      <c r="I61" s="14" t="inlineStr">
        <is>
          <t>09-01 @ 55.66</t>
        </is>
      </c>
      <c r="J61" s="14" t="inlineStr">
        <is>
          <t>09-14 @ 51.54</t>
        </is>
      </c>
      <c r="K61" s="14" t="inlineStr">
        <is>
          <t>09-24 @ 59.17</t>
        </is>
      </c>
      <c r="L61" s="14" t="inlineStr">
        <is>
          <t>08-27 @ 59.52</t>
        </is>
      </c>
      <c r="M61" s="14" t="inlineStr">
        <is>
          <t>09-03 @ 60.29</t>
        </is>
      </c>
      <c r="N61" s="14" t="inlineStr">
        <is>
          <t>09-17 @ 64.42</t>
        </is>
      </c>
      <c r="O61" s="14" t="inlineStr"/>
    </row>
    <row r="62">
      <c r="A62" s="5" t="n">
        <v>1</v>
      </c>
      <c r="B62" s="5" t="n">
        <v>61</v>
      </c>
      <c r="C62" s="6" t="inlineStr">
        <is>
          <t>BTGO</t>
        </is>
      </c>
      <c r="D62" s="5" t="inlineStr">
        <is>
          <t>BitGo Holdings Inc.</t>
        </is>
      </c>
      <c r="E62" s="8" t="n">
        <v>7.36</v>
      </c>
      <c r="F62" s="14" t="inlineStr">
        <is>
          <t>07-17 @ 4.71</t>
        </is>
      </c>
      <c r="G62" s="14" t="inlineStr">
        <is>
          <t>07-29 @ 4.68</t>
        </is>
      </c>
      <c r="H62" s="14" t="inlineStr">
        <is>
          <t>08-13 @ 4.65</t>
        </is>
      </c>
      <c r="I62" s="14" t="inlineStr">
        <is>
          <t>08-31 @ 6.60</t>
        </is>
      </c>
      <c r="J62" s="14" t="inlineStr">
        <is>
          <t>09-16 @ 6.19</t>
        </is>
      </c>
      <c r="K62" s="14" t="inlineStr">
        <is>
          <t>09-28 @ 7.10</t>
        </is>
      </c>
      <c r="L62" s="14" t="inlineStr">
        <is>
          <t>08-27 @ 7.42</t>
        </is>
      </c>
      <c r="M62" s="14" t="inlineStr">
        <is>
          <t>09-14 @ 7.95</t>
        </is>
      </c>
      <c r="N62" s="14" t="inlineStr">
        <is>
          <t>09-23 @ 8.35</t>
        </is>
      </c>
      <c r="O62" s="14" t="inlineStr"/>
    </row>
    <row r="63">
      <c r="A63" s="5" t="n">
        <v>1</v>
      </c>
      <c r="B63" s="5" t="n">
        <v>62</v>
      </c>
      <c r="C63" s="6" t="inlineStr">
        <is>
          <t>GFS</t>
        </is>
      </c>
      <c r="D63" s="5" t="inlineStr">
        <is>
          <t>GlobalFoundries Inc.</t>
        </is>
      </c>
      <c r="E63" s="8" t="n">
        <v>48.68</v>
      </c>
      <c r="F63" s="14" t="inlineStr">
        <is>
          <t>07-17 @ 55.17</t>
        </is>
      </c>
      <c r="G63" s="14" t="inlineStr">
        <is>
          <t>07-29 @ 46.39</t>
        </is>
      </c>
      <c r="H63" s="14" t="inlineStr">
        <is>
          <t>08-06 @ 47.55</t>
        </is>
      </c>
      <c r="I63" s="14" t="inlineStr">
        <is>
          <t>09-03 @ 42.70</t>
        </is>
      </c>
      <c r="J63" s="14" t="inlineStr">
        <is>
          <t>09-15 @ 42.15</t>
        </is>
      </c>
      <c r="K63" s="14" t="inlineStr">
        <is>
          <t>09-24 @ 45.39</t>
        </is>
      </c>
      <c r="L63" s="14" t="inlineStr">
        <is>
          <t>09-11 @ 47.33</t>
        </is>
      </c>
      <c r="M63" s="14" t="inlineStr">
        <is>
          <t>09-25 @ 49.42</t>
        </is>
      </c>
      <c r="N63" s="14" t="inlineStr"/>
      <c r="O63" s="14" t="inlineStr"/>
    </row>
    <row r="64">
      <c r="A64" s="5" t="n">
        <v>1</v>
      </c>
      <c r="B64" s="5" t="n">
        <v>63</v>
      </c>
      <c r="C64" s="6" t="inlineStr">
        <is>
          <t>EGBN</t>
        </is>
      </c>
      <c r="D64" s="5" t="inlineStr">
        <is>
          <t>Eagle Bancorp Inc.</t>
        </is>
      </c>
      <c r="E64" s="8" t="n">
        <v>28.21</v>
      </c>
      <c r="F64" s="14" t="inlineStr">
        <is>
          <t>07-23 @ 24.04</t>
        </is>
      </c>
      <c r="G64" s="14" t="inlineStr">
        <is>
          <t>07-31 @ 27.18</t>
        </is>
      </c>
      <c r="H64" s="14" t="inlineStr">
        <is>
          <t>08-10 @ 27.48</t>
        </is>
      </c>
      <c r="I64" s="14" t="inlineStr">
        <is>
          <t>08-20 @ 27.35</t>
        </is>
      </c>
      <c r="J64" s="14" t="inlineStr">
        <is>
          <t>09-01 @ 26.52</t>
        </is>
      </c>
      <c r="K64" s="14" t="inlineStr">
        <is>
          <t>09-10 @ 27.12</t>
        </is>
      </c>
      <c r="L64" s="14" t="inlineStr">
        <is>
          <t>09-04 @ 28.26</t>
        </is>
      </c>
      <c r="M64" s="14" t="inlineStr">
        <is>
          <t>09-17 @ 28.76</t>
        </is>
      </c>
      <c r="N64" s="14" t="inlineStr">
        <is>
          <t>09-25 @ 28.99</t>
        </is>
      </c>
      <c r="O64" s="14" t="inlineStr"/>
    </row>
    <row r="65">
      <c r="A65" s="5" t="n">
        <v>1</v>
      </c>
      <c r="B65" s="5" t="n">
        <v>64</v>
      </c>
      <c r="C65" s="6" t="inlineStr">
        <is>
          <t>DJCO</t>
        </is>
      </c>
      <c r="D65" s="5" t="inlineStr">
        <is>
          <t>Daily Journal Corp. (S.C.)</t>
        </is>
      </c>
      <c r="E65" s="8" t="n">
        <v>653.04</v>
      </c>
      <c r="F65" s="14" t="inlineStr">
        <is>
          <t>07-08 @ 548.98</t>
        </is>
      </c>
      <c r="G65" s="14" t="inlineStr">
        <is>
          <t>07-23 @ 559.29</t>
        </is>
      </c>
      <c r="H65" s="14" t="inlineStr">
        <is>
          <t>08-13 @ 534.89</t>
        </is>
      </c>
      <c r="I65" s="14" t="inlineStr">
        <is>
          <t>09-02 @ 594.83</t>
        </is>
      </c>
      <c r="J65" s="14" t="inlineStr">
        <is>
          <t>09-22 @ 640.05</t>
        </is>
      </c>
      <c r="K65" s="14" t="inlineStr"/>
      <c r="L65" s="14" t="inlineStr">
        <is>
          <t>08-27 @ 651.66</t>
        </is>
      </c>
      <c r="M65" s="14" t="inlineStr">
        <is>
          <t>09-16 @ 692.50</t>
        </is>
      </c>
      <c r="N65" s="14" t="inlineStr"/>
      <c r="O65" s="14" t="inlineStr"/>
    </row>
    <row r="66">
      <c r="A66" s="5" t="n">
        <v>1</v>
      </c>
      <c r="B66" s="5" t="n">
        <v>65</v>
      </c>
      <c r="C66" s="6" t="inlineStr">
        <is>
          <t>XMTR</t>
        </is>
      </c>
      <c r="D66" s="5" t="inlineStr">
        <is>
          <t>Xometry Inc.</t>
        </is>
      </c>
      <c r="E66" s="8" t="n">
        <v>104.23</v>
      </c>
      <c r="F66" s="14" t="inlineStr">
        <is>
          <t>07-17 @ 91.79</t>
        </is>
      </c>
      <c r="G66" s="14" t="inlineStr">
        <is>
          <t>07-29 @ 80.64</t>
        </is>
      </c>
      <c r="H66" s="14" t="inlineStr">
        <is>
          <t>08-21 @ 81.29</t>
        </is>
      </c>
      <c r="I66" s="14" t="inlineStr">
        <is>
          <t>09-01 @ 89.26</t>
        </is>
      </c>
      <c r="J66" s="14" t="inlineStr">
        <is>
          <t>09-09 @ 83.00</t>
        </is>
      </c>
      <c r="K66" s="14" t="inlineStr">
        <is>
          <t>09-24 @ 96.16</t>
        </is>
      </c>
      <c r="L66" s="14" t="inlineStr">
        <is>
          <t>08-27 @ 98.71</t>
        </is>
      </c>
      <c r="M66" s="14" t="inlineStr">
        <is>
          <t>09-08 @ 95.38</t>
        </is>
      </c>
      <c r="N66" s="14" t="inlineStr">
        <is>
          <t>09-24 @ 107.93</t>
        </is>
      </c>
      <c r="O66" s="14" t="inlineStr"/>
    </row>
    <row r="67">
      <c r="A67" s="5" t="n">
        <v>1</v>
      </c>
      <c r="B67" s="5" t="n">
        <v>66</v>
      </c>
      <c r="C67" s="6" t="inlineStr">
        <is>
          <t>QLYS</t>
        </is>
      </c>
      <c r="D67" s="5" t="inlineStr">
        <is>
          <t>Qualys Inc.</t>
        </is>
      </c>
      <c r="E67" s="8" t="n">
        <v>187.43</v>
      </c>
      <c r="F67" s="14" t="inlineStr">
        <is>
          <t>07-09 @ 148.01</t>
        </is>
      </c>
      <c r="G67" s="14" t="inlineStr">
        <is>
          <t>07-30 @ 131.00</t>
        </is>
      </c>
      <c r="H67" s="14" t="inlineStr">
        <is>
          <t>08-17 @ 178.26</t>
        </is>
      </c>
      <c r="I67" s="14" t="inlineStr">
        <is>
          <t>08-26 @ 172.75</t>
        </is>
      </c>
      <c r="J67" s="14" t="inlineStr">
        <is>
          <t>09-11 @ 149.13</t>
        </is>
      </c>
      <c r="K67" s="14" t="inlineStr">
        <is>
          <t>09-28 @ 168.06</t>
        </is>
      </c>
      <c r="L67" s="14" t="inlineStr">
        <is>
          <t>08-27 @ 190.99</t>
        </is>
      </c>
      <c r="M67" s="14" t="inlineStr">
        <is>
          <t>09-15 @ 187.00</t>
        </is>
      </c>
      <c r="N67" s="14" t="inlineStr">
        <is>
          <t>09-24 @ 190.00</t>
        </is>
      </c>
      <c r="O67" s="14" t="inlineStr"/>
    </row>
    <row r="68">
      <c r="A68" s="5" t="n">
        <v>1</v>
      </c>
      <c r="B68" s="5" t="n">
        <v>67</v>
      </c>
      <c r="C68" s="6" t="inlineStr">
        <is>
          <t>BWIN</t>
        </is>
      </c>
      <c r="D68" s="5" t="inlineStr">
        <is>
          <t>The Baldwin Insurance Group Inc.</t>
        </is>
      </c>
      <c r="E68" s="8" t="n">
        <v>31.77</v>
      </c>
      <c r="F68" s="14" t="inlineStr">
        <is>
          <t>07-09 @ 25.55</t>
        </is>
      </c>
      <c r="G68" s="14" t="inlineStr">
        <is>
          <t>07-15 @ 25.58</t>
        </is>
      </c>
      <c r="H68" s="14" t="inlineStr">
        <is>
          <t>07-23 @ 24.66</t>
        </is>
      </c>
      <c r="I68" s="14" t="inlineStr">
        <is>
          <t>08-27 @ 29.86</t>
        </is>
      </c>
      <c r="J68" s="14" t="inlineStr">
        <is>
          <t>09-09 @ 27.74</t>
        </is>
      </c>
      <c r="K68" s="14" t="inlineStr">
        <is>
          <t>09-24 @ 31.70</t>
        </is>
      </c>
      <c r="L68" s="14" t="inlineStr">
        <is>
          <t>09-03 @ 31.90</t>
        </is>
      </c>
      <c r="M68" s="14" t="inlineStr">
        <is>
          <t>09-15 @ 32.70</t>
        </is>
      </c>
      <c r="N68" s="14" t="inlineStr"/>
      <c r="O68" s="14" t="inlineStr"/>
    </row>
    <row r="69">
      <c r="A69" s="5" t="n">
        <v>1</v>
      </c>
      <c r="B69" s="5" t="n">
        <v>68</v>
      </c>
      <c r="C69" s="6" t="inlineStr">
        <is>
          <t>CAT</t>
        </is>
      </c>
      <c r="D69" s="5" t="inlineStr">
        <is>
          <t>Caterpillar Inc.</t>
        </is>
      </c>
      <c r="E69" s="8" t="n">
        <v>826.35</v>
      </c>
      <c r="F69" s="14" t="inlineStr">
        <is>
          <t>07-29 @ 776.00</t>
        </is>
      </c>
      <c r="G69" s="14" t="inlineStr">
        <is>
          <t>08-10 @ 835.86</t>
        </is>
      </c>
      <c r="H69" s="14" t="inlineStr">
        <is>
          <t>08-20 @ 801.00</t>
        </is>
      </c>
      <c r="I69" s="14" t="inlineStr">
        <is>
          <t>09-02 @ 771.39</t>
        </is>
      </c>
      <c r="J69" s="14" t="inlineStr">
        <is>
          <t>09-14 @ 772.86</t>
        </is>
      </c>
      <c r="K69" s="14" t="inlineStr">
        <is>
          <t>09-24 @ 794.20</t>
        </is>
      </c>
      <c r="L69" s="14" t="inlineStr">
        <is>
          <t>09-08 @ 830.50</t>
        </is>
      </c>
      <c r="M69" s="14" t="inlineStr">
        <is>
          <t>09-21 @ 827.81</t>
        </is>
      </c>
      <c r="N69" s="14" t="inlineStr"/>
      <c r="O69" s="14" t="inlineStr"/>
    </row>
    <row r="70">
      <c r="A70" s="5" t="n">
        <v>1</v>
      </c>
      <c r="B70" s="5" t="n">
        <v>69</v>
      </c>
      <c r="C70" s="6" t="inlineStr">
        <is>
          <t>CRVL</t>
        </is>
      </c>
      <c r="D70" s="5" t="inlineStr">
        <is>
          <t>CorVel Corp.</t>
        </is>
      </c>
      <c r="E70" s="8" t="n">
        <v>74.72</v>
      </c>
      <c r="F70" s="14" t="inlineStr">
        <is>
          <t>07-22 @ 58.49</t>
        </is>
      </c>
      <c r="G70" s="14" t="inlineStr">
        <is>
          <t>08-05 @ 58.70</t>
        </is>
      </c>
      <c r="H70" s="14" t="inlineStr">
        <is>
          <t>08-12 @ 59.76</t>
        </is>
      </c>
      <c r="I70" s="14" t="inlineStr">
        <is>
          <t>08-26 @ 68.05</t>
        </is>
      </c>
      <c r="J70" s="14" t="inlineStr">
        <is>
          <t>09-09 @ 65.18</t>
        </is>
      </c>
      <c r="K70" s="14" t="inlineStr">
        <is>
          <t>09-18 @ 69.15</t>
        </is>
      </c>
      <c r="L70" s="14" t="inlineStr">
        <is>
          <t>09-02 @ 71.33</t>
        </is>
      </c>
      <c r="M70" s="14" t="inlineStr">
        <is>
          <t>09-15 @ 73.00</t>
        </is>
      </c>
      <c r="N70" s="14" t="inlineStr"/>
      <c r="O70" s="14" t="inlineStr"/>
    </row>
    <row r="71">
      <c r="A71" s="5" t="n">
        <v>1</v>
      </c>
      <c r="B71" s="5" t="n">
        <v>70</v>
      </c>
      <c r="C71" s="6" t="inlineStr">
        <is>
          <t>UTMD</t>
        </is>
      </c>
      <c r="D71" s="5" t="inlineStr">
        <is>
          <t>Utah Medical Products Inc.</t>
        </is>
      </c>
      <c r="E71" s="8" t="n">
        <v>74.34999999999999</v>
      </c>
      <c r="F71" s="14" t="inlineStr">
        <is>
          <t>08-05 @ 68.15</t>
        </is>
      </c>
      <c r="G71" s="14" t="inlineStr">
        <is>
          <t>08-17 @ 70.02</t>
        </is>
      </c>
      <c r="H71" s="14" t="inlineStr">
        <is>
          <t>08-21 @ 69.71</t>
        </is>
      </c>
      <c r="I71" s="14" t="inlineStr">
        <is>
          <t>09-08 @ 68.46</t>
        </is>
      </c>
      <c r="J71" s="14" t="inlineStr">
        <is>
          <t>09-21 @ 73.70</t>
        </is>
      </c>
      <c r="K71" s="14" t="inlineStr">
        <is>
          <t>09-28 @ 73.75</t>
        </is>
      </c>
      <c r="L71" s="14" t="inlineStr">
        <is>
          <t>08-28 @ 73.34</t>
        </is>
      </c>
      <c r="M71" s="14" t="inlineStr">
        <is>
          <t>09-22 @ 76.89</t>
        </is>
      </c>
      <c r="N71" s="14" t="inlineStr"/>
      <c r="O71" s="14" t="inlineStr"/>
    </row>
    <row r="72">
      <c r="A72" s="5" t="n">
        <v>1</v>
      </c>
      <c r="B72" s="5" t="n">
        <v>71</v>
      </c>
      <c r="C72" s="6" t="inlineStr">
        <is>
          <t>WAT</t>
        </is>
      </c>
      <c r="D72" s="5" t="inlineStr">
        <is>
          <t>Waters Corporation</t>
        </is>
      </c>
      <c r="E72" s="8" t="n">
        <v>425.53</v>
      </c>
      <c r="F72" s="14" t="inlineStr">
        <is>
          <t>07-08 @ 367.06</t>
        </is>
      </c>
      <c r="G72" s="14" t="inlineStr">
        <is>
          <t>07-21 @ 345.21</t>
        </is>
      </c>
      <c r="H72" s="14" t="inlineStr">
        <is>
          <t>08-21 @ 396.00</t>
        </is>
      </c>
      <c r="I72" s="14" t="inlineStr">
        <is>
          <t>09-10 @ 392.95</t>
        </is>
      </c>
      <c r="J72" s="14" t="inlineStr">
        <is>
          <t>09-24 @ 418.00</t>
        </is>
      </c>
      <c r="K72" s="14" t="inlineStr"/>
      <c r="L72" s="14" t="inlineStr">
        <is>
          <t>08-27 @ 426.22</t>
        </is>
      </c>
      <c r="M72" s="14" t="inlineStr"/>
      <c r="N72" s="14" t="inlineStr"/>
      <c r="O72" s="14" t="inlineStr"/>
    </row>
    <row r="73">
      <c r="A73" s="5" t="n">
        <v>1</v>
      </c>
      <c r="B73" s="5" t="n">
        <v>72</v>
      </c>
      <c r="C73" s="6" t="inlineStr">
        <is>
          <t>PWR</t>
        </is>
      </c>
      <c r="D73" s="5" t="inlineStr">
        <is>
          <t>Quanta Services Inc.</t>
        </is>
      </c>
      <c r="E73" s="8" t="n">
        <v>662.6</v>
      </c>
      <c r="F73" s="14" t="inlineStr">
        <is>
          <t>07-29 @ 554.12</t>
        </is>
      </c>
      <c r="G73" s="14" t="inlineStr">
        <is>
          <t>08-07 @ 657.46</t>
        </is>
      </c>
      <c r="H73" s="14" t="inlineStr">
        <is>
          <t>08-25 @ 600.38</t>
        </is>
      </c>
      <c r="I73" s="14" t="inlineStr">
        <is>
          <t>09-01 @ 593.70</t>
        </is>
      </c>
      <c r="J73" s="14" t="inlineStr">
        <is>
          <t>09-17 @ 607.45</t>
        </is>
      </c>
      <c r="K73" s="14" t="inlineStr">
        <is>
          <t>09-24 @ 626.41</t>
        </is>
      </c>
      <c r="L73" s="14" t="inlineStr">
        <is>
          <t>09-11 @ 653.87</t>
        </is>
      </c>
      <c r="M73" s="14" t="inlineStr"/>
      <c r="N73" s="14" t="inlineStr"/>
      <c r="O73" s="14" t="inlineStr"/>
    </row>
    <row r="74">
      <c r="A74" s="5" t="n">
        <v>1</v>
      </c>
      <c r="B74" s="5" t="n">
        <v>73</v>
      </c>
      <c r="C74" s="6" t="inlineStr">
        <is>
          <t>M</t>
        </is>
      </c>
      <c r="D74" s="5" t="inlineStr">
        <is>
          <t>Macy's Inc</t>
        </is>
      </c>
      <c r="E74" s="8" t="n">
        <v>22.76</v>
      </c>
      <c r="F74" s="14" t="inlineStr">
        <is>
          <t>07-10 @ 22.32</t>
        </is>
      </c>
      <c r="G74" s="14" t="inlineStr">
        <is>
          <t>07-24 @ 22.85</t>
        </is>
      </c>
      <c r="H74" s="14" t="inlineStr">
        <is>
          <t>08-31 @ 21.66</t>
        </is>
      </c>
      <c r="I74" s="14" t="inlineStr">
        <is>
          <t>09-10 @ 19.77</t>
        </is>
      </c>
      <c r="J74" s="14" t="inlineStr">
        <is>
          <t>09-18 @ 21.54</t>
        </is>
      </c>
      <c r="K74" s="14" t="inlineStr">
        <is>
          <t>09-28 @ 22.13</t>
        </is>
      </c>
      <c r="L74" s="14" t="inlineStr">
        <is>
          <t>09-08 @ 23.38</t>
        </is>
      </c>
      <c r="M74" s="14" t="inlineStr">
        <is>
          <t>09-14 @ 23.18</t>
        </is>
      </c>
      <c r="N74" s="14" t="inlineStr">
        <is>
          <t>09-23 @ 23.22</t>
        </is>
      </c>
      <c r="O74" s="14" t="inlineStr"/>
    </row>
    <row r="75">
      <c r="A75" s="5" t="n">
        <v>1</v>
      </c>
      <c r="B75" s="5" t="n">
        <v>74</v>
      </c>
      <c r="C75" s="6" t="inlineStr">
        <is>
          <t>ITGR</t>
        </is>
      </c>
      <c r="D75" s="5" t="inlineStr">
        <is>
          <t>Integer Holdings Corporation</t>
        </is>
      </c>
      <c r="E75" s="8" t="n">
        <v>126.42</v>
      </c>
      <c r="F75" s="14" t="inlineStr">
        <is>
          <t>07-09 @ 90.23</t>
        </is>
      </c>
      <c r="G75" s="14" t="inlineStr">
        <is>
          <t>07-21 @ 94.91</t>
        </is>
      </c>
      <c r="H75" s="14" t="inlineStr">
        <is>
          <t>08-24 @ 124.84</t>
        </is>
      </c>
      <c r="I75" s="14" t="inlineStr">
        <is>
          <t>09-24 @ 126.16</t>
        </is>
      </c>
      <c r="J75" s="14" t="inlineStr"/>
      <c r="K75" s="14" t="inlineStr"/>
      <c r="L75" s="14" t="inlineStr">
        <is>
          <t>09-04 @ 126.80</t>
        </is>
      </c>
      <c r="M75" s="14" t="inlineStr">
        <is>
          <t>09-17 @ 126.54</t>
        </is>
      </c>
      <c r="N75" s="14" t="inlineStr"/>
      <c r="O75" s="14" t="inlineStr"/>
    </row>
    <row r="76">
      <c r="A76" s="5" t="n">
        <v>1</v>
      </c>
      <c r="B76" s="5" t="n">
        <v>75</v>
      </c>
      <c r="C76" s="6" t="inlineStr">
        <is>
          <t>GSAT</t>
        </is>
      </c>
      <c r="D76" s="5" t="inlineStr">
        <is>
          <t>Globalstar Inc.</t>
        </is>
      </c>
      <c r="E76" s="8" t="n">
        <v>82.88</v>
      </c>
      <c r="F76" s="14" t="inlineStr">
        <is>
          <t>08-07 @ 82.84</t>
        </is>
      </c>
      <c r="G76" s="14" t="inlineStr">
        <is>
          <t>08-14 @ 81.84</t>
        </is>
      </c>
      <c r="H76" s="14" t="inlineStr">
        <is>
          <t>09-01 @ 81.02</t>
        </is>
      </c>
      <c r="I76" s="14" t="inlineStr">
        <is>
          <t>09-10 @ 81.21</t>
        </is>
      </c>
      <c r="J76" s="14" t="inlineStr">
        <is>
          <t>09-16 @ 81.55</t>
        </is>
      </c>
      <c r="K76" s="14" t="inlineStr">
        <is>
          <t>09-23 @ 81.95</t>
        </is>
      </c>
      <c r="L76" s="14" t="inlineStr">
        <is>
          <t>09-04 @ 82.42</t>
        </is>
      </c>
      <c r="M76" s="14" t="inlineStr">
        <is>
          <t>09-11 @ 82.69</t>
        </is>
      </c>
      <c r="N76" s="14" t="inlineStr">
        <is>
          <t>09-21 @ 83.17</t>
        </is>
      </c>
      <c r="O76" s="14" t="inlineStr"/>
    </row>
    <row r="77">
      <c r="A77" s="5" t="n">
        <v>1</v>
      </c>
      <c r="B77" s="5" t="n">
        <v>76</v>
      </c>
      <c r="C77" s="6" t="inlineStr">
        <is>
          <t>TH</t>
        </is>
      </c>
      <c r="D77" s="5" t="inlineStr">
        <is>
          <t>Target Hospitality Corp.</t>
        </is>
      </c>
      <c r="E77" s="8" t="n">
        <v>20.48</v>
      </c>
      <c r="F77" s="14" t="inlineStr">
        <is>
          <t>07-31 @ 14.08</t>
        </is>
      </c>
      <c r="G77" s="14" t="inlineStr">
        <is>
          <t>08-10 @ 15.02</t>
        </is>
      </c>
      <c r="H77" s="14" t="inlineStr">
        <is>
          <t>08-20 @ 16.88</t>
        </is>
      </c>
      <c r="I77" s="14" t="inlineStr">
        <is>
          <t>08-26 @ 16.70</t>
        </is>
      </c>
      <c r="J77" s="14" t="inlineStr">
        <is>
          <t>09-14 @ 18.43</t>
        </is>
      </c>
      <c r="K77" s="14" t="inlineStr">
        <is>
          <t>09-28 @ 18.94</t>
        </is>
      </c>
      <c r="L77" s="14" t="inlineStr">
        <is>
          <t>08-28 @ 19.65</t>
        </is>
      </c>
      <c r="M77" s="14" t="inlineStr">
        <is>
          <t>09-08 @ 20.47</t>
        </is>
      </c>
      <c r="N77" s="14" t="inlineStr">
        <is>
          <t>09-24 @ 21.76</t>
        </is>
      </c>
      <c r="O77" s="14" t="inlineStr"/>
    </row>
    <row r="78">
      <c r="A78" s="5" t="n">
        <v>1</v>
      </c>
      <c r="B78" s="5" t="n">
        <v>77</v>
      </c>
      <c r="C78" s="6" t="inlineStr">
        <is>
          <t>CLDT</t>
        </is>
      </c>
      <c r="D78" s="5" t="inlineStr">
        <is>
          <t>Chatham Lodging Trust (REIT)</t>
        </is>
      </c>
      <c r="E78" s="8" t="n">
        <v>13.56</v>
      </c>
      <c r="F78" s="14" t="inlineStr">
        <is>
          <t>07-08 @ 12.41</t>
        </is>
      </c>
      <c r="G78" s="14" t="inlineStr">
        <is>
          <t>07-23 @ 13.08</t>
        </is>
      </c>
      <c r="H78" s="14" t="inlineStr">
        <is>
          <t>07-30 @ 13.09</t>
        </is>
      </c>
      <c r="I78" s="14" t="inlineStr">
        <is>
          <t>08-10 @ 12.19</t>
        </is>
      </c>
      <c r="J78" s="14" t="inlineStr">
        <is>
          <t>09-09 @ 12.53</t>
        </is>
      </c>
      <c r="K78" s="14" t="inlineStr">
        <is>
          <t>09-16 @ 12.64</t>
        </is>
      </c>
      <c r="L78" s="14" t="inlineStr">
        <is>
          <t>09-16 @ 13.23</t>
        </is>
      </c>
      <c r="M78" s="14" t="inlineStr"/>
      <c r="N78" s="14" t="inlineStr"/>
      <c r="O78" s="14" t="inlineStr"/>
    </row>
    <row r="79">
      <c r="A79" s="5" t="n">
        <v>1</v>
      </c>
      <c r="B79" s="5" t="n">
        <v>78</v>
      </c>
      <c r="C79" s="6" t="inlineStr">
        <is>
          <t>AMBA</t>
        </is>
      </c>
      <c r="D79" s="5" t="inlineStr">
        <is>
          <t>Ambarella Inc.</t>
        </is>
      </c>
      <c r="E79" s="8" t="n">
        <v>70.3</v>
      </c>
      <c r="F79" s="14" t="inlineStr">
        <is>
          <t>07-17 @ 59.35</t>
        </is>
      </c>
      <c r="G79" s="14" t="inlineStr">
        <is>
          <t>07-27 @ 63.15</t>
        </is>
      </c>
      <c r="H79" s="14" t="inlineStr">
        <is>
          <t>09-04 @ 58.12</t>
        </is>
      </c>
      <c r="I79" s="14" t="inlineStr">
        <is>
          <t>09-16 @ 61.91</t>
        </is>
      </c>
      <c r="J79" s="14" t="inlineStr">
        <is>
          <t>09-23 @ 63.65</t>
        </is>
      </c>
      <c r="K79" s="14" t="inlineStr"/>
      <c r="L79" s="14" t="inlineStr">
        <is>
          <t>08-31 @ 72.40</t>
        </is>
      </c>
      <c r="M79" s="14" t="inlineStr">
        <is>
          <t>09-09 @ 71.24</t>
        </is>
      </c>
      <c r="N79" s="14" t="inlineStr">
        <is>
          <t>09-25 @ 74.99</t>
        </is>
      </c>
      <c r="O79" s="14" t="inlineStr"/>
    </row>
    <row r="80">
      <c r="A80" s="5" t="n">
        <v>1</v>
      </c>
      <c r="B80" s="5" t="n">
        <v>79</v>
      </c>
      <c r="C80" s="6" t="inlineStr">
        <is>
          <t>SMTI</t>
        </is>
      </c>
      <c r="D80" s="5" t="inlineStr">
        <is>
          <t>Sanara MedTech Inc.</t>
        </is>
      </c>
      <c r="E80" s="8" t="n">
        <v>34.88</v>
      </c>
      <c r="F80" s="14" t="inlineStr">
        <is>
          <t>07-14 @ 23.00</t>
        </is>
      </c>
      <c r="G80" s="14" t="inlineStr">
        <is>
          <t>08-10 @ 33.68</t>
        </is>
      </c>
      <c r="H80" s="14" t="inlineStr">
        <is>
          <t>08-18 @ 33.99</t>
        </is>
      </c>
      <c r="I80" s="14" t="inlineStr">
        <is>
          <t>09-04 @ 34.62</t>
        </is>
      </c>
      <c r="J80" s="14" t="inlineStr">
        <is>
          <t>09-15 @ 34.71</t>
        </is>
      </c>
      <c r="K80" s="14" t="inlineStr">
        <is>
          <t>09-25 @ 34.97</t>
        </is>
      </c>
      <c r="L80" s="14" t="inlineStr">
        <is>
          <t>09-11 @ 35.24</t>
        </is>
      </c>
      <c r="M80" s="14" t="inlineStr">
        <is>
          <t>09-22 @ 35.34</t>
        </is>
      </c>
      <c r="N80" s="14" t="inlineStr"/>
      <c r="O80" s="14" t="inlineStr"/>
    </row>
    <row r="81">
      <c r="A81" s="5" t="n">
        <v>1</v>
      </c>
      <c r="B81" s="5" t="n">
        <v>80</v>
      </c>
      <c r="C81" s="6" t="inlineStr">
        <is>
          <t>FAST</t>
        </is>
      </c>
      <c r="D81" s="5" t="inlineStr">
        <is>
          <t>Fastenal Company</t>
        </is>
      </c>
      <c r="E81" s="8" t="n">
        <v>50.23</v>
      </c>
      <c r="F81" s="14" t="inlineStr">
        <is>
          <t>07-21 @ 44.06</t>
        </is>
      </c>
      <c r="G81" s="14" t="inlineStr">
        <is>
          <t>07-30 @ 46.35</t>
        </is>
      </c>
      <c r="H81" s="14" t="inlineStr">
        <is>
          <t>08-14 @ 50.70</t>
        </is>
      </c>
      <c r="I81" s="14" t="inlineStr">
        <is>
          <t>09-02 @ 47.65</t>
        </is>
      </c>
      <c r="J81" s="14" t="inlineStr">
        <is>
          <t>09-10 @ 48.06</t>
        </is>
      </c>
      <c r="K81" s="14" t="inlineStr">
        <is>
          <t>09-21 @ 48.53</t>
        </is>
      </c>
      <c r="L81" s="14" t="inlineStr">
        <is>
          <t>08-28 @ 51.52</t>
        </is>
      </c>
      <c r="M81" s="14" t="inlineStr">
        <is>
          <t>09-04 @ 50.42</t>
        </is>
      </c>
      <c r="N81" s="14" t="inlineStr">
        <is>
          <t>09-11 @ 49.91</t>
        </is>
      </c>
      <c r="O81" s="14" t="inlineStr">
        <is>
          <t>09-24 @ 51.41</t>
        </is>
      </c>
    </row>
    <row r="82">
      <c r="A82" s="5" t="n">
        <v>1</v>
      </c>
      <c r="B82" s="5" t="n">
        <v>81</v>
      </c>
      <c r="C82" s="6" t="inlineStr">
        <is>
          <t>BPRN</t>
        </is>
      </c>
      <c r="D82" s="5" t="inlineStr">
        <is>
          <t>Princeton Bancorp Inc.</t>
        </is>
      </c>
      <c r="E82" s="8" t="n">
        <v>43.16</v>
      </c>
      <c r="F82" s="14" t="inlineStr">
        <is>
          <t>08-10 @ 40.90</t>
        </is>
      </c>
      <c r="G82" s="14" t="inlineStr">
        <is>
          <t>08-20 @ 41.79</t>
        </is>
      </c>
      <c r="H82" s="14" t="inlineStr">
        <is>
          <t>08-27 @ 41.92</t>
        </is>
      </c>
      <c r="I82" s="14" t="inlineStr">
        <is>
          <t>09-09 @ 42.78</t>
        </is>
      </c>
      <c r="J82" s="14" t="inlineStr">
        <is>
          <t>09-17 @ 42.26</t>
        </is>
      </c>
      <c r="K82" s="14" t="inlineStr">
        <is>
          <t>09-23 @ 42.53</t>
        </is>
      </c>
      <c r="L82" s="14" t="inlineStr">
        <is>
          <t>08-28 @ 43.48</t>
        </is>
      </c>
      <c r="M82" s="14" t="inlineStr">
        <is>
          <t>09-04 @ 44.01</t>
        </is>
      </c>
      <c r="N82" s="14" t="inlineStr">
        <is>
          <t>09-11 @ 44.10</t>
        </is>
      </c>
      <c r="O82" s="14" t="inlineStr">
        <is>
          <t>09-22 @ 43.88</t>
        </is>
      </c>
    </row>
    <row r="83">
      <c r="A83" s="5" t="n">
        <v>1</v>
      </c>
      <c r="B83" s="5" t="n">
        <v>82</v>
      </c>
      <c r="C83" s="6" t="inlineStr">
        <is>
          <t>PKOH</t>
        </is>
      </c>
      <c r="D83" s="5" t="inlineStr">
        <is>
          <t>Park-Ohio Holdings Corp.</t>
        </is>
      </c>
      <c r="E83" s="8" t="n">
        <v>46.54</v>
      </c>
      <c r="F83" s="14" t="inlineStr">
        <is>
          <t>07-23 @ 36.92</t>
        </is>
      </c>
      <c r="G83" s="14" t="inlineStr">
        <is>
          <t>07-29 @ 37.47</t>
        </is>
      </c>
      <c r="H83" s="14" t="inlineStr">
        <is>
          <t>08-21 @ 44.42</t>
        </is>
      </c>
      <c r="I83" s="14" t="inlineStr">
        <is>
          <t>09-03 @ 43.62</t>
        </is>
      </c>
      <c r="J83" s="14" t="inlineStr">
        <is>
          <t>09-15 @ 44.00</t>
        </is>
      </c>
      <c r="K83" s="14" t="inlineStr"/>
      <c r="L83" s="14" t="inlineStr">
        <is>
          <t>08-28 @ 47.69</t>
        </is>
      </c>
      <c r="M83" s="14" t="inlineStr">
        <is>
          <t>09-08 @ 47.34</t>
        </is>
      </c>
      <c r="N83" s="14" t="inlineStr">
        <is>
          <t>09-25 @ 48.52</t>
        </is>
      </c>
      <c r="O83" s="14" t="inlineStr"/>
    </row>
    <row r="84">
      <c r="A84" s="5" t="n">
        <v>1</v>
      </c>
      <c r="B84" s="5" t="n">
        <v>83</v>
      </c>
      <c r="C84" s="6" t="inlineStr">
        <is>
          <t>SLAB</t>
        </is>
      </c>
      <c r="D84" s="5" t="inlineStr">
        <is>
          <t>Silicon Laboratories Inc.</t>
        </is>
      </c>
      <c r="E84" s="8" t="n">
        <v>222.51</v>
      </c>
      <c r="F84" s="14" t="inlineStr">
        <is>
          <t>07-29 @ 216.25</t>
        </is>
      </c>
      <c r="G84" s="14" t="inlineStr">
        <is>
          <t>08-13 @ 217.77</t>
        </is>
      </c>
      <c r="H84" s="14" t="inlineStr">
        <is>
          <t>08-24 @ 217.61</t>
        </is>
      </c>
      <c r="I84" s="14" t="inlineStr">
        <is>
          <t>08-31 @ 218.19</t>
        </is>
      </c>
      <c r="J84" s="14" t="inlineStr">
        <is>
          <t>09-10 @ 216.88</t>
        </is>
      </c>
      <c r="K84" s="14" t="inlineStr">
        <is>
          <t>09-28 @ 220.78</t>
        </is>
      </c>
      <c r="L84" s="14" t="inlineStr">
        <is>
          <t>09-04 @ 222.49</t>
        </is>
      </c>
      <c r="M84" s="14" t="inlineStr">
        <is>
          <t>09-23 @ 222.36</t>
        </is>
      </c>
      <c r="N84" s="14" t="inlineStr"/>
      <c r="O84" s="14" t="inlineStr"/>
    </row>
    <row r="85">
      <c r="A85" s="5" t="n">
        <v>1</v>
      </c>
      <c r="B85" s="5" t="n">
        <v>84</v>
      </c>
      <c r="C85" s="6" t="inlineStr">
        <is>
          <t>ETN</t>
        </is>
      </c>
      <c r="D85" s="5" t="inlineStr">
        <is>
          <t>Eaton Corporation PLC</t>
        </is>
      </c>
      <c r="E85" s="8" t="n">
        <v>437.28</v>
      </c>
      <c r="F85" s="14" t="inlineStr">
        <is>
          <t>07-17 @ 382.00</t>
        </is>
      </c>
      <c r="G85" s="14" t="inlineStr">
        <is>
          <t>07-29 @ 358.13</t>
        </is>
      </c>
      <c r="H85" s="14" t="inlineStr">
        <is>
          <t>08-24 @ 406.95</t>
        </is>
      </c>
      <c r="I85" s="14" t="inlineStr">
        <is>
          <t>09-03 @ 384.77</t>
        </is>
      </c>
      <c r="J85" s="14" t="inlineStr">
        <is>
          <t>09-14 @ 387.00</t>
        </is>
      </c>
      <c r="K85" s="14" t="inlineStr"/>
      <c r="L85" s="14" t="inlineStr">
        <is>
          <t>08-27 @ 427.96</t>
        </is>
      </c>
      <c r="M85" s="14" t="inlineStr">
        <is>
          <t>09-08 @ 430.25</t>
        </is>
      </c>
      <c r="N85" s="14" t="inlineStr">
        <is>
          <t>09-25 @ 447.33</t>
        </is>
      </c>
      <c r="O85" s="14" t="inlineStr"/>
    </row>
    <row r="86">
      <c r="A86" s="5" t="n">
        <v>1</v>
      </c>
      <c r="B86" s="5" t="n">
        <v>85</v>
      </c>
      <c r="C86" s="6" t="inlineStr">
        <is>
          <t>AIP</t>
        </is>
      </c>
      <c r="D86" s="5" t="inlineStr">
        <is>
          <t>Arteris Inc.</t>
        </is>
      </c>
      <c r="E86" s="8" t="n">
        <v>24.01</v>
      </c>
      <c r="F86" s="14" t="inlineStr">
        <is>
          <t>07-29 @ 26.63</t>
        </is>
      </c>
      <c r="G86" s="14" t="inlineStr">
        <is>
          <t>08-10 @ 27.08</t>
        </is>
      </c>
      <c r="H86" s="14" t="inlineStr">
        <is>
          <t>08-24 @ 22.46</t>
        </is>
      </c>
      <c r="I86" s="14" t="inlineStr">
        <is>
          <t>09-02 @ 20.06</t>
        </is>
      </c>
      <c r="J86" s="14" t="inlineStr">
        <is>
          <t>09-15 @ 20.02</t>
        </is>
      </c>
      <c r="K86" s="14" t="inlineStr">
        <is>
          <t>09-28 @ 22.54</t>
        </is>
      </c>
      <c r="L86" s="14" t="inlineStr">
        <is>
          <t>08-27 @ 23.96</t>
        </is>
      </c>
      <c r="M86" s="14" t="inlineStr">
        <is>
          <t>09-09 @ 23.62</t>
        </is>
      </c>
      <c r="N86" s="14" t="inlineStr">
        <is>
          <t>09-25 @ 24.98</t>
        </is>
      </c>
      <c r="O86" s="14" t="inlineStr"/>
    </row>
    <row r="87">
      <c r="A87" s="5" t="n">
        <v>1</v>
      </c>
      <c r="B87" s="5" t="n">
        <v>86</v>
      </c>
      <c r="C87" s="6" t="inlineStr">
        <is>
          <t>FSBW</t>
        </is>
      </c>
      <c r="D87" s="5" t="inlineStr">
        <is>
          <t>FS Bancorp Inc.</t>
        </is>
      </c>
      <c r="E87" s="8" t="n">
        <v>44.01</v>
      </c>
      <c r="F87" s="14" t="inlineStr">
        <is>
          <t>07-22 @ 41.50</t>
        </is>
      </c>
      <c r="G87" s="14" t="inlineStr">
        <is>
          <t>08-03 @ 42.25</t>
        </is>
      </c>
      <c r="H87" s="14" t="inlineStr">
        <is>
          <t>08-10 @ 42.22</t>
        </is>
      </c>
      <c r="I87" s="14" t="inlineStr">
        <is>
          <t>08-21 @ 41.71</t>
        </is>
      </c>
      <c r="J87" s="14" t="inlineStr">
        <is>
          <t>08-27 @ 42.06</t>
        </is>
      </c>
      <c r="K87" s="14" t="inlineStr">
        <is>
          <t>09-21 @ 43.23</t>
        </is>
      </c>
      <c r="L87" s="14" t="inlineStr">
        <is>
          <t>09-04 @ 44.00</t>
        </is>
      </c>
      <c r="M87" s="14" t="inlineStr">
        <is>
          <t>09-17 @ 45.03</t>
        </is>
      </c>
      <c r="N87" s="14" t="inlineStr">
        <is>
          <t>09-24 @ 44.58</t>
        </is>
      </c>
      <c r="O87" s="14" t="inlineStr"/>
    </row>
    <row r="88">
      <c r="A88" s="5" t="n">
        <v>1</v>
      </c>
      <c r="B88" s="5" t="n">
        <v>87</v>
      </c>
      <c r="C88" s="6" t="inlineStr">
        <is>
          <t>AMG</t>
        </is>
      </c>
      <c r="D88" s="5" t="inlineStr">
        <is>
          <t>Affiliated Managers Group Inc.</t>
        </is>
      </c>
      <c r="E88" s="8" t="n">
        <v>371.95</v>
      </c>
      <c r="F88" s="14" t="inlineStr">
        <is>
          <t>07-30 @ 355.00</t>
        </is>
      </c>
      <c r="G88" s="14" t="inlineStr">
        <is>
          <t>08-12 @ 358.25</t>
        </is>
      </c>
      <c r="H88" s="14" t="inlineStr">
        <is>
          <t>08-20 @ 350.76</t>
        </is>
      </c>
      <c r="I88" s="14" t="inlineStr">
        <is>
          <t>09-02 @ 354.73</t>
        </is>
      </c>
      <c r="J88" s="14" t="inlineStr">
        <is>
          <t>09-16 @ 339.87</t>
        </is>
      </c>
      <c r="K88" s="14" t="inlineStr">
        <is>
          <t>09-28 @ 356.18</t>
        </is>
      </c>
      <c r="L88" s="14" t="inlineStr">
        <is>
          <t>08-28 @ 376.75</t>
        </is>
      </c>
      <c r="M88" s="14" t="inlineStr">
        <is>
          <t>09-25 @ 379.06</t>
        </is>
      </c>
      <c r="N88" s="14" t="inlineStr"/>
      <c r="O88" s="14" t="inlineStr"/>
    </row>
    <row r="89">
      <c r="A89" s="5" t="n">
        <v>1</v>
      </c>
      <c r="B89" s="5" t="n">
        <v>88</v>
      </c>
      <c r="C89" s="6" t="inlineStr">
        <is>
          <t>FNRN</t>
        </is>
      </c>
      <c r="D89" s="5" t="inlineStr">
        <is>
          <t>First Northern Community Bancorp Common stock</t>
        </is>
      </c>
      <c r="E89" s="8" t="n">
        <v>17.64</v>
      </c>
      <c r="F89" s="14" t="inlineStr">
        <is>
          <t>07-23 @ 17.51</t>
        </is>
      </c>
      <c r="G89" s="14" t="inlineStr">
        <is>
          <t>07-31 @ 17.84</t>
        </is>
      </c>
      <c r="H89" s="14" t="inlineStr">
        <is>
          <t>08-10 @ 15.93</t>
        </is>
      </c>
      <c r="I89" s="14" t="inlineStr">
        <is>
          <t>09-01 @ 16.53</t>
        </is>
      </c>
      <c r="J89" s="14" t="inlineStr">
        <is>
          <t>09-17 @ 16.86</t>
        </is>
      </c>
      <c r="K89" s="14" t="inlineStr">
        <is>
          <t>09-24 @ 16.95</t>
        </is>
      </c>
      <c r="L89" s="14" t="inlineStr">
        <is>
          <t>09-04 @ 17.65</t>
        </is>
      </c>
      <c r="M89" s="14" t="inlineStr">
        <is>
          <t>09-11 @ 17.76</t>
        </is>
      </c>
      <c r="N89" s="14" t="inlineStr">
        <is>
          <t>09-22 @ 17.49</t>
        </is>
      </c>
      <c r="O89" s="14" t="inlineStr"/>
    </row>
    <row r="90">
      <c r="A90" s="5" t="n">
        <v>1</v>
      </c>
      <c r="B90" s="5" t="n">
        <v>89</v>
      </c>
      <c r="C90" s="6" t="inlineStr">
        <is>
          <t>WAY</t>
        </is>
      </c>
      <c r="D90" s="5" t="inlineStr">
        <is>
          <t>Waystar Holding Corp.</t>
        </is>
      </c>
      <c r="E90" s="8" t="n">
        <v>25.35</v>
      </c>
      <c r="F90" s="14" t="inlineStr">
        <is>
          <t>07-14 @ 21.98</t>
        </is>
      </c>
      <c r="G90" s="14" t="inlineStr">
        <is>
          <t>07-22 @ 20.61</t>
        </is>
      </c>
      <c r="H90" s="14" t="inlineStr">
        <is>
          <t>07-30 @ 20.14</t>
        </is>
      </c>
      <c r="I90" s="14" t="inlineStr">
        <is>
          <t>08-26 @ 23.50</t>
        </is>
      </c>
      <c r="J90" s="14" t="inlineStr">
        <is>
          <t>09-10 @ 22.95</t>
        </is>
      </c>
      <c r="K90" s="14" t="inlineStr">
        <is>
          <t>09-25 @ 24.32</t>
        </is>
      </c>
      <c r="L90" s="14" t="inlineStr">
        <is>
          <t>08-28 @ 26.87</t>
        </is>
      </c>
      <c r="M90" s="14" t="inlineStr">
        <is>
          <t>09-15 @ 27.28</t>
        </is>
      </c>
      <c r="N90" s="14" t="inlineStr"/>
      <c r="O90" s="14" t="inlineStr"/>
    </row>
    <row r="91">
      <c r="A91" s="5" t="n">
        <v>1</v>
      </c>
      <c r="B91" s="5" t="n">
        <v>90</v>
      </c>
      <c r="C91" s="6" t="inlineStr">
        <is>
          <t>TXNM</t>
        </is>
      </c>
      <c r="D91" s="5" t="inlineStr">
        <is>
          <t>TXNM Energy Inc.</t>
        </is>
      </c>
      <c r="E91" s="8" t="n">
        <v>58.53</v>
      </c>
      <c r="F91" s="14" t="inlineStr">
        <is>
          <t>08-11 @ 57.24</t>
        </is>
      </c>
      <c r="G91" s="14" t="inlineStr">
        <is>
          <t>08-24 @ 57.07</t>
        </is>
      </c>
      <c r="H91" s="14" t="inlineStr">
        <is>
          <t>09-14 @ 57.61</t>
        </is>
      </c>
      <c r="I91" s="14" t="inlineStr">
        <is>
          <t>09-25 @ 58.09</t>
        </is>
      </c>
      <c r="J91" s="14" t="inlineStr"/>
      <c r="K91" s="14" t="inlineStr"/>
      <c r="L91" s="14" t="inlineStr">
        <is>
          <t>09-03 @ 58.36</t>
        </is>
      </c>
      <c r="M91" s="14" t="inlineStr">
        <is>
          <t>09-17 @ 58.93</t>
        </is>
      </c>
      <c r="N91" s="14" t="inlineStr"/>
      <c r="O91" s="14" t="inlineStr"/>
    </row>
    <row r="92">
      <c r="A92" s="5" t="n">
        <v>1</v>
      </c>
      <c r="B92" s="5" t="n">
        <v>91</v>
      </c>
      <c r="C92" s="6" t="inlineStr">
        <is>
          <t>VSTS</t>
        </is>
      </c>
      <c r="D92" s="5" t="inlineStr">
        <is>
          <t>Vestis Corporation</t>
        </is>
      </c>
      <c r="E92" s="8" t="n">
        <v>13.78</v>
      </c>
      <c r="F92" s="14" t="inlineStr">
        <is>
          <t>08-11 @ 12.93</t>
        </is>
      </c>
      <c r="G92" s="14" t="inlineStr">
        <is>
          <t>08-21 @ 12.54</t>
        </is>
      </c>
      <c r="H92" s="14" t="inlineStr">
        <is>
          <t>09-01 @ 12.07</t>
        </is>
      </c>
      <c r="I92" s="14" t="inlineStr">
        <is>
          <t>09-15 @ 12.77</t>
        </is>
      </c>
      <c r="J92" s="14" t="inlineStr">
        <is>
          <t>09-28 @ 13.01</t>
        </is>
      </c>
      <c r="K92" s="14" t="inlineStr"/>
      <c r="L92" s="14" t="inlineStr">
        <is>
          <t>09-08 @ 13.80</t>
        </is>
      </c>
      <c r="M92" s="14" t="inlineStr">
        <is>
          <t>09-22 @ 14.66</t>
        </is>
      </c>
      <c r="N92" s="14" t="inlineStr"/>
      <c r="O92" s="14" t="inlineStr"/>
    </row>
    <row r="93">
      <c r="A93" s="5" t="n">
        <v>1</v>
      </c>
      <c r="B93" s="5" t="n">
        <v>92</v>
      </c>
      <c r="C93" s="6" t="inlineStr">
        <is>
          <t>MKTX</t>
        </is>
      </c>
      <c r="D93" s="5" t="inlineStr">
        <is>
          <t>MarketAxess Holdings Inc.</t>
        </is>
      </c>
      <c r="E93" s="8" t="n">
        <v>164.22</v>
      </c>
      <c r="F93" s="14" t="inlineStr">
        <is>
          <t>07-09 @ 112.24</t>
        </is>
      </c>
      <c r="G93" s="14" t="inlineStr">
        <is>
          <t>07-21 @ 111.90</t>
        </is>
      </c>
      <c r="H93" s="14" t="inlineStr">
        <is>
          <t>08-19 @ 161.74</t>
        </is>
      </c>
      <c r="I93" s="14" t="inlineStr">
        <is>
          <t>09-11 @ 162.97</t>
        </is>
      </c>
      <c r="J93" s="14" t="inlineStr"/>
      <c r="K93" s="14" t="inlineStr"/>
      <c r="L93" s="14" t="inlineStr">
        <is>
          <t>09-04 @ 163.60</t>
        </is>
      </c>
      <c r="M93" s="14" t="inlineStr">
        <is>
          <t>09-25 @ 164.20</t>
        </is>
      </c>
      <c r="N93" s="14" t="inlineStr"/>
      <c r="O93" s="14" t="inlineStr"/>
    </row>
    <row r="94">
      <c r="A94" s="5" t="n">
        <v>1</v>
      </c>
      <c r="B94" s="5" t="n">
        <v>93</v>
      </c>
      <c r="C94" s="6" t="inlineStr">
        <is>
          <t>PSX</t>
        </is>
      </c>
      <c r="D94" s="5" t="inlineStr">
        <is>
          <t>Phillips 66</t>
        </is>
      </c>
      <c r="E94" s="8" t="n">
        <v>264.23</v>
      </c>
      <c r="F94" s="14" t="inlineStr">
        <is>
          <t>07-27 @ 200.80</t>
        </is>
      </c>
      <c r="G94" s="14" t="inlineStr">
        <is>
          <t>08-05 @ 200.31</t>
        </is>
      </c>
      <c r="H94" s="14" t="inlineStr">
        <is>
          <t>08-26 @ 233.55</t>
        </is>
      </c>
      <c r="I94" s="14" t="inlineStr">
        <is>
          <t>09-14 @ 253.41</t>
        </is>
      </c>
      <c r="J94" s="14" t="inlineStr"/>
      <c r="K94" s="14" t="inlineStr"/>
      <c r="L94" s="14" t="inlineStr">
        <is>
          <t>09-18 @ 277.12</t>
        </is>
      </c>
      <c r="M94" s="14" t="inlineStr"/>
      <c r="N94" s="14" t="inlineStr"/>
      <c r="O94" s="14" t="inlineStr"/>
    </row>
    <row r="95">
      <c r="A95" s="5" t="n">
        <v>1</v>
      </c>
      <c r="B95" s="5" t="n">
        <v>94</v>
      </c>
      <c r="C95" s="6" t="inlineStr">
        <is>
          <t>ATKR</t>
        </is>
      </c>
      <c r="D95" s="5" t="inlineStr">
        <is>
          <t>Atkore Inc.</t>
        </is>
      </c>
      <c r="E95" s="8" t="n">
        <v>94.77</v>
      </c>
      <c r="F95" s="14" t="inlineStr">
        <is>
          <t>07-16 @ 68.95</t>
        </is>
      </c>
      <c r="G95" s="14" t="inlineStr">
        <is>
          <t>07-30 @ 70.69</t>
        </is>
      </c>
      <c r="H95" s="14" t="inlineStr">
        <is>
          <t>08-18 @ 93.31</t>
        </is>
      </c>
      <c r="I95" s="14" t="inlineStr">
        <is>
          <t>08-28 @ 93.50</t>
        </is>
      </c>
      <c r="J95" s="14" t="inlineStr"/>
      <c r="K95" s="14" t="inlineStr"/>
      <c r="L95" s="14" t="inlineStr">
        <is>
          <t>08-28 @ 93.96</t>
        </is>
      </c>
      <c r="M95" s="14" t="inlineStr"/>
      <c r="N95" s="14" t="inlineStr"/>
      <c r="O95" s="14" t="inlineStr"/>
    </row>
    <row r="96">
      <c r="A96" s="5" t="n">
        <v>1</v>
      </c>
      <c r="B96" s="5" t="n">
        <v>95</v>
      </c>
      <c r="C96" s="6" t="inlineStr">
        <is>
          <t>COLM</t>
        </is>
      </c>
      <c r="D96" s="5" t="inlineStr">
        <is>
          <t>Columbia Sportswear Company</t>
        </is>
      </c>
      <c r="E96" s="8" t="n">
        <v>57.69</v>
      </c>
      <c r="F96" s="14" t="inlineStr">
        <is>
          <t>07-14 @ 61.91</t>
        </is>
      </c>
      <c r="G96" s="14" t="inlineStr">
        <is>
          <t>07-23 @ 60.65</t>
        </is>
      </c>
      <c r="H96" s="14" t="inlineStr">
        <is>
          <t>08-12 @ 55.70</t>
        </is>
      </c>
      <c r="I96" s="14" t="inlineStr">
        <is>
          <t>09-10 @ 55.01</t>
        </is>
      </c>
      <c r="J96" s="14" t="inlineStr">
        <is>
          <t>09-21 @ 55.67</t>
        </is>
      </c>
      <c r="K96" s="14" t="inlineStr"/>
      <c r="L96" s="14" t="inlineStr">
        <is>
          <t>09-03 @ 58.14</t>
        </is>
      </c>
      <c r="M96" s="14" t="inlineStr">
        <is>
          <t>09-22 @ 58.79</t>
        </is>
      </c>
      <c r="N96" s="14" t="inlineStr"/>
      <c r="O96" s="14" t="inlineStr"/>
    </row>
    <row r="97">
      <c r="A97" s="5" t="n">
        <v>1</v>
      </c>
      <c r="B97" s="5" t="n">
        <v>96</v>
      </c>
      <c r="C97" s="6" t="inlineStr">
        <is>
          <t>BIIB</t>
        </is>
      </c>
      <c r="D97" s="5" t="inlineStr">
        <is>
          <t>Biogen Inc.</t>
        </is>
      </c>
      <c r="E97" s="8" t="n">
        <v>222.82</v>
      </c>
      <c r="F97" s="14" t="inlineStr">
        <is>
          <t>08-03 @ 199.58</t>
        </is>
      </c>
      <c r="G97" s="14" t="inlineStr">
        <is>
          <t>08-12 @ 201.00</t>
        </is>
      </c>
      <c r="H97" s="14" t="inlineStr">
        <is>
          <t>08-24 @ 213.96</t>
        </is>
      </c>
      <c r="I97" s="14" t="inlineStr">
        <is>
          <t>08-31 @ 213.58</t>
        </is>
      </c>
      <c r="J97" s="14" t="inlineStr">
        <is>
          <t>09-10 @ 208.93</t>
        </is>
      </c>
      <c r="K97" s="14" t="inlineStr">
        <is>
          <t>09-21 @ 214.59</t>
        </is>
      </c>
      <c r="L97" s="14" t="inlineStr">
        <is>
          <t>09-03 @ 225.80</t>
        </is>
      </c>
      <c r="M97" s="14" t="inlineStr">
        <is>
          <t>09-14 @ 222.25</t>
        </is>
      </c>
      <c r="N97" s="14" t="inlineStr">
        <is>
          <t>09-28 @ 230.49</t>
        </is>
      </c>
      <c r="O97" s="14" t="inlineStr"/>
    </row>
    <row r="98">
      <c r="A98" s="5" t="n">
        <v>1</v>
      </c>
      <c r="B98" s="5" t="n">
        <v>97</v>
      </c>
      <c r="C98" s="6" t="inlineStr">
        <is>
          <t>SAFT</t>
        </is>
      </c>
      <c r="D98" s="5" t="inlineStr">
        <is>
          <t>Safety Insurance Group Inc.</t>
        </is>
      </c>
      <c r="E98" s="8" t="n">
        <v>103.81</v>
      </c>
      <c r="F98" s="14" t="inlineStr">
        <is>
          <t>07-15 @ 72.93</t>
        </is>
      </c>
      <c r="G98" s="14" t="inlineStr">
        <is>
          <t>07-23 @ 70.81</t>
        </is>
      </c>
      <c r="H98" s="14" t="inlineStr">
        <is>
          <t>08-18 @ 103.23</t>
        </is>
      </c>
      <c r="I98" s="14" t="inlineStr">
        <is>
          <t>09-01 @ 103.05</t>
        </is>
      </c>
      <c r="J98" s="14" t="inlineStr">
        <is>
          <t>09-24 @ 103.43</t>
        </is>
      </c>
      <c r="K98" s="14" t="inlineStr"/>
      <c r="L98" s="14" t="inlineStr">
        <is>
          <t>08-27 @ 103.80</t>
        </is>
      </c>
      <c r="M98" s="14" t="inlineStr">
        <is>
          <t>09-21 @ 103.88</t>
        </is>
      </c>
      <c r="N98" s="14" t="inlineStr"/>
      <c r="O98" s="14" t="inlineStr"/>
    </row>
    <row r="99">
      <c r="A99" s="5" t="n">
        <v>1</v>
      </c>
      <c r="B99" s="5" t="n">
        <v>98</v>
      </c>
      <c r="C99" s="6" t="inlineStr">
        <is>
          <t>TRNS</t>
        </is>
      </c>
      <c r="D99" s="5" t="inlineStr">
        <is>
          <t>Transcat Inc.</t>
        </is>
      </c>
      <c r="E99" s="8" t="n">
        <v>90.18000000000001</v>
      </c>
      <c r="F99" s="14" t="inlineStr">
        <is>
          <t>07-20 @ 84.49</t>
        </is>
      </c>
      <c r="G99" s="14" t="inlineStr">
        <is>
          <t>07-30 @ 79.08</t>
        </is>
      </c>
      <c r="H99" s="14" t="inlineStr">
        <is>
          <t>09-08 @ 81.71</t>
        </is>
      </c>
      <c r="I99" s="14" t="inlineStr">
        <is>
          <t>09-16 @ 79.68</t>
        </is>
      </c>
      <c r="J99" s="14" t="inlineStr">
        <is>
          <t>09-28 @ 83.50</t>
        </is>
      </c>
      <c r="K99" s="14" t="inlineStr"/>
      <c r="L99" s="14" t="inlineStr">
        <is>
          <t>09-04 @ 87.00</t>
        </is>
      </c>
      <c r="M99" s="14" t="inlineStr">
        <is>
          <t>09-11 @ 87.40</t>
        </is>
      </c>
      <c r="N99" s="14" t="inlineStr">
        <is>
          <t>09-22 @ 92.11</t>
        </is>
      </c>
      <c r="O99" s="14" t="inlineStr"/>
    </row>
    <row r="100">
      <c r="A100" s="5" t="n">
        <v>1</v>
      </c>
      <c r="B100" s="5" t="n">
        <v>99</v>
      </c>
      <c r="C100" s="6" t="inlineStr">
        <is>
          <t>APXT</t>
        </is>
      </c>
      <c r="D100" s="5" t="inlineStr">
        <is>
          <t>Apex Treasury Corporation</t>
        </is>
      </c>
      <c r="E100" s="8" t="n">
        <v>10.15</v>
      </c>
      <c r="F100" s="14" t="inlineStr">
        <is>
          <t>07-10 @ 10.06</t>
        </is>
      </c>
      <c r="G100" s="14" t="inlineStr">
        <is>
          <t>07-21 @ 10.06</t>
        </is>
      </c>
      <c r="H100" s="14" t="inlineStr">
        <is>
          <t>08-03 @ 10.09</t>
        </is>
      </c>
      <c r="I100" s="14" t="inlineStr">
        <is>
          <t>08-14 @ 10.11</t>
        </is>
      </c>
      <c r="J100" s="14" t="inlineStr">
        <is>
          <t>08-21 @ 10.10</t>
        </is>
      </c>
      <c r="K100" s="14" t="inlineStr">
        <is>
          <t>09-21 @ 10.12</t>
        </is>
      </c>
      <c r="L100" s="14" t="inlineStr">
        <is>
          <t>09-14 @ 10.15</t>
        </is>
      </c>
      <c r="M100" s="14" t="inlineStr">
        <is>
          <t>09-23 @ 10.15</t>
        </is>
      </c>
      <c r="N100" s="14" t="inlineStr"/>
      <c r="O100" s="14" t="inlineStr"/>
    </row>
    <row r="101">
      <c r="A101" s="5" t="n">
        <v>1</v>
      </c>
      <c r="B101" s="5" t="n">
        <v>100</v>
      </c>
      <c r="C101" s="6" t="inlineStr">
        <is>
          <t>OPY</t>
        </is>
      </c>
      <c r="D101" s="5" t="inlineStr">
        <is>
          <t>Oppenheimer Holdings Inc.</t>
        </is>
      </c>
      <c r="E101" s="8" t="n">
        <v>119.47</v>
      </c>
      <c r="F101" s="14" t="inlineStr">
        <is>
          <t>07-20 @ 104.68</t>
        </is>
      </c>
      <c r="G101" s="14" t="inlineStr">
        <is>
          <t>07-31 @ 102.71</t>
        </is>
      </c>
      <c r="H101" s="14" t="inlineStr">
        <is>
          <t>08-10 @ 110.16</t>
        </is>
      </c>
      <c r="I101" s="14" t="inlineStr">
        <is>
          <t>08-20 @ 111.00</t>
        </is>
      </c>
      <c r="J101" s="14" t="inlineStr">
        <is>
          <t>09-16 @ 110.35</t>
        </is>
      </c>
      <c r="K101" s="14" t="inlineStr">
        <is>
          <t>09-22 @ 111.05</t>
        </is>
      </c>
      <c r="L101" s="14" t="inlineStr">
        <is>
          <t>08-28 @ 123.73</t>
        </is>
      </c>
      <c r="M101" s="14" t="inlineStr">
        <is>
          <t>09-08 @ 125.88</t>
        </is>
      </c>
      <c r="N101" s="14" t="inlineStr"/>
      <c r="O101" s="14" t="inlineStr"/>
    </row>
    <row r="102">
      <c r="A102" s="20" t="n">
        <v>2</v>
      </c>
      <c r="B102" s="20" t="n">
        <v>1</v>
      </c>
      <c r="C102" s="21" t="inlineStr">
        <is>
          <t>FAC</t>
        </is>
      </c>
      <c r="D102" s="20" t="inlineStr">
        <is>
          <t>Factorial Energy Inc.</t>
        </is>
      </c>
      <c r="E102" s="23" t="n">
        <v>6.295</v>
      </c>
      <c r="F102" s="29" t="inlineStr">
        <is>
          <t>07-13 @ 4.24</t>
        </is>
      </c>
      <c r="G102" s="29" t="inlineStr">
        <is>
          <t>07-28 @ 4.30</t>
        </is>
      </c>
      <c r="H102" s="29" t="inlineStr">
        <is>
          <t>08-20 @ 4.50</t>
        </is>
      </c>
      <c r="I102" s="29" t="inlineStr">
        <is>
          <t>09-01 @ 4.75</t>
        </is>
      </c>
      <c r="J102" s="29" t="inlineStr">
        <is>
          <t>09-15 @ 4.90</t>
        </is>
      </c>
      <c r="K102" s="29" t="inlineStr">
        <is>
          <t>09-24 @ 5.80</t>
        </is>
      </c>
      <c r="L102" s="29" t="inlineStr">
        <is>
          <t>09-08 @ 6.08</t>
        </is>
      </c>
      <c r="M102" s="29" t="inlineStr">
        <is>
          <t>09-21 @ 6.77</t>
        </is>
      </c>
      <c r="N102" s="29" t="inlineStr"/>
      <c r="O102" s="29" t="inlineStr"/>
    </row>
    <row r="103">
      <c r="A103" s="20" t="n">
        <v>2</v>
      </c>
      <c r="B103" s="20" t="n">
        <v>2</v>
      </c>
      <c r="C103" s="21" t="inlineStr">
        <is>
          <t>META</t>
        </is>
      </c>
      <c r="D103" s="20" t="inlineStr">
        <is>
          <t>Meta Platforms Inc.</t>
        </is>
      </c>
      <c r="E103" s="23" t="n">
        <v>725.9299999999999</v>
      </c>
      <c r="F103" s="29" t="inlineStr">
        <is>
          <t>07-09 @ 577.07</t>
        </is>
      </c>
      <c r="G103" s="29" t="inlineStr">
        <is>
          <t>07-30 @ 524.49</t>
        </is>
      </c>
      <c r="H103" s="29" t="inlineStr">
        <is>
          <t>08-19 @ 537.27</t>
        </is>
      </c>
      <c r="I103" s="29" t="inlineStr">
        <is>
          <t>09-01 @ 556.10</t>
        </is>
      </c>
      <c r="J103" s="29" t="inlineStr">
        <is>
          <t>09-28 @ 713.19</t>
        </is>
      </c>
      <c r="K103" s="29" t="inlineStr"/>
      <c r="L103" s="29" t="inlineStr">
        <is>
          <t>09-24 @ 779.82</t>
        </is>
      </c>
      <c r="M103" s="29" t="inlineStr"/>
      <c r="N103" s="29" t="inlineStr"/>
      <c r="O103" s="29" t="inlineStr"/>
    </row>
    <row r="104">
      <c r="A104" s="20" t="n">
        <v>2</v>
      </c>
      <c r="B104" s="20" t="n">
        <v>3</v>
      </c>
      <c r="C104" s="21" t="inlineStr">
        <is>
          <t>PSIX</t>
        </is>
      </c>
      <c r="D104" s="20" t="inlineStr">
        <is>
          <t>Power Solutions International Inc.</t>
        </is>
      </c>
      <c r="E104" s="23" t="n">
        <v>45.4</v>
      </c>
      <c r="F104" s="29" t="inlineStr">
        <is>
          <t>07-20 @ 29.31</t>
        </is>
      </c>
      <c r="G104" s="29" t="inlineStr">
        <is>
          <t>07-29 @ 25.28</t>
        </is>
      </c>
      <c r="H104" s="29" t="inlineStr">
        <is>
          <t>08-24 @ 34.84</t>
        </is>
      </c>
      <c r="I104" s="29" t="inlineStr">
        <is>
          <t>09-01 @ 34.67</t>
        </is>
      </c>
      <c r="J104" s="29" t="inlineStr">
        <is>
          <t>09-15 @ 39.00</t>
        </is>
      </c>
      <c r="K104" s="29" t="inlineStr">
        <is>
          <t>09-24 @ 44.61</t>
        </is>
      </c>
      <c r="L104" s="29" t="inlineStr">
        <is>
          <t>08-27 @ 38.47</t>
        </is>
      </c>
      <c r="M104" s="29" t="inlineStr">
        <is>
          <t>09-09 @ 43.92</t>
        </is>
      </c>
      <c r="N104" s="29" t="inlineStr">
        <is>
          <t>09-25 @ 48.32</t>
        </is>
      </c>
      <c r="O104" s="29" t="inlineStr"/>
    </row>
    <row r="105">
      <c r="A105" s="20" t="n">
        <v>2</v>
      </c>
      <c r="B105" s="20" t="n">
        <v>4</v>
      </c>
      <c r="C105" s="21" t="inlineStr">
        <is>
          <t>SNDK</t>
        </is>
      </c>
      <c r="D105" s="20" t="inlineStr">
        <is>
          <t>Sandisk Corporation</t>
        </is>
      </c>
      <c r="E105" s="23" t="n">
        <v>1787.6899</v>
      </c>
      <c r="F105" s="29" t="inlineStr">
        <is>
          <t>07-17 @ 1325.03</t>
        </is>
      </c>
      <c r="G105" s="29" t="inlineStr">
        <is>
          <t>07-29 @ 998.19</t>
        </is>
      </c>
      <c r="H105" s="29" t="inlineStr">
        <is>
          <t>08-24 @ 1416.56</t>
        </is>
      </c>
      <c r="I105" s="29" t="inlineStr">
        <is>
          <t>08-28 @ 1435.61</t>
        </is>
      </c>
      <c r="J105" s="29" t="inlineStr">
        <is>
          <t>09-16 @ 1504.20</t>
        </is>
      </c>
      <c r="K105" s="29" t="inlineStr">
        <is>
          <t>09-28 @ 1659.02</t>
        </is>
      </c>
      <c r="L105" s="29" t="inlineStr">
        <is>
          <t>09-08 @ 1807.38</t>
        </is>
      </c>
      <c r="M105" s="29" t="inlineStr">
        <is>
          <t>09-22 @ 1909.48</t>
        </is>
      </c>
      <c r="N105" s="29" t="inlineStr"/>
      <c r="O105" s="29" t="inlineStr"/>
    </row>
    <row r="106">
      <c r="A106" s="20" t="n">
        <v>2</v>
      </c>
      <c r="B106" s="20" t="n">
        <v>5</v>
      </c>
      <c r="C106" s="21" t="inlineStr">
        <is>
          <t>FEIM</t>
        </is>
      </c>
      <c r="D106" s="20" t="inlineStr">
        <is>
          <t>Frequency Electronics Inc.</t>
        </is>
      </c>
      <c r="E106" s="23" t="n">
        <v>85.97</v>
      </c>
      <c r="F106" s="29" t="inlineStr">
        <is>
          <t>07-16 @ 49.22</t>
        </is>
      </c>
      <c r="G106" s="29" t="inlineStr">
        <is>
          <t>08-03 @ 55.89</t>
        </is>
      </c>
      <c r="H106" s="29" t="inlineStr">
        <is>
          <t>08-24 @ 57.87</t>
        </is>
      </c>
      <c r="I106" s="29" t="inlineStr">
        <is>
          <t>09-01 @ 56.98</t>
        </is>
      </c>
      <c r="J106" s="29" t="inlineStr">
        <is>
          <t>09-28 @ 81.58</t>
        </is>
      </c>
      <c r="K106" s="29" t="inlineStr"/>
      <c r="L106" s="29" t="inlineStr">
        <is>
          <t>08-27 @ 64.84</t>
        </is>
      </c>
      <c r="M106" s="29" t="inlineStr">
        <is>
          <t>09-11 @ 89.76</t>
        </is>
      </c>
      <c r="N106" s="29" t="inlineStr">
        <is>
          <t>09-21 @ 89.60</t>
        </is>
      </c>
      <c r="O106" s="29" t="inlineStr">
        <is>
          <t>09-25 @ 89.59</t>
        </is>
      </c>
    </row>
    <row r="107">
      <c r="A107" s="20" t="n">
        <v>2</v>
      </c>
      <c r="B107" s="20" t="n">
        <v>6</v>
      </c>
      <c r="C107" s="21" t="inlineStr">
        <is>
          <t>LUV</t>
        </is>
      </c>
      <c r="D107" s="20" t="inlineStr">
        <is>
          <t>Southwest Airlines Company</t>
        </is>
      </c>
      <c r="E107" s="23" t="n">
        <v>41.84</v>
      </c>
      <c r="F107" s="29" t="inlineStr">
        <is>
          <t>07-30 @ 44.19</t>
        </is>
      </c>
      <c r="G107" s="29" t="inlineStr">
        <is>
          <t>08-20 @ 39.84</t>
        </is>
      </c>
      <c r="H107" s="29" t="inlineStr">
        <is>
          <t>09-01 @ 37.58</t>
        </is>
      </c>
      <c r="I107" s="29" t="inlineStr">
        <is>
          <t>09-09 @ 37.75</t>
        </is>
      </c>
      <c r="J107" s="29" t="inlineStr">
        <is>
          <t>09-16 @ 38.16</t>
        </is>
      </c>
      <c r="K107" s="29" t="inlineStr">
        <is>
          <t>09-24 @ 40.45</t>
        </is>
      </c>
      <c r="L107" s="29" t="inlineStr">
        <is>
          <t>09-04 @ 39.76</t>
        </is>
      </c>
      <c r="M107" s="29" t="inlineStr">
        <is>
          <t>09-22 @ 43.20</t>
        </is>
      </c>
      <c r="N107" s="29" t="inlineStr"/>
      <c r="O107" s="29" t="inlineStr"/>
    </row>
    <row r="108">
      <c r="A108" s="20" t="n">
        <v>2</v>
      </c>
      <c r="B108" s="20" t="n">
        <v>7</v>
      </c>
      <c r="C108" s="21" t="inlineStr">
        <is>
          <t>GIC</t>
        </is>
      </c>
      <c r="D108" s="20" t="inlineStr">
        <is>
          <t>Global Industrial Company</t>
        </is>
      </c>
      <c r="E108" s="23" t="n">
        <v>43.07</v>
      </c>
      <c r="F108" s="29" t="inlineStr">
        <is>
          <t>07-30 @ 34.88</t>
        </is>
      </c>
      <c r="G108" s="29" t="inlineStr">
        <is>
          <t>08-17 @ 38.16</t>
        </is>
      </c>
      <c r="H108" s="29" t="inlineStr">
        <is>
          <t>08-21 @ 38.24</t>
        </is>
      </c>
      <c r="I108" s="29" t="inlineStr">
        <is>
          <t>09-01 @ 38.58</t>
        </is>
      </c>
      <c r="J108" s="29" t="inlineStr">
        <is>
          <t>09-10 @ 38.36</t>
        </is>
      </c>
      <c r="K108" s="29" t="inlineStr">
        <is>
          <t>09-28 @ 40.90</t>
        </is>
      </c>
      <c r="L108" s="29" t="inlineStr">
        <is>
          <t>08-28 @ 40.28</t>
        </is>
      </c>
      <c r="M108" s="29" t="inlineStr">
        <is>
          <t>09-08 @ 40.08</t>
        </is>
      </c>
      <c r="N108" s="29" t="inlineStr"/>
      <c r="O108" s="29" t="inlineStr"/>
    </row>
    <row r="109">
      <c r="A109" s="20" t="n">
        <v>2</v>
      </c>
      <c r="B109" s="20" t="n">
        <v>8</v>
      </c>
      <c r="C109" s="21" t="inlineStr">
        <is>
          <t>WBTN</t>
        </is>
      </c>
      <c r="D109" s="20" t="inlineStr">
        <is>
          <t>WEBTOON Entertainment Inc. Common stock</t>
        </is>
      </c>
      <c r="E109" s="23" t="n">
        <v>10.86</v>
      </c>
      <c r="F109" s="29" t="inlineStr">
        <is>
          <t>07-24 @ 8.99</t>
        </is>
      </c>
      <c r="G109" s="29" t="inlineStr">
        <is>
          <t>07-30 @ 8.81</t>
        </is>
      </c>
      <c r="H109" s="29" t="inlineStr">
        <is>
          <t>08-11 @ 7.85</t>
        </is>
      </c>
      <c r="I109" s="29" t="inlineStr">
        <is>
          <t>08-18 @ 8.07</t>
        </is>
      </c>
      <c r="J109" s="29" t="inlineStr">
        <is>
          <t>09-04 @ 9.82</t>
        </is>
      </c>
      <c r="K109" s="29" t="inlineStr">
        <is>
          <t>09-18 @ 10.26</t>
        </is>
      </c>
      <c r="L109" s="29" t="inlineStr">
        <is>
          <t>09-14 @ 11.41</t>
        </is>
      </c>
      <c r="M109" s="29" t="inlineStr">
        <is>
          <t>09-22 @ 11.23</t>
        </is>
      </c>
      <c r="N109" s="29" t="inlineStr">
        <is>
          <t>09-28 @ 11.23</t>
        </is>
      </c>
      <c r="O109" s="29" t="inlineStr"/>
    </row>
    <row r="110">
      <c r="A110" s="20" t="n">
        <v>2</v>
      </c>
      <c r="B110" s="20" t="n">
        <v>9</v>
      </c>
      <c r="C110" s="21" t="inlineStr">
        <is>
          <t>SMTC</t>
        </is>
      </c>
      <c r="D110" s="20" t="inlineStr">
        <is>
          <t>Semtech Corporation</t>
        </is>
      </c>
      <c r="E110" s="23" t="n">
        <v>186.59</v>
      </c>
      <c r="F110" s="29" t="inlineStr">
        <is>
          <t>07-17 @ 114.45</t>
        </is>
      </c>
      <c r="G110" s="29" t="inlineStr">
        <is>
          <t>07-29 @ 103.10</t>
        </is>
      </c>
      <c r="H110" s="29" t="inlineStr">
        <is>
          <t>08-24 @ 115.00</t>
        </is>
      </c>
      <c r="I110" s="29" t="inlineStr">
        <is>
          <t>09-01 @ 124.83</t>
        </is>
      </c>
      <c r="J110" s="29" t="inlineStr">
        <is>
          <t>09-14 @ 146.91</t>
        </is>
      </c>
      <c r="K110" s="29" t="inlineStr">
        <is>
          <t>09-24 @ 162.56</t>
        </is>
      </c>
      <c r="L110" s="29" t="inlineStr">
        <is>
          <t>08-27 @ 150.37</t>
        </is>
      </c>
      <c r="M110" s="29" t="inlineStr">
        <is>
          <t>09-21 @ 190.64</t>
        </is>
      </c>
      <c r="N110" s="29" t="inlineStr">
        <is>
          <t>09-25 @ 185.00</t>
        </is>
      </c>
      <c r="O110" s="29" t="inlineStr"/>
    </row>
    <row r="111">
      <c r="A111" s="20" t="n">
        <v>2</v>
      </c>
      <c r="B111" s="20" t="n">
        <v>10</v>
      </c>
      <c r="C111" s="21" t="inlineStr">
        <is>
          <t>FPI</t>
        </is>
      </c>
      <c r="D111" s="20" t="inlineStr">
        <is>
          <t>Farmland Partners Inc.</t>
        </is>
      </c>
      <c r="E111" s="23" t="n">
        <v>11.49</v>
      </c>
      <c r="F111" s="29" t="inlineStr">
        <is>
          <t>07-09 @ 9.47</t>
        </is>
      </c>
      <c r="G111" s="29" t="inlineStr">
        <is>
          <t>07-23 @ 9.52</t>
        </is>
      </c>
      <c r="H111" s="29" t="inlineStr">
        <is>
          <t>07-30 @ 9.21</t>
        </is>
      </c>
      <c r="I111" s="29" t="inlineStr">
        <is>
          <t>08-10 @ 9.54</t>
        </is>
      </c>
      <c r="J111" s="29" t="inlineStr">
        <is>
          <t>08-31 @ 10.13</t>
        </is>
      </c>
      <c r="K111" s="29" t="inlineStr">
        <is>
          <t>09-24 @ 10.54</t>
        </is>
      </c>
      <c r="L111" s="29" t="inlineStr">
        <is>
          <t>09-08 @ 10.93</t>
        </is>
      </c>
      <c r="M111" s="29" t="inlineStr">
        <is>
          <t>09-17 @ 11.04</t>
        </is>
      </c>
      <c r="N111" s="29" t="inlineStr"/>
      <c r="O111" s="29" t="inlineStr"/>
    </row>
    <row r="112">
      <c r="A112" s="20" t="n">
        <v>2</v>
      </c>
      <c r="B112" s="20" t="n">
        <v>11</v>
      </c>
      <c r="C112" s="21" t="inlineStr">
        <is>
          <t>GME</t>
        </is>
      </c>
      <c r="D112" s="20" t="inlineStr">
        <is>
          <t>GameStop Corporation</t>
        </is>
      </c>
      <c r="E112" s="23" t="n">
        <v>24.11</v>
      </c>
      <c r="F112" s="29" t="inlineStr">
        <is>
          <t>07-24 @ 21.13</t>
        </is>
      </c>
      <c r="G112" s="29" t="inlineStr">
        <is>
          <t>08-03 @ 18.55</t>
        </is>
      </c>
      <c r="H112" s="29" t="inlineStr">
        <is>
          <t>08-20 @ 17.79</t>
        </is>
      </c>
      <c r="I112" s="29" t="inlineStr">
        <is>
          <t>08-27 @ 17.80</t>
        </is>
      </c>
      <c r="J112" s="29" t="inlineStr">
        <is>
          <t>09-08 @ 18.72</t>
        </is>
      </c>
      <c r="K112" s="29" t="inlineStr">
        <is>
          <t>09-25 @ 23.06</t>
        </is>
      </c>
      <c r="L112" s="29" t="inlineStr">
        <is>
          <t>09-24 @ 25.25</t>
        </is>
      </c>
      <c r="M112" s="29" t="inlineStr"/>
      <c r="N112" s="29" t="inlineStr"/>
      <c r="O112" s="29" t="inlineStr"/>
    </row>
    <row r="113">
      <c r="A113" s="20" t="n">
        <v>2</v>
      </c>
      <c r="B113" s="20" t="n">
        <v>12</v>
      </c>
      <c r="C113" s="21" t="inlineStr">
        <is>
          <t>VSTM</t>
        </is>
      </c>
      <c r="D113" s="20" t="inlineStr">
        <is>
          <t>Verastem Inc.</t>
        </is>
      </c>
      <c r="E113" s="23" t="n">
        <v>7.9</v>
      </c>
      <c r="F113" s="29" t="inlineStr">
        <is>
          <t>07-31 @ 5.54</t>
        </is>
      </c>
      <c r="G113" s="29" t="inlineStr">
        <is>
          <t>08-14 @ 6.44</t>
        </is>
      </c>
      <c r="H113" s="29" t="inlineStr">
        <is>
          <t>08-24 @ 6.62</t>
        </is>
      </c>
      <c r="I113" s="29" t="inlineStr">
        <is>
          <t>09-16 @ 7.20</t>
        </is>
      </c>
      <c r="J113" s="29" t="inlineStr">
        <is>
          <t>09-28 @ 7.39</t>
        </is>
      </c>
      <c r="K113" s="29" t="inlineStr"/>
      <c r="L113" s="29" t="inlineStr">
        <is>
          <t>09-08 @ 8.54</t>
        </is>
      </c>
      <c r="M113" s="29" t="inlineStr">
        <is>
          <t>09-22 @ 8.65</t>
        </is>
      </c>
      <c r="N113" s="29" t="inlineStr"/>
      <c r="O113" s="29" t="inlineStr"/>
    </row>
    <row r="114">
      <c r="A114" s="20" t="n">
        <v>2</v>
      </c>
      <c r="B114" s="20" t="n">
        <v>13</v>
      </c>
      <c r="C114" s="21" t="inlineStr">
        <is>
          <t>HYLN</t>
        </is>
      </c>
      <c r="D114" s="20" t="inlineStr">
        <is>
          <t>Hyliion Holdings Corp.</t>
        </is>
      </c>
      <c r="E114" s="23" t="n">
        <v>4.21</v>
      </c>
      <c r="F114" s="29" t="inlineStr">
        <is>
          <t>07-30 @ 3.19</t>
        </is>
      </c>
      <c r="G114" s="29" t="inlineStr">
        <is>
          <t>08-07 @ 3.75</t>
        </is>
      </c>
      <c r="H114" s="29" t="inlineStr">
        <is>
          <t>08-24 @ 3.12</t>
        </is>
      </c>
      <c r="I114" s="29" t="inlineStr">
        <is>
          <t>09-01 @ 3.25</t>
        </is>
      </c>
      <c r="J114" s="29" t="inlineStr">
        <is>
          <t>09-14 @ 3.62</t>
        </is>
      </c>
      <c r="K114" s="29" t="inlineStr">
        <is>
          <t>09-28 @ 3.92</t>
        </is>
      </c>
      <c r="L114" s="29" t="inlineStr">
        <is>
          <t>08-28 @ 3.74</t>
        </is>
      </c>
      <c r="M114" s="29" t="inlineStr">
        <is>
          <t>09-08 @ 4.10</t>
        </is>
      </c>
      <c r="N114" s="29" t="inlineStr">
        <is>
          <t>09-22 @ 4.68</t>
        </is>
      </c>
      <c r="O114" s="29" t="inlineStr"/>
    </row>
    <row r="115">
      <c r="A115" s="20" t="n">
        <v>2</v>
      </c>
      <c r="B115" s="20" t="n">
        <v>14</v>
      </c>
      <c r="C115" s="21" t="inlineStr">
        <is>
          <t>RVTY</t>
        </is>
      </c>
      <c r="D115" s="20" t="inlineStr">
        <is>
          <t>Revvity Inc.</t>
        </is>
      </c>
      <c r="E115" s="23" t="n">
        <v>149.06</v>
      </c>
      <c r="F115" s="29" t="inlineStr">
        <is>
          <t>07-21 @ 102.37</t>
        </is>
      </c>
      <c r="G115" s="29" t="inlineStr">
        <is>
          <t>07-27 @ 107.48</t>
        </is>
      </c>
      <c r="H115" s="29" t="inlineStr">
        <is>
          <t>08-04 @ 107.73</t>
        </is>
      </c>
      <c r="I115" s="29" t="inlineStr">
        <is>
          <t>08-18 @ 113.69</t>
        </is>
      </c>
      <c r="J115" s="29" t="inlineStr">
        <is>
          <t>09-10 @ 120.90</t>
        </is>
      </c>
      <c r="K115" s="29" t="inlineStr">
        <is>
          <t>09-23 @ 140.08</t>
        </is>
      </c>
      <c r="L115" s="29" t="inlineStr">
        <is>
          <t>09-03 @ 133.00</t>
        </is>
      </c>
      <c r="M115" s="29" t="inlineStr">
        <is>
          <t>09-17 @ 149.52</t>
        </is>
      </c>
      <c r="N115" s="29" t="inlineStr"/>
      <c r="O115" s="29" t="inlineStr"/>
    </row>
    <row r="116">
      <c r="A116" s="20" t="n">
        <v>2</v>
      </c>
      <c r="B116" s="20" t="n">
        <v>15</v>
      </c>
      <c r="C116" s="21" t="inlineStr">
        <is>
          <t>AXTI</t>
        </is>
      </c>
      <c r="D116" s="20" t="inlineStr">
        <is>
          <t>AXT Inc</t>
        </is>
      </c>
      <c r="E116" s="23" t="n">
        <v>81.81</v>
      </c>
      <c r="F116" s="29" t="inlineStr">
        <is>
          <t>07-17 @ 41.93</t>
        </is>
      </c>
      <c r="G116" s="29" t="inlineStr">
        <is>
          <t>07-29 @ 36.73</t>
        </is>
      </c>
      <c r="H116" s="29" t="inlineStr">
        <is>
          <t>08-24 @ 61.86</t>
        </is>
      </c>
      <c r="I116" s="29" t="inlineStr">
        <is>
          <t>09-03 @ 52.76</t>
        </is>
      </c>
      <c r="J116" s="29" t="inlineStr">
        <is>
          <t>09-14 @ 56.90</t>
        </is>
      </c>
      <c r="K116" s="29" t="inlineStr">
        <is>
          <t>09-24 @ 69.60</t>
        </is>
      </c>
      <c r="L116" s="29" t="inlineStr">
        <is>
          <t>09-09 @ 73.94</t>
        </is>
      </c>
      <c r="M116" s="29" t="inlineStr">
        <is>
          <t>09-21 @ 81.50</t>
        </is>
      </c>
      <c r="N116" s="29" t="inlineStr"/>
      <c r="O116" s="29" t="inlineStr"/>
    </row>
    <row r="117">
      <c r="A117" s="20" t="n">
        <v>2</v>
      </c>
      <c r="B117" s="20" t="n">
        <v>16</v>
      </c>
      <c r="C117" s="21" t="inlineStr">
        <is>
          <t>EMBC</t>
        </is>
      </c>
      <c r="D117" s="20" t="inlineStr">
        <is>
          <t>Embecta Corp.</t>
        </is>
      </c>
      <c r="E117" s="23" t="n">
        <v>5.79</v>
      </c>
      <c r="F117" s="29" t="inlineStr">
        <is>
          <t>07-14 @ 3.07</t>
        </is>
      </c>
      <c r="G117" s="29" t="inlineStr">
        <is>
          <t>07-23 @ 3.19</t>
        </is>
      </c>
      <c r="H117" s="29" t="inlineStr">
        <is>
          <t>08-06 @ 3.47</t>
        </is>
      </c>
      <c r="I117" s="29" t="inlineStr">
        <is>
          <t>08-27 @ 4.80</t>
        </is>
      </c>
      <c r="J117" s="29" t="inlineStr">
        <is>
          <t>09-10 @ 4.87</t>
        </is>
      </c>
      <c r="K117" s="29" t="inlineStr"/>
      <c r="L117" s="29" t="inlineStr">
        <is>
          <t>09-04 @ 5.91</t>
        </is>
      </c>
      <c r="M117" s="29" t="inlineStr">
        <is>
          <t>09-28 @ 5.98</t>
        </is>
      </c>
      <c r="N117" s="29" t="inlineStr"/>
      <c r="O117" s="29" t="inlineStr"/>
    </row>
    <row r="118">
      <c r="A118" s="20" t="n">
        <v>2</v>
      </c>
      <c r="B118" s="20" t="n">
        <v>17</v>
      </c>
      <c r="C118" s="21" t="inlineStr">
        <is>
          <t>FTK</t>
        </is>
      </c>
      <c r="D118" s="20" t="inlineStr">
        <is>
          <t>Flotek Industries Inc.</t>
        </is>
      </c>
      <c r="E118" s="23" t="n">
        <v>29.79</v>
      </c>
      <c r="F118" s="29" t="inlineStr">
        <is>
          <t>07-17 @ 24.95</t>
        </is>
      </c>
      <c r="G118" s="29" t="inlineStr">
        <is>
          <t>07-29 @ 21.49</t>
        </is>
      </c>
      <c r="H118" s="29" t="inlineStr">
        <is>
          <t>08-26 @ 23.32</t>
        </is>
      </c>
      <c r="I118" s="29" t="inlineStr">
        <is>
          <t>09-02 @ 22.15</t>
        </is>
      </c>
      <c r="J118" s="29" t="inlineStr">
        <is>
          <t>09-14 @ 25.91</t>
        </is>
      </c>
      <c r="K118" s="29" t="inlineStr"/>
      <c r="L118" s="29" t="inlineStr">
        <is>
          <t>08-27 @ 24.92</t>
        </is>
      </c>
      <c r="M118" s="29" t="inlineStr">
        <is>
          <t>09-09 @ 28.73</t>
        </is>
      </c>
      <c r="N118" s="29" t="inlineStr">
        <is>
          <t>09-22 @ 31.89</t>
        </is>
      </c>
      <c r="O118" s="29" t="inlineStr"/>
    </row>
    <row r="119">
      <c r="A119" s="20" t="n">
        <v>2</v>
      </c>
      <c r="B119" s="20" t="n">
        <v>18</v>
      </c>
      <c r="C119" s="21" t="inlineStr">
        <is>
          <t>ALNT</t>
        </is>
      </c>
      <c r="D119" s="20" t="inlineStr">
        <is>
          <t>Allient Inc.</t>
        </is>
      </c>
      <c r="E119" s="23" t="n">
        <v>115.95</v>
      </c>
      <c r="F119" s="29" t="inlineStr">
        <is>
          <t>07-16 @ 82.67</t>
        </is>
      </c>
      <c r="G119" s="29" t="inlineStr">
        <is>
          <t>07-29 @ 78.38</t>
        </is>
      </c>
      <c r="H119" s="29" t="inlineStr">
        <is>
          <t>09-01 @ 85.97</t>
        </is>
      </c>
      <c r="I119" s="29" t="inlineStr">
        <is>
          <t>09-14 @ 89.29</t>
        </is>
      </c>
      <c r="J119" s="29" t="inlineStr"/>
      <c r="K119" s="29" t="inlineStr"/>
      <c r="L119" s="29" t="inlineStr">
        <is>
          <t>08-28 @ 99.98</t>
        </is>
      </c>
      <c r="M119" s="29" t="inlineStr">
        <is>
          <t>09-11 @ 101.15</t>
        </is>
      </c>
      <c r="N119" s="29" t="inlineStr"/>
      <c r="O119" s="29" t="inlineStr"/>
    </row>
    <row r="120">
      <c r="A120" s="20" t="n">
        <v>2</v>
      </c>
      <c r="B120" s="20" t="n">
        <v>19</v>
      </c>
      <c r="C120" s="21" t="inlineStr">
        <is>
          <t>NTSK</t>
        </is>
      </c>
      <c r="D120" s="20" t="inlineStr">
        <is>
          <t>Netskope Inc.</t>
        </is>
      </c>
      <c r="E120" s="23" t="n">
        <v>17.85</v>
      </c>
      <c r="F120" s="29" t="inlineStr">
        <is>
          <t>07-08 @ 11.22</t>
        </is>
      </c>
      <c r="G120" s="29" t="inlineStr">
        <is>
          <t>07-23 @ 10.54</t>
        </is>
      </c>
      <c r="H120" s="29" t="inlineStr">
        <is>
          <t>08-26 @ 13.14</t>
        </is>
      </c>
      <c r="I120" s="29" t="inlineStr">
        <is>
          <t>09-02 @ 13.26</t>
        </is>
      </c>
      <c r="J120" s="29" t="inlineStr"/>
      <c r="K120" s="29" t="inlineStr"/>
      <c r="L120" s="29" t="inlineStr">
        <is>
          <t>09-03 @ 15.64</t>
        </is>
      </c>
      <c r="M120" s="29" t="inlineStr">
        <is>
          <t>09-23 @ 18.96</t>
        </is>
      </c>
      <c r="N120" s="29" t="inlineStr"/>
      <c r="O120" s="29" t="inlineStr"/>
    </row>
    <row r="121">
      <c r="A121" s="20" t="n">
        <v>2</v>
      </c>
      <c r="B121" s="20" t="n">
        <v>20</v>
      </c>
      <c r="C121" s="21" t="inlineStr">
        <is>
          <t>SANM</t>
        </is>
      </c>
      <c r="D121" s="20" t="inlineStr">
        <is>
          <t>Sanmina Corporation</t>
        </is>
      </c>
      <c r="E121" s="23" t="n">
        <v>221.96</v>
      </c>
      <c r="F121" s="29" t="inlineStr">
        <is>
          <t>07-08 @ 199.46</t>
        </is>
      </c>
      <c r="G121" s="29" t="inlineStr">
        <is>
          <t>07-17 @ 187.50</t>
        </is>
      </c>
      <c r="H121" s="29" t="inlineStr">
        <is>
          <t>07-28 @ 162.41</t>
        </is>
      </c>
      <c r="I121" s="29" t="inlineStr">
        <is>
          <t>08-24 @ 181.00</t>
        </is>
      </c>
      <c r="J121" s="29" t="inlineStr">
        <is>
          <t>09-02 @ 182.47</t>
        </is>
      </c>
      <c r="K121" s="29" t="inlineStr">
        <is>
          <t>09-15 @ 189.58</t>
        </is>
      </c>
      <c r="L121" s="29" t="inlineStr">
        <is>
          <t>08-27 @ 207.03</t>
        </is>
      </c>
      <c r="M121" s="29" t="inlineStr">
        <is>
          <t>09-11 @ 219.14</t>
        </is>
      </c>
      <c r="N121" s="29" t="inlineStr">
        <is>
          <t>09-25 @ 232.50</t>
        </is>
      </c>
      <c r="O121" s="29" t="inlineStr"/>
    </row>
    <row r="122">
      <c r="A122" s="20" t="n">
        <v>2</v>
      </c>
      <c r="B122" s="20" t="n">
        <v>21</v>
      </c>
      <c r="C122" s="21" t="inlineStr">
        <is>
          <t>DHX</t>
        </is>
      </c>
      <c r="D122" s="20" t="inlineStr">
        <is>
          <t>DHI Group Inc.</t>
        </is>
      </c>
      <c r="E122" s="23" t="n">
        <v>4.77</v>
      </c>
      <c r="F122" s="29" t="inlineStr">
        <is>
          <t>07-15 @ 3.76</t>
        </is>
      </c>
      <c r="G122" s="29" t="inlineStr">
        <is>
          <t>07-23 @ 3.74</t>
        </is>
      </c>
      <c r="H122" s="29" t="inlineStr">
        <is>
          <t>08-06 @ 3.41</t>
        </is>
      </c>
      <c r="I122" s="29" t="inlineStr">
        <is>
          <t>08-31 @ 3.91</t>
        </is>
      </c>
      <c r="J122" s="29" t="inlineStr">
        <is>
          <t>09-08 @ 4.06</t>
        </is>
      </c>
      <c r="K122" s="29" t="inlineStr">
        <is>
          <t>09-28 @ 4.54</t>
        </is>
      </c>
      <c r="L122" s="29" t="inlineStr">
        <is>
          <t>09-03 @ 4.79</t>
        </is>
      </c>
      <c r="M122" s="29" t="inlineStr">
        <is>
          <t>09-16 @ 5.19</t>
        </is>
      </c>
      <c r="N122" s="29" t="inlineStr"/>
      <c r="O122" s="29" t="inlineStr"/>
    </row>
    <row r="123">
      <c r="A123" s="20" t="n">
        <v>2</v>
      </c>
      <c r="B123" s="20" t="n">
        <v>22</v>
      </c>
      <c r="C123" s="21" t="inlineStr">
        <is>
          <t>SMCI</t>
        </is>
      </c>
      <c r="D123" s="20" t="inlineStr">
        <is>
          <t>Super Micro Computer Inc.</t>
        </is>
      </c>
      <c r="E123" s="23" t="n">
        <v>41.92</v>
      </c>
      <c r="F123" s="29" t="inlineStr">
        <is>
          <t>07-17 @ 23.38</t>
        </is>
      </c>
      <c r="G123" s="29" t="inlineStr">
        <is>
          <t>07-29 @ 25.68</t>
        </is>
      </c>
      <c r="H123" s="29" t="inlineStr">
        <is>
          <t>08-24 @ 34.09</t>
        </is>
      </c>
      <c r="I123" s="29" t="inlineStr">
        <is>
          <t>09-02 @ 35.63</t>
        </is>
      </c>
      <c r="J123" s="29" t="inlineStr">
        <is>
          <t>09-16 @ 35.36</t>
        </is>
      </c>
      <c r="K123" s="29" t="inlineStr">
        <is>
          <t>09-24 @ 39.85</t>
        </is>
      </c>
      <c r="L123" s="29" t="inlineStr">
        <is>
          <t>08-27 @ 39.47</t>
        </is>
      </c>
      <c r="M123" s="29" t="inlineStr">
        <is>
          <t>09-08 @ 41.53</t>
        </is>
      </c>
      <c r="N123" s="29" t="inlineStr">
        <is>
          <t>09-25 @ 43.76</t>
        </is>
      </c>
      <c r="O123" s="29" t="inlineStr"/>
    </row>
    <row r="124">
      <c r="A124" s="20" t="n">
        <v>2</v>
      </c>
      <c r="B124" s="20" t="n">
        <v>23</v>
      </c>
      <c r="C124" s="21" t="inlineStr">
        <is>
          <t>COHU</t>
        </is>
      </c>
      <c r="D124" s="20" t="inlineStr">
        <is>
          <t>Cohu Inc.</t>
        </is>
      </c>
      <c r="E124" s="23" t="n">
        <v>70.34</v>
      </c>
      <c r="F124" s="29" t="inlineStr">
        <is>
          <t>07-08 @ 49.65</t>
        </is>
      </c>
      <c r="G124" s="29" t="inlineStr">
        <is>
          <t>07-17 @ 46.05</t>
        </is>
      </c>
      <c r="H124" s="29" t="inlineStr">
        <is>
          <t>07-29 @ 39.20</t>
        </is>
      </c>
      <c r="I124" s="29" t="inlineStr">
        <is>
          <t>09-02 @ 43.27</t>
        </is>
      </c>
      <c r="J124" s="29" t="inlineStr">
        <is>
          <t>09-15 @ 48.14</t>
        </is>
      </c>
      <c r="K124" s="29" t="inlineStr"/>
      <c r="L124" s="29" t="inlineStr">
        <is>
          <t>08-27 @ 53.66</t>
        </is>
      </c>
      <c r="M124" s="29" t="inlineStr">
        <is>
          <t>09-11 @ 58.71</t>
        </is>
      </c>
      <c r="N124" s="29" t="inlineStr"/>
      <c r="O124" s="29" t="inlineStr"/>
    </row>
    <row r="125">
      <c r="A125" s="20" t="n">
        <v>2</v>
      </c>
      <c r="B125" s="20" t="n">
        <v>24</v>
      </c>
      <c r="C125" s="21" t="inlineStr">
        <is>
          <t>VLGEA</t>
        </is>
      </c>
      <c r="D125" s="20" t="inlineStr">
        <is>
          <t>Village Super Market Inc.</t>
        </is>
      </c>
      <c r="E125" s="23" t="n">
        <v>45.53</v>
      </c>
      <c r="F125" s="29" t="inlineStr">
        <is>
          <t>07-23 @ 41.29</t>
        </is>
      </c>
      <c r="G125" s="29" t="inlineStr">
        <is>
          <t>08-11 @ 41.00</t>
        </is>
      </c>
      <c r="H125" s="29" t="inlineStr">
        <is>
          <t>08-20 @ 42.35</t>
        </is>
      </c>
      <c r="I125" s="29" t="inlineStr">
        <is>
          <t>09-01 @ 41.68</t>
        </is>
      </c>
      <c r="J125" s="29" t="inlineStr">
        <is>
          <t>09-09 @ 42.04</t>
        </is>
      </c>
      <c r="K125" s="29" t="inlineStr">
        <is>
          <t>09-18 @ 43.38</t>
        </is>
      </c>
      <c r="L125" s="29" t="inlineStr">
        <is>
          <t>08-31 @ 44.87</t>
        </is>
      </c>
      <c r="M125" s="29" t="inlineStr"/>
      <c r="N125" s="29" t="inlineStr"/>
      <c r="O125" s="29" t="inlineStr"/>
    </row>
    <row r="126">
      <c r="A126" s="20" t="n">
        <v>2</v>
      </c>
      <c r="B126" s="20" t="n">
        <v>25</v>
      </c>
      <c r="C126" s="21" t="inlineStr">
        <is>
          <t>AEHR</t>
        </is>
      </c>
      <c r="D126" s="20" t="inlineStr">
        <is>
          <t>Aehr Test Systems</t>
        </is>
      </c>
      <c r="E126" s="23" t="n">
        <v>101.6</v>
      </c>
      <c r="F126" s="29" t="inlineStr">
        <is>
          <t>07-08 @ 63.32</t>
        </is>
      </c>
      <c r="G126" s="29" t="inlineStr">
        <is>
          <t>07-20 @ 75.20</t>
        </is>
      </c>
      <c r="H126" s="29" t="inlineStr">
        <is>
          <t>07-29 @ 63.81</t>
        </is>
      </c>
      <c r="I126" s="29" t="inlineStr">
        <is>
          <t>09-01 @ 74.23</t>
        </is>
      </c>
      <c r="J126" s="29" t="inlineStr">
        <is>
          <t>09-15 @ 80.95</t>
        </is>
      </c>
      <c r="K126" s="29" t="inlineStr"/>
      <c r="L126" s="29" t="inlineStr">
        <is>
          <t>09-11 @ 102.79</t>
        </is>
      </c>
      <c r="M126" s="29" t="inlineStr"/>
      <c r="N126" s="29" t="inlineStr"/>
      <c r="O126" s="29" t="inlineStr"/>
    </row>
    <row r="127">
      <c r="A127" s="20" t="n">
        <v>2</v>
      </c>
      <c r="B127" s="20" t="n">
        <v>26</v>
      </c>
      <c r="C127" s="21" t="inlineStr">
        <is>
          <t>SITM</t>
        </is>
      </c>
      <c r="D127" s="20" t="inlineStr">
        <is>
          <t>SiTime Corporation</t>
        </is>
      </c>
      <c r="E127" s="23" t="n">
        <v>678.87</v>
      </c>
      <c r="F127" s="29" t="inlineStr">
        <is>
          <t>07-17 @ 520.02</t>
        </is>
      </c>
      <c r="G127" s="29" t="inlineStr">
        <is>
          <t>07-29 @ 459.01</t>
        </is>
      </c>
      <c r="H127" s="29" t="inlineStr">
        <is>
          <t>08-24 @ 572.55</t>
        </is>
      </c>
      <c r="I127" s="29" t="inlineStr">
        <is>
          <t>09-01 @ 536.11</t>
        </is>
      </c>
      <c r="J127" s="29" t="inlineStr">
        <is>
          <t>09-16 @ 539.54</t>
        </is>
      </c>
      <c r="K127" s="29" t="inlineStr">
        <is>
          <t>09-24 @ 578.53</t>
        </is>
      </c>
      <c r="L127" s="29" t="inlineStr">
        <is>
          <t>08-27 @ 624.08</t>
        </is>
      </c>
      <c r="M127" s="29" t="inlineStr">
        <is>
          <t>09-11 @ 645.00</t>
        </is>
      </c>
      <c r="N127" s="29" t="inlineStr"/>
      <c r="O127" s="29" t="inlineStr"/>
    </row>
    <row r="128">
      <c r="A128" s="20" t="n">
        <v>2</v>
      </c>
      <c r="B128" s="20" t="n">
        <v>27</v>
      </c>
      <c r="C128" s="21" t="inlineStr">
        <is>
          <t>TWLO</t>
        </is>
      </c>
      <c r="D128" s="20" t="inlineStr">
        <is>
          <t>Twilio Inc.</t>
        </is>
      </c>
      <c r="E128" s="23" t="n">
        <v>301.27</v>
      </c>
      <c r="F128" s="29" t="inlineStr">
        <is>
          <t>07-23 @ 179.65</t>
        </is>
      </c>
      <c r="G128" s="29" t="inlineStr">
        <is>
          <t>07-29 @ 182.60</t>
        </is>
      </c>
      <c r="H128" s="29" t="inlineStr">
        <is>
          <t>08-06 @ 187.10</t>
        </is>
      </c>
      <c r="I128" s="29" t="inlineStr">
        <is>
          <t>08-21 @ 215.79</t>
        </is>
      </c>
      <c r="J128" s="29" t="inlineStr">
        <is>
          <t>09-08 @ 221.86</t>
        </is>
      </c>
      <c r="K128" s="29" t="inlineStr">
        <is>
          <t>09-28 @ 265.40</t>
        </is>
      </c>
      <c r="L128" s="29" t="inlineStr">
        <is>
          <t>08-28 @ 243.98</t>
        </is>
      </c>
      <c r="M128" s="29" t="inlineStr">
        <is>
          <t>09-03 @ 241.01</t>
        </is>
      </c>
      <c r="N128" s="29" t="inlineStr">
        <is>
          <t>09-24 @ 304.75</t>
        </is>
      </c>
      <c r="O128" s="29" t="inlineStr"/>
    </row>
    <row r="129">
      <c r="A129" s="20" t="n">
        <v>2</v>
      </c>
      <c r="B129" s="20" t="n">
        <v>28</v>
      </c>
      <c r="C129" s="21" t="inlineStr">
        <is>
          <t>GH</t>
        </is>
      </c>
      <c r="D129" s="20" t="inlineStr">
        <is>
          <t>Guardant Health Inc.</t>
        </is>
      </c>
      <c r="E129" s="23" t="n">
        <v>174.75</v>
      </c>
      <c r="F129" s="29" t="inlineStr">
        <is>
          <t>07-29 @ 140.86</t>
        </is>
      </c>
      <c r="G129" s="29" t="inlineStr">
        <is>
          <t>08-17 @ 155.00</t>
        </is>
      </c>
      <c r="H129" s="29" t="inlineStr">
        <is>
          <t>08-31 @ 155.63</t>
        </is>
      </c>
      <c r="I129" s="29" t="inlineStr">
        <is>
          <t>09-04 @ 154.00</t>
        </is>
      </c>
      <c r="J129" s="29" t="inlineStr">
        <is>
          <t>09-14 @ 155.78</t>
        </is>
      </c>
      <c r="K129" s="29" t="inlineStr">
        <is>
          <t>09-22 @ 170.50</t>
        </is>
      </c>
      <c r="L129" s="29" t="inlineStr">
        <is>
          <t>09-17 @ 183.51</t>
        </is>
      </c>
      <c r="M129" s="29" t="inlineStr">
        <is>
          <t>09-24 @ 181.79</t>
        </is>
      </c>
      <c r="N129" s="29" t="inlineStr"/>
      <c r="O129" s="29" t="inlineStr"/>
    </row>
    <row r="130">
      <c r="A130" s="20" t="n">
        <v>2</v>
      </c>
      <c r="B130" s="20" t="n">
        <v>29</v>
      </c>
      <c r="C130" s="21" t="inlineStr">
        <is>
          <t>TBCH</t>
        </is>
      </c>
      <c r="D130" s="20" t="inlineStr">
        <is>
          <t>Turtle Beach Corporation</t>
        </is>
      </c>
      <c r="E130" s="23" t="n">
        <v>12.79</v>
      </c>
      <c r="F130" s="29" t="inlineStr">
        <is>
          <t>07-24 @ 11.83</t>
        </is>
      </c>
      <c r="G130" s="29" t="inlineStr">
        <is>
          <t>07-30 @ 11.90</t>
        </is>
      </c>
      <c r="H130" s="29" t="inlineStr">
        <is>
          <t>08-20 @ 11.89</t>
        </is>
      </c>
      <c r="I130" s="29" t="inlineStr">
        <is>
          <t>09-02 @ 11.98</t>
        </is>
      </c>
      <c r="J130" s="29" t="inlineStr">
        <is>
          <t>09-10 @ 11.77</t>
        </is>
      </c>
      <c r="K130" s="29" t="inlineStr">
        <is>
          <t>09-28 @ 12.59</t>
        </is>
      </c>
      <c r="L130" s="29" t="inlineStr">
        <is>
          <t>08-27 @ 13.32</t>
        </is>
      </c>
      <c r="M130" s="29" t="inlineStr">
        <is>
          <t>09-11 @ 12.83</t>
        </is>
      </c>
      <c r="N130" s="29" t="inlineStr">
        <is>
          <t>09-22 @ 13.01</t>
        </is>
      </c>
      <c r="O130" s="29" t="inlineStr"/>
    </row>
    <row r="131">
      <c r="A131" s="20" t="n">
        <v>2</v>
      </c>
      <c r="B131" s="20" t="n">
        <v>30</v>
      </c>
      <c r="C131" s="21" t="inlineStr">
        <is>
          <t>ALMR</t>
        </is>
      </c>
      <c r="D131" s="20" t="inlineStr">
        <is>
          <t>Alamar Biosciences Inc.</t>
        </is>
      </c>
      <c r="E131" s="23" t="n">
        <v>32.46</v>
      </c>
      <c r="F131" s="29" t="inlineStr">
        <is>
          <t>07-29 @ 23.32</t>
        </is>
      </c>
      <c r="G131" s="29" t="inlineStr">
        <is>
          <t>08-18 @ 32.00</t>
        </is>
      </c>
      <c r="H131" s="29" t="inlineStr">
        <is>
          <t>08-24 @ 32.06</t>
        </is>
      </c>
      <c r="I131" s="29" t="inlineStr">
        <is>
          <t>09-01 @ 29.15</t>
        </is>
      </c>
      <c r="J131" s="29" t="inlineStr">
        <is>
          <t>09-14 @ 27.25</t>
        </is>
      </c>
      <c r="K131" s="29" t="inlineStr">
        <is>
          <t>09-24 @ 31.68</t>
        </is>
      </c>
      <c r="L131" s="29" t="inlineStr">
        <is>
          <t>08-27 @ 34.98</t>
        </is>
      </c>
      <c r="M131" s="29" t="inlineStr">
        <is>
          <t>09-18 @ 37.76</t>
        </is>
      </c>
      <c r="N131" s="29" t="inlineStr"/>
      <c r="O131" s="29" t="inlineStr"/>
    </row>
    <row r="132">
      <c r="A132" s="20" t="n">
        <v>2</v>
      </c>
      <c r="B132" s="20" t="n">
        <v>31</v>
      </c>
      <c r="C132" s="21" t="inlineStr">
        <is>
          <t>MSTR</t>
        </is>
      </c>
      <c r="D132" s="20" t="inlineStr">
        <is>
          <t>Strategy Inc</t>
        </is>
      </c>
      <c r="E132" s="23" t="n">
        <v>160.5</v>
      </c>
      <c r="F132" s="29" t="inlineStr">
        <is>
          <t>07-17 @ 90.06</t>
        </is>
      </c>
      <c r="G132" s="29" t="inlineStr">
        <is>
          <t>07-24 @ 89.76</t>
        </is>
      </c>
      <c r="H132" s="29" t="inlineStr">
        <is>
          <t>07-31 @ 89.21</t>
        </is>
      </c>
      <c r="I132" s="29" t="inlineStr">
        <is>
          <t>08-14 @ 91.67</t>
        </is>
      </c>
      <c r="J132" s="29" t="inlineStr">
        <is>
          <t>09-02 @ 121.38</t>
        </is>
      </c>
      <c r="K132" s="29" t="inlineStr">
        <is>
          <t>09-16 @ 123.33</t>
        </is>
      </c>
      <c r="L132" s="29" t="inlineStr">
        <is>
          <t>08-27 @ 139.78</t>
        </is>
      </c>
      <c r="M132" s="29" t="inlineStr">
        <is>
          <t>09-03 @ 144.92</t>
        </is>
      </c>
      <c r="N132" s="29" t="inlineStr">
        <is>
          <t>09-22 @ 171.19</t>
        </is>
      </c>
      <c r="O132" s="29" t="inlineStr"/>
    </row>
    <row r="133">
      <c r="A133" s="20" t="n">
        <v>2</v>
      </c>
      <c r="B133" s="20" t="n">
        <v>32</v>
      </c>
      <c r="C133" s="21" t="inlineStr">
        <is>
          <t>TWST</t>
        </is>
      </c>
      <c r="D133" s="20" t="inlineStr">
        <is>
          <t>Twist Bioscience Corporation</t>
        </is>
      </c>
      <c r="E133" s="23" t="n">
        <v>188.05</v>
      </c>
      <c r="F133" s="29" t="inlineStr">
        <is>
          <t>07-08 @ 87.57</t>
        </is>
      </c>
      <c r="G133" s="29" t="inlineStr">
        <is>
          <t>07-17 @ 85.02</t>
        </is>
      </c>
      <c r="H133" s="29" t="inlineStr">
        <is>
          <t>08-03 @ 80.59</t>
        </is>
      </c>
      <c r="I133" s="29" t="inlineStr">
        <is>
          <t>08-18 @ 115.28</t>
        </is>
      </c>
      <c r="J133" s="29" t="inlineStr">
        <is>
          <t>09-10 @ 120.19</t>
        </is>
      </c>
      <c r="K133" s="29" t="inlineStr">
        <is>
          <t>09-24 @ 156.83</t>
        </is>
      </c>
      <c r="L133" s="29" t="inlineStr">
        <is>
          <t>08-27 @ 155.44</t>
        </is>
      </c>
      <c r="M133" s="29" t="inlineStr"/>
      <c r="N133" s="29" t="inlineStr"/>
      <c r="O133" s="29" t="inlineStr"/>
    </row>
    <row r="134">
      <c r="A134" s="20" t="n">
        <v>2</v>
      </c>
      <c r="B134" s="20" t="n">
        <v>33</v>
      </c>
      <c r="C134" s="21" t="inlineStr">
        <is>
          <t>GEV</t>
        </is>
      </c>
      <c r="D134" s="20" t="inlineStr">
        <is>
          <t>GE Vernova Inc.</t>
        </is>
      </c>
      <c r="E134" s="23" t="n">
        <v>987.45</v>
      </c>
      <c r="F134" s="29" t="inlineStr">
        <is>
          <t>07-17 @ 982.00</t>
        </is>
      </c>
      <c r="G134" s="29" t="inlineStr">
        <is>
          <t>07-29 @ 897.68</t>
        </is>
      </c>
      <c r="H134" s="29" t="inlineStr">
        <is>
          <t>08-07 @ 963.54</t>
        </is>
      </c>
      <c r="I134" s="29" t="inlineStr">
        <is>
          <t>09-01 @ 874.00</t>
        </is>
      </c>
      <c r="J134" s="29" t="inlineStr">
        <is>
          <t>09-14 @ 868.25</t>
        </is>
      </c>
      <c r="K134" s="29" t="inlineStr">
        <is>
          <t>09-24 @ 921.53</t>
        </is>
      </c>
      <c r="L134" s="29" t="inlineStr">
        <is>
          <t>08-27 @ 979.00</t>
        </is>
      </c>
      <c r="M134" s="29" t="inlineStr">
        <is>
          <t>09-09 @ 983.34</t>
        </is>
      </c>
      <c r="N134" s="29" t="inlineStr">
        <is>
          <t>09-17 @ 971.34</t>
        </is>
      </c>
      <c r="O134" s="29" t="inlineStr"/>
    </row>
    <row r="135">
      <c r="A135" s="20" t="n">
        <v>2</v>
      </c>
      <c r="B135" s="20" t="n">
        <v>34</v>
      </c>
      <c r="C135" s="21" t="inlineStr">
        <is>
          <t>OKTA</t>
        </is>
      </c>
      <c r="D135" s="20" t="inlineStr">
        <is>
          <t>Okta Inc.</t>
        </is>
      </c>
      <c r="E135" s="23" t="n">
        <v>212.63</v>
      </c>
      <c r="F135" s="29" t="inlineStr">
        <is>
          <t>07-28 @ 129.02</t>
        </is>
      </c>
      <c r="G135" s="29" t="inlineStr">
        <is>
          <t>08-06 @ 140.00</t>
        </is>
      </c>
      <c r="H135" s="29" t="inlineStr">
        <is>
          <t>08-26 @ 127.60</t>
        </is>
      </c>
      <c r="I135" s="29" t="inlineStr">
        <is>
          <t>09-02 @ 157.73</t>
        </is>
      </c>
      <c r="J135" s="29" t="inlineStr">
        <is>
          <t>09-21 @ 180.55</t>
        </is>
      </c>
      <c r="K135" s="29" t="inlineStr">
        <is>
          <t>09-28 @ 190.50</t>
        </is>
      </c>
      <c r="L135" s="29" t="inlineStr">
        <is>
          <t>08-27 @ 174.85</t>
        </is>
      </c>
      <c r="M135" s="29" t="inlineStr">
        <is>
          <t>09-24 @ 212.50</t>
        </is>
      </c>
      <c r="N135" s="29" t="inlineStr"/>
      <c r="O135" s="29" t="inlineStr"/>
    </row>
    <row r="136">
      <c r="A136" s="20" t="n">
        <v>2</v>
      </c>
      <c r="B136" s="20" t="n">
        <v>35</v>
      </c>
      <c r="C136" s="21" t="inlineStr">
        <is>
          <t>CVI</t>
        </is>
      </c>
      <c r="D136" s="20" t="inlineStr">
        <is>
          <t>CVR Energy Inc.</t>
        </is>
      </c>
      <c r="E136" s="23" t="n">
        <v>54.36</v>
      </c>
      <c r="F136" s="29" t="inlineStr">
        <is>
          <t>07-27 @ 32.61</t>
        </is>
      </c>
      <c r="G136" s="29" t="inlineStr">
        <is>
          <t>08-07 @ 29.80</t>
        </is>
      </c>
      <c r="H136" s="29" t="inlineStr">
        <is>
          <t>09-25 @ 49.76</t>
        </is>
      </c>
      <c r="I136" s="29" t="inlineStr"/>
      <c r="J136" s="29" t="inlineStr"/>
      <c r="K136" s="29" t="inlineStr"/>
      <c r="L136" s="29" t="inlineStr">
        <is>
          <t>09-21 @ 55.19</t>
        </is>
      </c>
      <c r="M136" s="29" t="inlineStr"/>
      <c r="N136" s="29" t="inlineStr"/>
      <c r="O136" s="29" t="inlineStr"/>
    </row>
    <row r="137">
      <c r="A137" s="20" t="n">
        <v>2</v>
      </c>
      <c r="B137" s="20" t="n">
        <v>36</v>
      </c>
      <c r="C137" s="21" t="inlineStr">
        <is>
          <t>AMBQ</t>
        </is>
      </c>
      <c r="D137" s="20" t="inlineStr">
        <is>
          <t>Ambiq Micro Inc.</t>
        </is>
      </c>
      <c r="E137" s="23" t="n">
        <v>69.15000000000001</v>
      </c>
      <c r="F137" s="29" t="inlineStr">
        <is>
          <t>07-17 @ 66.25</t>
        </is>
      </c>
      <c r="G137" s="29" t="inlineStr">
        <is>
          <t>07-29 @ 56.39</t>
        </is>
      </c>
      <c r="H137" s="29" t="inlineStr">
        <is>
          <t>08-20 @ 56.10</t>
        </is>
      </c>
      <c r="I137" s="29" t="inlineStr">
        <is>
          <t>09-03 @ 54.87</t>
        </is>
      </c>
      <c r="J137" s="29" t="inlineStr">
        <is>
          <t>09-16 @ 58.47</t>
        </is>
      </c>
      <c r="K137" s="29" t="inlineStr"/>
      <c r="L137" s="29" t="inlineStr">
        <is>
          <t>09-09 @ 66.08</t>
        </is>
      </c>
      <c r="M137" s="29" t="inlineStr">
        <is>
          <t>09-22 @ 73.08</t>
        </is>
      </c>
      <c r="N137" s="29" t="inlineStr"/>
      <c r="O137" s="29" t="inlineStr"/>
    </row>
    <row r="138">
      <c r="A138" s="20" t="n">
        <v>2</v>
      </c>
      <c r="B138" s="20" t="n">
        <v>37</v>
      </c>
      <c r="C138" s="21" t="inlineStr">
        <is>
          <t>ALAB</t>
        </is>
      </c>
      <c r="D138" s="20" t="inlineStr">
        <is>
          <t>Astera Labs Inc.</t>
        </is>
      </c>
      <c r="E138" s="23" t="n">
        <v>356.42</v>
      </c>
      <c r="F138" s="29" t="inlineStr">
        <is>
          <t>07-29 @ 244.61</t>
        </is>
      </c>
      <c r="G138" s="29" t="inlineStr">
        <is>
          <t>08-11 @ 306.50</t>
        </is>
      </c>
      <c r="H138" s="29" t="inlineStr">
        <is>
          <t>08-24 @ 266.31</t>
        </is>
      </c>
      <c r="I138" s="29" t="inlineStr">
        <is>
          <t>09-03 @ 262.45</t>
        </is>
      </c>
      <c r="J138" s="29" t="inlineStr">
        <is>
          <t>09-15 @ 251.62</t>
        </is>
      </c>
      <c r="K138" s="29" t="inlineStr">
        <is>
          <t>09-28 @ 342.00</t>
        </is>
      </c>
      <c r="L138" s="29" t="inlineStr">
        <is>
          <t>08-27 @ 310.14</t>
        </is>
      </c>
      <c r="M138" s="29" t="inlineStr">
        <is>
          <t>09-04 @ 321.65</t>
        </is>
      </c>
      <c r="N138" s="29" t="inlineStr">
        <is>
          <t>09-25 @ 377.87</t>
        </is>
      </c>
      <c r="O138" s="29" t="inlineStr"/>
    </row>
    <row r="139">
      <c r="A139" s="20" t="n">
        <v>2</v>
      </c>
      <c r="B139" s="20" t="n">
        <v>38</v>
      </c>
      <c r="C139" s="21" t="inlineStr">
        <is>
          <t>EVCM</t>
        </is>
      </c>
      <c r="D139" s="20" t="inlineStr">
        <is>
          <t>EverCommerce Inc.</t>
        </is>
      </c>
      <c r="E139" s="23" t="n">
        <v>9.890000000000001</v>
      </c>
      <c r="F139" s="29" t="inlineStr">
        <is>
          <t>07-09 @ 9.67</t>
        </is>
      </c>
      <c r="G139" s="29" t="inlineStr">
        <is>
          <t>07-22 @ 10.88</t>
        </is>
      </c>
      <c r="H139" s="29" t="inlineStr">
        <is>
          <t>08-12 @ 9.64</t>
        </is>
      </c>
      <c r="I139" s="29" t="inlineStr">
        <is>
          <t>08-26 @ 8.73</t>
        </is>
      </c>
      <c r="J139" s="29" t="inlineStr">
        <is>
          <t>09-11 @ 6.21</t>
        </is>
      </c>
      <c r="K139" s="29" t="inlineStr">
        <is>
          <t>09-28 @ 7.46</t>
        </is>
      </c>
      <c r="L139" s="29" t="inlineStr"/>
      <c r="M139" s="29" t="inlineStr"/>
      <c r="N139" s="29" t="inlineStr"/>
      <c r="O139" s="29" t="inlineStr"/>
    </row>
    <row r="140">
      <c r="A140" s="20" t="n">
        <v>2</v>
      </c>
      <c r="B140" s="20" t="n">
        <v>39</v>
      </c>
      <c r="C140" s="21" t="inlineStr">
        <is>
          <t>FBLA</t>
        </is>
      </c>
      <c r="D140" s="20" t="inlineStr">
        <is>
          <t>FB Bancorp Inc.</t>
        </is>
      </c>
      <c r="E140" s="23" t="n">
        <v>16.78</v>
      </c>
      <c r="F140" s="29" t="inlineStr">
        <is>
          <t>07-29 @ 15.30</t>
        </is>
      </c>
      <c r="G140" s="29" t="inlineStr">
        <is>
          <t>08-07 @ 15.37</t>
        </is>
      </c>
      <c r="H140" s="29" t="inlineStr">
        <is>
          <t>08-18 @ 15.44</t>
        </is>
      </c>
      <c r="I140" s="29" t="inlineStr">
        <is>
          <t>08-31 @ 15.38</t>
        </is>
      </c>
      <c r="J140" s="29" t="inlineStr">
        <is>
          <t>09-10 @ 15.72</t>
        </is>
      </c>
      <c r="K140" s="29" t="inlineStr">
        <is>
          <t>09-18 @ 15.73</t>
        </is>
      </c>
      <c r="L140" s="29" t="inlineStr">
        <is>
          <t>08-27 @ 16.00</t>
        </is>
      </c>
      <c r="M140" s="29" t="inlineStr">
        <is>
          <t>09-04 @ 16.03</t>
        </is>
      </c>
      <c r="N140" s="29" t="inlineStr"/>
      <c r="O140" s="29" t="inlineStr"/>
    </row>
    <row r="141">
      <c r="A141" s="20" t="n">
        <v>2</v>
      </c>
      <c r="B141" s="20" t="n">
        <v>40</v>
      </c>
      <c r="C141" s="21" t="inlineStr">
        <is>
          <t>CURI</t>
        </is>
      </c>
      <c r="D141" s="20" t="inlineStr">
        <is>
          <t>CuriosityStream Inc.</t>
        </is>
      </c>
      <c r="E141" s="23" t="n">
        <v>2.93</v>
      </c>
      <c r="F141" s="29" t="inlineStr">
        <is>
          <t>07-24 @ 2.35</t>
        </is>
      </c>
      <c r="G141" s="29" t="inlineStr">
        <is>
          <t>07-31 @ 2.37</t>
        </is>
      </c>
      <c r="H141" s="29" t="inlineStr">
        <is>
          <t>08-18 @ 2.71</t>
        </is>
      </c>
      <c r="I141" s="29" t="inlineStr">
        <is>
          <t>08-27 @ 2.51</t>
        </is>
      </c>
      <c r="J141" s="29" t="inlineStr">
        <is>
          <t>09-09 @ 2.59</t>
        </is>
      </c>
      <c r="K141" s="29" t="inlineStr">
        <is>
          <t>09-18 @ 2.75</t>
        </is>
      </c>
      <c r="L141" s="29" t="inlineStr">
        <is>
          <t>09-03 @ 3.00</t>
        </is>
      </c>
      <c r="M141" s="29" t="inlineStr">
        <is>
          <t>09-16 @ 2.89</t>
        </is>
      </c>
      <c r="N141" s="29" t="inlineStr">
        <is>
          <t>09-25 @ 3.14</t>
        </is>
      </c>
      <c r="O141" s="29" t="inlineStr"/>
    </row>
    <row r="142">
      <c r="A142" s="20" t="n">
        <v>2</v>
      </c>
      <c r="B142" s="20" t="n">
        <v>41</v>
      </c>
      <c r="C142" s="21" t="inlineStr">
        <is>
          <t>RXRX</t>
        </is>
      </c>
      <c r="D142" s="20" t="inlineStr">
        <is>
          <t>Recursion Pharmaceuticals Inc.</t>
        </is>
      </c>
      <c r="E142" s="23" t="n">
        <v>4.07</v>
      </c>
      <c r="F142" s="29" t="inlineStr">
        <is>
          <t>07-20 @ 2.84</t>
        </is>
      </c>
      <c r="G142" s="29" t="inlineStr">
        <is>
          <t>07-28 @ 2.86</t>
        </is>
      </c>
      <c r="H142" s="29" t="inlineStr">
        <is>
          <t>08-18 @ 2.92</t>
        </is>
      </c>
      <c r="I142" s="29" t="inlineStr">
        <is>
          <t>08-31 @ 3.25</t>
        </is>
      </c>
      <c r="J142" s="29" t="inlineStr">
        <is>
          <t>09-10 @ 3.10</t>
        </is>
      </c>
      <c r="K142" s="29" t="inlineStr">
        <is>
          <t>09-24 @ 3.61</t>
        </is>
      </c>
      <c r="L142" s="29" t="inlineStr">
        <is>
          <t>09-04 @ 3.70</t>
        </is>
      </c>
      <c r="M142" s="29" t="inlineStr">
        <is>
          <t>09-22 @ 4.16</t>
        </is>
      </c>
      <c r="N142" s="29" t="inlineStr"/>
      <c r="O142" s="29" t="inlineStr"/>
    </row>
    <row r="143">
      <c r="A143" s="20" t="n">
        <v>2</v>
      </c>
      <c r="B143" s="20" t="n">
        <v>42</v>
      </c>
      <c r="C143" s="21" t="inlineStr">
        <is>
          <t>A</t>
        </is>
      </c>
      <c r="D143" s="20" t="inlineStr">
        <is>
          <t>Agilent Technologies Inc.</t>
        </is>
      </c>
      <c r="E143" s="23" t="n">
        <v>166.68</v>
      </c>
      <c r="F143" s="29" t="inlineStr">
        <is>
          <t>07-08 @ 127.46</t>
        </is>
      </c>
      <c r="G143" s="29" t="inlineStr">
        <is>
          <t>07-21 @ 125.00</t>
        </is>
      </c>
      <c r="H143" s="29" t="inlineStr">
        <is>
          <t>07-31 @ 135.78</t>
        </is>
      </c>
      <c r="I143" s="29" t="inlineStr">
        <is>
          <t>09-10 @ 141.25</t>
        </is>
      </c>
      <c r="J143" s="29" t="inlineStr"/>
      <c r="K143" s="29" t="inlineStr"/>
      <c r="L143" s="29" t="inlineStr">
        <is>
          <t>08-27 @ 163.75</t>
        </is>
      </c>
      <c r="M143" s="29" t="inlineStr"/>
      <c r="N143" s="29" t="inlineStr"/>
      <c r="O143" s="29" t="inlineStr"/>
    </row>
    <row r="144">
      <c r="A144" s="20" t="n">
        <v>2</v>
      </c>
      <c r="B144" s="20" t="n">
        <v>43</v>
      </c>
      <c r="C144" s="21" t="inlineStr">
        <is>
          <t>RNG</t>
        </is>
      </c>
      <c r="D144" s="20" t="inlineStr">
        <is>
          <t>RingCentral Inc.</t>
        </is>
      </c>
      <c r="E144" s="23" t="n">
        <v>78.31</v>
      </c>
      <c r="F144" s="29" t="inlineStr">
        <is>
          <t>07-09 @ 37.95</t>
        </is>
      </c>
      <c r="G144" s="29" t="inlineStr">
        <is>
          <t>07-23 @ 37.09</t>
        </is>
      </c>
      <c r="H144" s="29" t="inlineStr">
        <is>
          <t>07-31 @ 52.61</t>
        </is>
      </c>
      <c r="I144" s="29" t="inlineStr">
        <is>
          <t>08-12 @ 61.34</t>
        </is>
      </c>
      <c r="J144" s="29" t="inlineStr">
        <is>
          <t>08-26 @ 63.00</t>
        </is>
      </c>
      <c r="K144" s="29" t="inlineStr">
        <is>
          <t>09-11 @ 67.97</t>
        </is>
      </c>
      <c r="L144" s="29" t="inlineStr">
        <is>
          <t>09-03 @ 77.95</t>
        </is>
      </c>
      <c r="M144" s="29" t="inlineStr">
        <is>
          <t>09-23 @ 81.90</t>
        </is>
      </c>
      <c r="N144" s="29" t="inlineStr"/>
      <c r="O144" s="29" t="inlineStr"/>
    </row>
    <row r="145">
      <c r="A145" s="20" t="n">
        <v>2</v>
      </c>
      <c r="B145" s="20" t="n">
        <v>44</v>
      </c>
      <c r="C145" s="21" t="inlineStr">
        <is>
          <t>DOCS</t>
        </is>
      </c>
      <c r="D145" s="20" t="inlineStr">
        <is>
          <t>Doximity Inc.</t>
        </is>
      </c>
      <c r="E145" s="23" t="n">
        <v>28.5</v>
      </c>
      <c r="F145" s="29" t="inlineStr">
        <is>
          <t>07-30 @ 20.34</t>
        </is>
      </c>
      <c r="G145" s="29" t="inlineStr">
        <is>
          <t>08-06 @ 19.88</t>
        </is>
      </c>
      <c r="H145" s="29" t="inlineStr">
        <is>
          <t>08-17 @ 23.95</t>
        </is>
      </c>
      <c r="I145" s="29" t="inlineStr">
        <is>
          <t>08-26 @ 24.48</t>
        </is>
      </c>
      <c r="J145" s="29" t="inlineStr">
        <is>
          <t>09-09 @ 23.95</t>
        </is>
      </c>
      <c r="K145" s="29" t="inlineStr">
        <is>
          <t>09-28 @ 25.33</t>
        </is>
      </c>
      <c r="L145" s="29" t="inlineStr">
        <is>
          <t>09-03 @ 27.32</t>
        </is>
      </c>
      <c r="M145" s="29" t="inlineStr">
        <is>
          <t>09-22 @ 27.48</t>
        </is>
      </c>
      <c r="N145" s="29" t="inlineStr"/>
      <c r="O145" s="29" t="inlineStr"/>
    </row>
    <row r="146">
      <c r="A146" s="20" t="n">
        <v>2</v>
      </c>
      <c r="B146" s="20" t="n">
        <v>45</v>
      </c>
      <c r="C146" s="21" t="inlineStr">
        <is>
          <t>MAR</t>
        </is>
      </c>
      <c r="D146" s="20" t="inlineStr">
        <is>
          <t>Marriott International</t>
        </is>
      </c>
      <c r="E146" s="23" t="n">
        <v>354.79</v>
      </c>
      <c r="F146" s="29" t="inlineStr">
        <is>
          <t>07-23 @ 360.71</t>
        </is>
      </c>
      <c r="G146" s="29" t="inlineStr">
        <is>
          <t>08-04 @ 340.81</t>
        </is>
      </c>
      <c r="H146" s="29" t="inlineStr">
        <is>
          <t>08-10 @ 344.71</t>
        </is>
      </c>
      <c r="I146" s="29" t="inlineStr">
        <is>
          <t>08-21 @ 354.19</t>
        </is>
      </c>
      <c r="J146" s="29" t="inlineStr">
        <is>
          <t>09-09 @ 320.91</t>
        </is>
      </c>
      <c r="K146" s="29" t="inlineStr">
        <is>
          <t>09-18 @ 332.35</t>
        </is>
      </c>
      <c r="L146" s="29" t="inlineStr">
        <is>
          <t>09-15 @ 342.31</t>
        </is>
      </c>
      <c r="M146" s="29" t="inlineStr"/>
      <c r="N146" s="29" t="inlineStr"/>
      <c r="O146" s="29" t="inlineStr"/>
    </row>
    <row r="147">
      <c r="A147" s="20" t="n">
        <v>2</v>
      </c>
      <c r="B147" s="20" t="n">
        <v>46</v>
      </c>
      <c r="C147" s="21" t="inlineStr">
        <is>
          <t>DIOD</t>
        </is>
      </c>
      <c r="D147" s="20" t="inlineStr">
        <is>
          <t>Diodes Incorporated</t>
        </is>
      </c>
      <c r="E147" s="23" t="n">
        <v>97.48999999999999</v>
      </c>
      <c r="F147" s="29" t="inlineStr">
        <is>
          <t>07-29 @ 74.34</t>
        </is>
      </c>
      <c r="G147" s="29" t="inlineStr">
        <is>
          <t>08-13 @ 96.10</t>
        </is>
      </c>
      <c r="H147" s="29" t="inlineStr">
        <is>
          <t>08-24 @ 88.56</t>
        </is>
      </c>
      <c r="I147" s="29" t="inlineStr">
        <is>
          <t>09-02 @ 85.77</t>
        </is>
      </c>
      <c r="J147" s="29" t="inlineStr">
        <is>
          <t>09-15 @ 86.85</t>
        </is>
      </c>
      <c r="K147" s="29" t="inlineStr">
        <is>
          <t>09-22 @ 89.56</t>
        </is>
      </c>
      <c r="L147" s="29" t="inlineStr">
        <is>
          <t>09-11 @ 95.76</t>
        </is>
      </c>
      <c r="M147" s="29" t="inlineStr"/>
      <c r="N147" s="29" t="inlineStr"/>
      <c r="O147" s="29" t="inlineStr"/>
    </row>
    <row r="148">
      <c r="A148" s="20" t="n">
        <v>2</v>
      </c>
      <c r="B148" s="20" t="n">
        <v>47</v>
      </c>
      <c r="C148" s="21" t="inlineStr">
        <is>
          <t>FIX</t>
        </is>
      </c>
      <c r="D148" s="20" t="inlineStr">
        <is>
          <t>Comfort Systems USA Inc.</t>
        </is>
      </c>
      <c r="E148" s="23" t="n">
        <v>1685.29</v>
      </c>
      <c r="F148" s="29" t="inlineStr">
        <is>
          <t>07-17 @ 1556.35</t>
        </is>
      </c>
      <c r="G148" s="29" t="inlineStr">
        <is>
          <t>07-29 @ 1491.24</t>
        </is>
      </c>
      <c r="H148" s="29" t="inlineStr">
        <is>
          <t>08-07 @ 1659.28</t>
        </is>
      </c>
      <c r="I148" s="29" t="inlineStr">
        <is>
          <t>08-31 @ 1505.73</t>
        </is>
      </c>
      <c r="J148" s="29" t="inlineStr">
        <is>
          <t>09-14 @ 1545.21</t>
        </is>
      </c>
      <c r="K148" s="29" t="inlineStr">
        <is>
          <t>09-24 @ 1570.00</t>
        </is>
      </c>
      <c r="L148" s="29" t="inlineStr">
        <is>
          <t>09-11 @ 1695.57</t>
        </is>
      </c>
      <c r="M148" s="29" t="inlineStr">
        <is>
          <t>09-18 @ 1679.82</t>
        </is>
      </c>
      <c r="N148" s="29" t="inlineStr"/>
      <c r="O148" s="29" t="inlineStr"/>
    </row>
    <row r="149">
      <c r="A149" s="20" t="n">
        <v>2</v>
      </c>
      <c r="B149" s="20" t="n">
        <v>48</v>
      </c>
      <c r="C149" s="21" t="inlineStr">
        <is>
          <t>DOCN</t>
        </is>
      </c>
      <c r="D149" s="20" t="inlineStr">
        <is>
          <t>DigitalOcean Holdings Inc.</t>
        </is>
      </c>
      <c r="E149" s="23" t="n">
        <v>139.8</v>
      </c>
      <c r="F149" s="29" t="inlineStr">
        <is>
          <t>07-17 @ 111.13</t>
        </is>
      </c>
      <c r="G149" s="29" t="inlineStr">
        <is>
          <t>07-29 @ 106.28</t>
        </is>
      </c>
      <c r="H149" s="29" t="inlineStr">
        <is>
          <t>08-24 @ 108.19</t>
        </is>
      </c>
      <c r="I149" s="29" t="inlineStr">
        <is>
          <t>09-03 @ 101.73</t>
        </is>
      </c>
      <c r="J149" s="29" t="inlineStr">
        <is>
          <t>09-14 @ 114.31</t>
        </is>
      </c>
      <c r="K149" s="29" t="inlineStr"/>
      <c r="L149" s="29" t="inlineStr">
        <is>
          <t>08-27 @ 124.00</t>
        </is>
      </c>
      <c r="M149" s="29" t="inlineStr">
        <is>
          <t>09-11 @ 136.44</t>
        </is>
      </c>
      <c r="N149" s="29" t="inlineStr">
        <is>
          <t>09-22 @ 151.83</t>
        </is>
      </c>
      <c r="O149" s="29" t="inlineStr"/>
    </row>
    <row r="150">
      <c r="A150" s="20" t="n">
        <v>2</v>
      </c>
      <c r="B150" s="20" t="n">
        <v>49</v>
      </c>
      <c r="C150" s="21" t="inlineStr">
        <is>
          <t>NXDR</t>
        </is>
      </c>
      <c r="D150" s="20" t="inlineStr">
        <is>
          <t>Nextdoor Holdings Inc.</t>
        </is>
      </c>
      <c r="E150" s="23" t="n">
        <v>2.48</v>
      </c>
      <c r="F150" s="29" t="inlineStr">
        <is>
          <t>07-08 @ 2.18</t>
        </is>
      </c>
      <c r="G150" s="29" t="inlineStr">
        <is>
          <t>07-24 @ 2.16</t>
        </is>
      </c>
      <c r="H150" s="29" t="inlineStr">
        <is>
          <t>07-31 @ 2.18</t>
        </is>
      </c>
      <c r="I150" s="29" t="inlineStr">
        <is>
          <t>09-02 @ 2.18</t>
        </is>
      </c>
      <c r="J150" s="29" t="inlineStr">
        <is>
          <t>09-09 @ 2.13</t>
        </is>
      </c>
      <c r="K150" s="29" t="inlineStr">
        <is>
          <t>09-23 @ 2.33</t>
        </is>
      </c>
      <c r="L150" s="29" t="inlineStr">
        <is>
          <t>09-03 @ 2.33</t>
        </is>
      </c>
      <c r="M150" s="29" t="inlineStr">
        <is>
          <t>09-22 @ 2.65</t>
        </is>
      </c>
      <c r="N150" s="29" t="inlineStr"/>
      <c r="O150" s="29" t="inlineStr"/>
    </row>
    <row r="151">
      <c r="A151" s="20" t="n">
        <v>2</v>
      </c>
      <c r="B151" s="20" t="n">
        <v>50</v>
      </c>
      <c r="C151" s="21" t="inlineStr">
        <is>
          <t>BAND</t>
        </is>
      </c>
      <c r="D151" s="20" t="inlineStr">
        <is>
          <t>Bandwidth Inc.</t>
        </is>
      </c>
      <c r="E151" s="23" t="n">
        <v>62.44</v>
      </c>
      <c r="F151" s="29" t="inlineStr">
        <is>
          <t>07-29 @ 35.20</t>
        </is>
      </c>
      <c r="G151" s="29" t="inlineStr">
        <is>
          <t>08-25 @ 44.77</t>
        </is>
      </c>
      <c r="H151" s="29" t="inlineStr">
        <is>
          <t>09-08 @ 41.58</t>
        </is>
      </c>
      <c r="I151" s="29" t="inlineStr">
        <is>
          <t>09-16 @ 48.40</t>
        </is>
      </c>
      <c r="J151" s="29" t="inlineStr"/>
      <c r="K151" s="29" t="inlineStr"/>
      <c r="L151" s="29" t="inlineStr">
        <is>
          <t>08-27 @ 52.15</t>
        </is>
      </c>
      <c r="M151" s="29" t="inlineStr">
        <is>
          <t>09-14 @ 57.85</t>
        </is>
      </c>
      <c r="N151" s="29" t="inlineStr">
        <is>
          <t>09-25 @ 65.13</t>
        </is>
      </c>
      <c r="O151" s="29" t="inlineStr"/>
    </row>
    <row r="152">
      <c r="A152" s="20" t="n">
        <v>2</v>
      </c>
      <c r="B152" s="20" t="n">
        <v>51</v>
      </c>
      <c r="C152" s="21" t="inlineStr">
        <is>
          <t>PRLB</t>
        </is>
      </c>
      <c r="D152" s="20" t="inlineStr">
        <is>
          <t>Proto Labs Inc. Common stock</t>
        </is>
      </c>
      <c r="E152" s="23" t="n">
        <v>94.37</v>
      </c>
      <c r="F152" s="29" t="inlineStr">
        <is>
          <t>07-08 @ 71.01</t>
        </is>
      </c>
      <c r="G152" s="29" t="inlineStr">
        <is>
          <t>07-17 @ 74.28</t>
        </is>
      </c>
      <c r="H152" s="29" t="inlineStr">
        <is>
          <t>07-29 @ 71.29</t>
        </is>
      </c>
      <c r="I152" s="29" t="inlineStr">
        <is>
          <t>08-24 @ 76.40</t>
        </is>
      </c>
      <c r="J152" s="29" t="inlineStr">
        <is>
          <t>09-03 @ 77.05</t>
        </is>
      </c>
      <c r="K152" s="29" t="inlineStr">
        <is>
          <t>09-15 @ 77.88</t>
        </is>
      </c>
      <c r="L152" s="29" t="inlineStr">
        <is>
          <t>08-28 @ 81.29</t>
        </is>
      </c>
      <c r="M152" s="29" t="inlineStr">
        <is>
          <t>09-08 @ 82.55</t>
        </is>
      </c>
      <c r="N152" s="29" t="inlineStr"/>
      <c r="O152" s="29" t="inlineStr"/>
    </row>
    <row r="153">
      <c r="A153" s="20" t="n">
        <v>2</v>
      </c>
      <c r="B153" s="20" t="n">
        <v>52</v>
      </c>
      <c r="C153" s="21" t="inlineStr">
        <is>
          <t>ABSI</t>
        </is>
      </c>
      <c r="D153" s="20" t="inlineStr">
        <is>
          <t>Absci Corporation</t>
        </is>
      </c>
      <c r="E153" s="23" t="n">
        <v>10.75</v>
      </c>
      <c r="F153" s="29" t="inlineStr">
        <is>
          <t>07-29 @ 6.69</t>
        </is>
      </c>
      <c r="G153" s="29" t="inlineStr">
        <is>
          <t>08-18 @ 8.55</t>
        </is>
      </c>
      <c r="H153" s="29" t="inlineStr">
        <is>
          <t>08-24 @ 8.75</t>
        </is>
      </c>
      <c r="I153" s="29" t="inlineStr">
        <is>
          <t>09-02 @ 8.36</t>
        </is>
      </c>
      <c r="J153" s="29" t="inlineStr">
        <is>
          <t>09-15 @ 7.79</t>
        </is>
      </c>
      <c r="K153" s="29" t="inlineStr">
        <is>
          <t>09-28 @ 9.25</t>
        </is>
      </c>
      <c r="L153" s="29" t="inlineStr">
        <is>
          <t>09-22 @ 11.26</t>
        </is>
      </c>
      <c r="M153" s="29" t="inlineStr"/>
      <c r="N153" s="29" t="inlineStr"/>
      <c r="O153" s="29" t="inlineStr"/>
    </row>
    <row r="154">
      <c r="A154" s="20" t="n">
        <v>2</v>
      </c>
      <c r="B154" s="20" t="n">
        <v>53</v>
      </c>
      <c r="C154" s="21" t="inlineStr">
        <is>
          <t>TSSI</t>
        </is>
      </c>
      <c r="D154" s="20" t="inlineStr">
        <is>
          <t>TSS Inc.</t>
        </is>
      </c>
      <c r="E154" s="23" t="n">
        <v>9.84</v>
      </c>
      <c r="F154" s="29" t="inlineStr">
        <is>
          <t>07-20 @ 8.87</t>
        </is>
      </c>
      <c r="G154" s="29" t="inlineStr">
        <is>
          <t>07-29 @ 8.66</t>
        </is>
      </c>
      <c r="H154" s="29" t="inlineStr">
        <is>
          <t>09-01 @ 7.62</t>
        </is>
      </c>
      <c r="I154" s="29" t="inlineStr">
        <is>
          <t>09-16 @ 8.11</t>
        </is>
      </c>
      <c r="J154" s="29" t="inlineStr"/>
      <c r="K154" s="29" t="inlineStr"/>
      <c r="L154" s="29" t="inlineStr">
        <is>
          <t>08-27 @ 8.96</t>
        </is>
      </c>
      <c r="M154" s="29" t="inlineStr">
        <is>
          <t>09-10 @ 9.34</t>
        </is>
      </c>
      <c r="N154" s="29" t="inlineStr">
        <is>
          <t>09-24 @ 10.51</t>
        </is>
      </c>
      <c r="O154" s="29" t="inlineStr"/>
    </row>
    <row r="155">
      <c r="A155" s="20" t="n">
        <v>2</v>
      </c>
      <c r="B155" s="20" t="n">
        <v>54</v>
      </c>
      <c r="C155" s="21" t="inlineStr">
        <is>
          <t>TEM</t>
        </is>
      </c>
      <c r="D155" s="20" t="inlineStr">
        <is>
          <t>Tempus AI Inc.</t>
        </is>
      </c>
      <c r="E155" s="23" t="n">
        <v>76.5</v>
      </c>
      <c r="F155" s="29" t="inlineStr">
        <is>
          <t>07-28 @ 40.77</t>
        </is>
      </c>
      <c r="G155" s="29" t="inlineStr">
        <is>
          <t>08-18 @ 49.35</t>
        </is>
      </c>
      <c r="H155" s="29" t="inlineStr">
        <is>
          <t>09-02 @ 60.06</t>
        </is>
      </c>
      <c r="I155" s="29" t="inlineStr">
        <is>
          <t>09-14 @ 57.72</t>
        </is>
      </c>
      <c r="J155" s="29" t="inlineStr">
        <is>
          <t>09-24 @ 74.81</t>
        </is>
      </c>
      <c r="K155" s="29" t="inlineStr"/>
      <c r="L155" s="29" t="inlineStr">
        <is>
          <t>09-18 @ 81.83</t>
        </is>
      </c>
      <c r="M155" s="29" t="inlineStr"/>
      <c r="N155" s="29" t="inlineStr"/>
      <c r="O155" s="29" t="inlineStr"/>
    </row>
    <row r="156">
      <c r="A156" s="20" t="n">
        <v>2</v>
      </c>
      <c r="B156" s="20" t="n">
        <v>55</v>
      </c>
      <c r="C156" s="21" t="inlineStr">
        <is>
          <t>ATII</t>
        </is>
      </c>
      <c r="D156" s="20" t="inlineStr">
        <is>
          <t>Archimedes Tech SPAC Partners II Co.</t>
        </is>
      </c>
      <c r="E156" s="23" t="n">
        <v>10.69</v>
      </c>
      <c r="F156" s="29" t="inlineStr">
        <is>
          <t>07-24 @ 10.60</t>
        </is>
      </c>
      <c r="G156" s="29" t="inlineStr">
        <is>
          <t>08-03 @ 10.58</t>
        </is>
      </c>
      <c r="H156" s="29" t="inlineStr">
        <is>
          <t>08-19 @ 10.62</t>
        </is>
      </c>
      <c r="I156" s="29" t="inlineStr">
        <is>
          <t>08-28 @ 10.63</t>
        </is>
      </c>
      <c r="J156" s="29" t="inlineStr">
        <is>
          <t>09-11 @ 10.64</t>
        </is>
      </c>
      <c r="K156" s="29" t="inlineStr">
        <is>
          <t>09-28 @ 10.67</t>
        </is>
      </c>
      <c r="L156" s="29" t="inlineStr">
        <is>
          <t>08-27 @ 10.73</t>
        </is>
      </c>
      <c r="M156" s="29" t="inlineStr">
        <is>
          <t>09-02 @ 10.71</t>
        </is>
      </c>
      <c r="N156" s="29" t="inlineStr">
        <is>
          <t>09-11 @ 10.68</t>
        </is>
      </c>
      <c r="O156" s="29" t="inlineStr">
        <is>
          <t>09-24 @ 10.72</t>
        </is>
      </c>
    </row>
    <row r="157">
      <c r="A157" s="20" t="n">
        <v>2</v>
      </c>
      <c r="B157" s="20" t="n">
        <v>56</v>
      </c>
      <c r="C157" s="21" t="inlineStr">
        <is>
          <t>RXT</t>
        </is>
      </c>
      <c r="D157" s="20" t="inlineStr">
        <is>
          <t>Rackspace Technology Inc.</t>
        </is>
      </c>
      <c r="E157" s="23" t="n">
        <v>3.86</v>
      </c>
      <c r="F157" s="29" t="inlineStr">
        <is>
          <t>07-09 @ 4.30</t>
        </is>
      </c>
      <c r="G157" s="29" t="inlineStr">
        <is>
          <t>07-16 @ 3.87</t>
        </is>
      </c>
      <c r="H157" s="29" t="inlineStr">
        <is>
          <t>07-28 @ 3.56</t>
        </is>
      </c>
      <c r="I157" s="29" t="inlineStr">
        <is>
          <t>08-24 @ 3.06</t>
        </is>
      </c>
      <c r="J157" s="29" t="inlineStr">
        <is>
          <t>09-02 @ 2.88</t>
        </is>
      </c>
      <c r="K157" s="29" t="inlineStr">
        <is>
          <t>09-10 @ 3.07</t>
        </is>
      </c>
      <c r="L157" s="29" t="inlineStr">
        <is>
          <t>08-27 @ 3.56</t>
        </is>
      </c>
      <c r="M157" s="29" t="inlineStr">
        <is>
          <t>09-03 @ 3.33</t>
        </is>
      </c>
      <c r="N157" s="29" t="inlineStr">
        <is>
          <t>09-22 @ 4.29</t>
        </is>
      </c>
      <c r="O157" s="29" t="inlineStr"/>
    </row>
    <row r="158">
      <c r="A158" s="20" t="n">
        <v>2</v>
      </c>
      <c r="B158" s="20" t="n">
        <v>57</v>
      </c>
      <c r="C158" s="21" t="inlineStr">
        <is>
          <t>VIA</t>
        </is>
      </c>
      <c r="D158" s="20" t="inlineStr">
        <is>
          <t>Via Transportation Inc.</t>
        </is>
      </c>
      <c r="E158" s="23" t="n">
        <v>30.22</v>
      </c>
      <c r="F158" s="29" t="inlineStr">
        <is>
          <t>07-09 @ 17.01</t>
        </is>
      </c>
      <c r="G158" s="29" t="inlineStr">
        <is>
          <t>07-23 @ 16.61</t>
        </is>
      </c>
      <c r="H158" s="29" t="inlineStr">
        <is>
          <t>08-19 @ 24.89</t>
        </is>
      </c>
      <c r="I158" s="29" t="inlineStr">
        <is>
          <t>09-16 @ 25.32</t>
        </is>
      </c>
      <c r="J158" s="29" t="inlineStr"/>
      <c r="K158" s="29" t="inlineStr"/>
      <c r="L158" s="29" t="inlineStr">
        <is>
          <t>08-27 @ 29.11</t>
        </is>
      </c>
      <c r="M158" s="29" t="inlineStr">
        <is>
          <t>09-03 @ 28.76</t>
        </is>
      </c>
      <c r="N158" s="29" t="inlineStr">
        <is>
          <t>09-24 @ 30.74</t>
        </is>
      </c>
      <c r="O158" s="29" t="inlineStr"/>
    </row>
    <row r="159">
      <c r="A159" s="20" t="n">
        <v>2</v>
      </c>
      <c r="B159" s="20" t="n">
        <v>58</v>
      </c>
      <c r="C159" s="21" t="inlineStr">
        <is>
          <t>GEMI</t>
        </is>
      </c>
      <c r="D159" s="20" t="inlineStr">
        <is>
          <t>Gemini Space Station Inc.</t>
        </is>
      </c>
      <c r="E159" s="23" t="n">
        <v>5.07</v>
      </c>
      <c r="F159" s="29" t="inlineStr">
        <is>
          <t>07-17 @ 4.12</t>
        </is>
      </c>
      <c r="G159" s="29" t="inlineStr">
        <is>
          <t>07-31 @ 3.74</t>
        </is>
      </c>
      <c r="H159" s="29" t="inlineStr">
        <is>
          <t>08-10 @ 3.92</t>
        </is>
      </c>
      <c r="I159" s="29" t="inlineStr">
        <is>
          <t>08-17 @ 3.38</t>
        </is>
      </c>
      <c r="J159" s="29" t="inlineStr">
        <is>
          <t>09-02 @ 4.07</t>
        </is>
      </c>
      <c r="K159" s="29" t="inlineStr">
        <is>
          <t>09-16 @ 4.08</t>
        </is>
      </c>
      <c r="L159" s="29" t="inlineStr">
        <is>
          <t>08-27 @ 5.00</t>
        </is>
      </c>
      <c r="M159" s="29" t="inlineStr">
        <is>
          <t>09-09 @ 4.89</t>
        </is>
      </c>
      <c r="N159" s="29" t="inlineStr">
        <is>
          <t>09-21 @ 6.20</t>
        </is>
      </c>
      <c r="O159" s="29" t="inlineStr"/>
    </row>
    <row r="160">
      <c r="A160" s="20" t="n">
        <v>2</v>
      </c>
      <c r="B160" s="20" t="n">
        <v>59</v>
      </c>
      <c r="C160" s="21" t="inlineStr">
        <is>
          <t>RBRK</t>
        </is>
      </c>
      <c r="D160" s="20" t="inlineStr">
        <is>
          <t>Rubrik Inc.</t>
        </is>
      </c>
      <c r="E160" s="23" t="n">
        <v>115.4</v>
      </c>
      <c r="F160" s="29" t="inlineStr">
        <is>
          <t>07-28 @ 67.31</t>
        </is>
      </c>
      <c r="G160" s="29" t="inlineStr">
        <is>
          <t>08-25 @ 90.15</t>
        </is>
      </c>
      <c r="H160" s="29" t="inlineStr">
        <is>
          <t>09-02 @ 86.02</t>
        </is>
      </c>
      <c r="I160" s="29" t="inlineStr">
        <is>
          <t>09-11 @ 85.78</t>
        </is>
      </c>
      <c r="J160" s="29" t="inlineStr">
        <is>
          <t>09-28 @ 105.90</t>
        </is>
      </c>
      <c r="K160" s="29" t="inlineStr"/>
      <c r="L160" s="29" t="inlineStr">
        <is>
          <t>08-27 @ 107.91</t>
        </is>
      </c>
      <c r="M160" s="29" t="inlineStr">
        <is>
          <t>09-04 @ 94.61</t>
        </is>
      </c>
      <c r="N160" s="29" t="inlineStr">
        <is>
          <t>09-23 @ 116.12</t>
        </is>
      </c>
      <c r="O160" s="29" t="inlineStr"/>
    </row>
    <row r="161">
      <c r="A161" s="20" t="n">
        <v>2</v>
      </c>
      <c r="B161" s="20" t="n">
        <v>60</v>
      </c>
      <c r="C161" s="21" t="inlineStr">
        <is>
          <t>KN</t>
        </is>
      </c>
      <c r="D161" s="20" t="inlineStr">
        <is>
          <t>Knowles Corporation</t>
        </is>
      </c>
      <c r="E161" s="23" t="n">
        <v>38.23</v>
      </c>
      <c r="F161" s="29" t="inlineStr">
        <is>
          <t>07-17 @ 33.75</t>
        </is>
      </c>
      <c r="G161" s="29" t="inlineStr">
        <is>
          <t>07-29 @ 34.07</t>
        </is>
      </c>
      <c r="H161" s="29" t="inlineStr">
        <is>
          <t>08-24 @ 32.16</t>
        </is>
      </c>
      <c r="I161" s="29" t="inlineStr">
        <is>
          <t>09-01 @ 33.44</t>
        </is>
      </c>
      <c r="J161" s="29" t="inlineStr">
        <is>
          <t>09-15 @ 34.31</t>
        </is>
      </c>
      <c r="K161" s="29" t="inlineStr"/>
      <c r="L161" s="29" t="inlineStr">
        <is>
          <t>08-28 @ 35.14</t>
        </is>
      </c>
      <c r="M161" s="29" t="inlineStr">
        <is>
          <t>09-11 @ 37.06</t>
        </is>
      </c>
      <c r="N161" s="29" t="inlineStr"/>
      <c r="O161" s="29" t="inlineStr"/>
    </row>
    <row r="162">
      <c r="A162" s="20" t="n">
        <v>2</v>
      </c>
      <c r="B162" s="20" t="n">
        <v>61</v>
      </c>
      <c r="C162" s="21" t="inlineStr">
        <is>
          <t>ZS</t>
        </is>
      </c>
      <c r="D162" s="20" t="inlineStr">
        <is>
          <t>Zscaler Inc.</t>
        </is>
      </c>
      <c r="E162" s="23" t="n">
        <v>198.78</v>
      </c>
      <c r="F162" s="29" t="inlineStr">
        <is>
          <t>07-13 @ 138.03</t>
        </is>
      </c>
      <c r="G162" s="29" t="inlineStr">
        <is>
          <t>07-23 @ 139.24</t>
        </is>
      </c>
      <c r="H162" s="29" t="inlineStr">
        <is>
          <t>08-26 @ 160.13</t>
        </is>
      </c>
      <c r="I162" s="29" t="inlineStr">
        <is>
          <t>09-08 @ 159.20</t>
        </is>
      </c>
      <c r="J162" s="29" t="inlineStr">
        <is>
          <t>09-28 @ 187.67</t>
        </is>
      </c>
      <c r="K162" s="29" t="inlineStr"/>
      <c r="L162" s="29" t="inlineStr">
        <is>
          <t>08-31 @ 190.47</t>
        </is>
      </c>
      <c r="M162" s="29" t="inlineStr">
        <is>
          <t>09-24 @ 216.97</t>
        </is>
      </c>
      <c r="N162" s="29" t="inlineStr"/>
      <c r="O162" s="29" t="inlineStr"/>
    </row>
    <row r="163">
      <c r="A163" s="20" t="n">
        <v>2</v>
      </c>
      <c r="B163" s="20" t="n">
        <v>62</v>
      </c>
      <c r="C163" s="21" t="inlineStr">
        <is>
          <t>CLMB</t>
        </is>
      </c>
      <c r="D163" s="20" t="inlineStr">
        <is>
          <t>Climb Global Solutions Inc.</t>
        </is>
      </c>
      <c r="E163" s="23" t="n">
        <v>33.06</v>
      </c>
      <c r="F163" s="29" t="inlineStr">
        <is>
          <t>08-11 @ 26.46</t>
        </is>
      </c>
      <c r="G163" s="29" t="inlineStr">
        <is>
          <t>08-18 @ 27.54</t>
        </is>
      </c>
      <c r="H163" s="29" t="inlineStr">
        <is>
          <t>08-26 @ 26.50</t>
        </is>
      </c>
      <c r="I163" s="29" t="inlineStr">
        <is>
          <t>09-02 @ 27.12</t>
        </is>
      </c>
      <c r="J163" s="29" t="inlineStr">
        <is>
          <t>09-10 @ 26.64</t>
        </is>
      </c>
      <c r="K163" s="29" t="inlineStr">
        <is>
          <t>09-18 @ 27.20</t>
        </is>
      </c>
      <c r="L163" s="29" t="inlineStr">
        <is>
          <t>08-27 @ 29.38</t>
        </is>
      </c>
      <c r="M163" s="29" t="inlineStr">
        <is>
          <t>09-04 @ 29.23</t>
        </is>
      </c>
      <c r="N163" s="29" t="inlineStr"/>
      <c r="O163" s="29" t="inlineStr"/>
    </row>
    <row r="164">
      <c r="A164" s="20" t="n">
        <v>2</v>
      </c>
      <c r="B164" s="20" t="n">
        <v>63</v>
      </c>
      <c r="C164" s="21" t="inlineStr">
        <is>
          <t>BHE</t>
        </is>
      </c>
      <c r="D164" s="20" t="inlineStr">
        <is>
          <t>Benchmark Electronics Inc.</t>
        </is>
      </c>
      <c r="E164" s="23" t="n">
        <v>84.62</v>
      </c>
      <c r="F164" s="29" t="inlineStr">
        <is>
          <t>07-17 @ 73.35</t>
        </is>
      </c>
      <c r="G164" s="29" t="inlineStr">
        <is>
          <t>07-29 @ 71.27</t>
        </is>
      </c>
      <c r="H164" s="29" t="inlineStr">
        <is>
          <t>08-07 @ 80.82</t>
        </is>
      </c>
      <c r="I164" s="29" t="inlineStr">
        <is>
          <t>08-24 @ 70.67</t>
        </is>
      </c>
      <c r="J164" s="29" t="inlineStr">
        <is>
          <t>09-01 @ 68.65</t>
        </is>
      </c>
      <c r="K164" s="29" t="inlineStr">
        <is>
          <t>09-15 @ 72.06</t>
        </is>
      </c>
      <c r="L164" s="29" t="inlineStr">
        <is>
          <t>09-11 @ 77.91</t>
        </is>
      </c>
      <c r="M164" s="29" t="inlineStr"/>
      <c r="N164" s="29" t="inlineStr"/>
      <c r="O164" s="29" t="inlineStr"/>
    </row>
    <row r="165">
      <c r="A165" s="20" t="n">
        <v>2</v>
      </c>
      <c r="B165" s="20" t="n">
        <v>64</v>
      </c>
      <c r="C165" s="21" t="inlineStr">
        <is>
          <t>SGHT</t>
        </is>
      </c>
      <c r="D165" s="20" t="inlineStr">
        <is>
          <t>Sight Sciences Inc.</t>
        </is>
      </c>
      <c r="E165" s="23" t="n">
        <v>9.029999999999999</v>
      </c>
      <c r="F165" s="29" t="inlineStr">
        <is>
          <t>07-24 @ 4.41</t>
        </is>
      </c>
      <c r="G165" s="29" t="inlineStr">
        <is>
          <t>08-03 @ 5.05</t>
        </is>
      </c>
      <c r="H165" s="29" t="inlineStr">
        <is>
          <t>09-02 @ 7.82</t>
        </is>
      </c>
      <c r="I165" s="29" t="inlineStr">
        <is>
          <t>09-10 @ 7.70</t>
        </is>
      </c>
      <c r="J165" s="29" t="inlineStr">
        <is>
          <t>09-18 @ 7.92</t>
        </is>
      </c>
      <c r="K165" s="29" t="inlineStr"/>
      <c r="L165" s="29" t="inlineStr">
        <is>
          <t>09-02 @ 8.79</t>
        </is>
      </c>
      <c r="M165" s="29" t="inlineStr"/>
      <c r="N165" s="29" t="inlineStr"/>
      <c r="O165" s="29" t="inlineStr"/>
    </row>
    <row r="166">
      <c r="A166" s="20" t="n">
        <v>2</v>
      </c>
      <c r="B166" s="20" t="n">
        <v>65</v>
      </c>
      <c r="C166" s="21" t="inlineStr">
        <is>
          <t>VSH</t>
        </is>
      </c>
      <c r="D166" s="20" t="inlineStr">
        <is>
          <t>Vishay Intertechnology Inc.</t>
        </is>
      </c>
      <c r="E166" s="23" t="n">
        <v>34.27</v>
      </c>
      <c r="F166" s="29" t="inlineStr">
        <is>
          <t>07-29 @ 29.68</t>
        </is>
      </c>
      <c r="G166" s="29" t="inlineStr">
        <is>
          <t>08-06 @ 31.73</t>
        </is>
      </c>
      <c r="H166" s="29" t="inlineStr">
        <is>
          <t>08-24 @ 29.87</t>
        </is>
      </c>
      <c r="I166" s="29" t="inlineStr">
        <is>
          <t>09-01 @ 29.29</t>
        </is>
      </c>
      <c r="J166" s="29" t="inlineStr">
        <is>
          <t>09-14 @ 30.19</t>
        </is>
      </c>
      <c r="K166" s="29" t="inlineStr">
        <is>
          <t>09-24 @ 31.10</t>
        </is>
      </c>
      <c r="L166" s="29" t="inlineStr">
        <is>
          <t>08-27 @ 31.95</t>
        </is>
      </c>
      <c r="M166" s="29" t="inlineStr">
        <is>
          <t>09-11 @ 34.04</t>
        </is>
      </c>
      <c r="N166" s="29" t="inlineStr">
        <is>
          <t>09-22 @ 33.55</t>
        </is>
      </c>
      <c r="O166" s="29" t="inlineStr"/>
    </row>
    <row r="167">
      <c r="A167" s="20" t="n">
        <v>2</v>
      </c>
      <c r="B167" s="20" t="n">
        <v>66</v>
      </c>
      <c r="C167" s="21" t="inlineStr">
        <is>
          <t>SIGA</t>
        </is>
      </c>
      <c r="D167" s="20" t="inlineStr">
        <is>
          <t>SIGA Technologies Inc.</t>
        </is>
      </c>
      <c r="E167" s="23" t="n">
        <v>3.35</v>
      </c>
      <c r="F167" s="29" t="inlineStr">
        <is>
          <t>07-28 @ 3.01</t>
        </is>
      </c>
      <c r="G167" s="29" t="inlineStr">
        <is>
          <t>08-12 @ 2.83</t>
        </is>
      </c>
      <c r="H167" s="29" t="inlineStr">
        <is>
          <t>08-27 @ 2.91</t>
        </is>
      </c>
      <c r="I167" s="29" t="inlineStr">
        <is>
          <t>09-16 @ 2.93</t>
        </is>
      </c>
      <c r="J167" s="29" t="inlineStr"/>
      <c r="K167" s="29" t="inlineStr"/>
      <c r="L167" s="29" t="inlineStr">
        <is>
          <t>09-04 @ 3.32</t>
        </is>
      </c>
      <c r="M167" s="29" t="inlineStr">
        <is>
          <t>09-25 @ 3.52</t>
        </is>
      </c>
      <c r="N167" s="29" t="inlineStr"/>
      <c r="O167" s="29" t="inlineStr"/>
    </row>
    <row r="168">
      <c r="A168" s="20" t="n">
        <v>2</v>
      </c>
      <c r="B168" s="20" t="n">
        <v>67</v>
      </c>
      <c r="C168" s="21" t="inlineStr">
        <is>
          <t>AVTR</t>
        </is>
      </c>
      <c r="D168" s="20" t="inlineStr">
        <is>
          <t>Avantor Inc.</t>
        </is>
      </c>
      <c r="E168" s="23" t="n">
        <v>15.03</v>
      </c>
      <c r="F168" s="29" t="inlineStr">
        <is>
          <t>07-21 @ 10.19</t>
        </is>
      </c>
      <c r="G168" s="29" t="inlineStr">
        <is>
          <t>08-06 @ 13.08</t>
        </is>
      </c>
      <c r="H168" s="29" t="inlineStr">
        <is>
          <t>08-18 @ 13.32</t>
        </is>
      </c>
      <c r="I168" s="29" t="inlineStr">
        <is>
          <t>09-01 @ 14.19</t>
        </is>
      </c>
      <c r="J168" s="29" t="inlineStr">
        <is>
          <t>09-10 @ 14.60</t>
        </is>
      </c>
      <c r="K168" s="29" t="inlineStr">
        <is>
          <t>09-24 @ 14.67</t>
        </is>
      </c>
      <c r="L168" s="29" t="inlineStr">
        <is>
          <t>08-27 @ 14.70</t>
        </is>
      </c>
      <c r="M168" s="29" t="inlineStr">
        <is>
          <t>09-08 @ 15.46</t>
        </is>
      </c>
      <c r="N168" s="29" t="inlineStr">
        <is>
          <t>09-17 @ 16.05</t>
        </is>
      </c>
      <c r="O168" s="29" t="inlineStr"/>
    </row>
    <row r="169">
      <c r="A169" s="20" t="n">
        <v>2</v>
      </c>
      <c r="B169" s="20" t="n">
        <v>68</v>
      </c>
      <c r="C169" s="21" t="inlineStr">
        <is>
          <t>CEVA</t>
        </is>
      </c>
      <c r="D169" s="20" t="inlineStr">
        <is>
          <t>CEVA Inc.</t>
        </is>
      </c>
      <c r="E169" s="23" t="n">
        <v>35.52</v>
      </c>
      <c r="F169" s="29" t="inlineStr">
        <is>
          <t>07-17 @ 35.61</t>
        </is>
      </c>
      <c r="G169" s="29" t="inlineStr">
        <is>
          <t>07-29 @ 29.77</t>
        </is>
      </c>
      <c r="H169" s="29" t="inlineStr">
        <is>
          <t>08-24 @ 26.37</t>
        </is>
      </c>
      <c r="I169" s="29" t="inlineStr">
        <is>
          <t>09-03 @ 25.25</t>
        </is>
      </c>
      <c r="J169" s="29" t="inlineStr">
        <is>
          <t>09-16 @ 26.88</t>
        </is>
      </c>
      <c r="K169" s="29" t="inlineStr"/>
      <c r="L169" s="29" t="inlineStr">
        <is>
          <t>08-27 @ 28.69</t>
        </is>
      </c>
      <c r="M169" s="29" t="inlineStr">
        <is>
          <t>09-11 @ 29.31</t>
        </is>
      </c>
      <c r="N169" s="29" t="inlineStr">
        <is>
          <t>09-25 @ 36.47</t>
        </is>
      </c>
      <c r="O169" s="29" t="inlineStr"/>
    </row>
    <row r="170">
      <c r="A170" s="20" t="n">
        <v>2</v>
      </c>
      <c r="B170" s="20" t="n">
        <v>69</v>
      </c>
      <c r="C170" s="21" t="inlineStr">
        <is>
          <t>MSFT</t>
        </is>
      </c>
      <c r="D170" s="20" t="inlineStr">
        <is>
          <t>Microsoft Corporation</t>
        </is>
      </c>
      <c r="E170" s="23" t="n">
        <v>512.8</v>
      </c>
      <c r="F170" s="29" t="inlineStr">
        <is>
          <t>07-09 @ 373.35</t>
        </is>
      </c>
      <c r="G170" s="29" t="inlineStr">
        <is>
          <t>07-23 @ 377.39</t>
        </is>
      </c>
      <c r="H170" s="29" t="inlineStr">
        <is>
          <t>08-18 @ 477.15</t>
        </is>
      </c>
      <c r="I170" s="29" t="inlineStr">
        <is>
          <t>09-10 @ 486.00</t>
        </is>
      </c>
      <c r="J170" s="29" t="inlineStr">
        <is>
          <t>09-16 @ 487.23</t>
        </is>
      </c>
      <c r="K170" s="29" t="inlineStr">
        <is>
          <t>09-24 @ 491.22</t>
        </is>
      </c>
      <c r="L170" s="29" t="inlineStr">
        <is>
          <t>08-28 @ 517.78</t>
        </is>
      </c>
      <c r="M170" s="29" t="inlineStr">
        <is>
          <t>09-03 @ 515.65</t>
        </is>
      </c>
      <c r="N170" s="29" t="inlineStr">
        <is>
          <t>09-14 @ 509.95</t>
        </is>
      </c>
      <c r="O170" s="29" t="inlineStr"/>
    </row>
    <row r="171">
      <c r="A171" s="20" t="n">
        <v>2</v>
      </c>
      <c r="B171" s="20" t="n">
        <v>70</v>
      </c>
      <c r="C171" s="21" t="inlineStr">
        <is>
          <t>LYTS</t>
        </is>
      </c>
      <c r="D171" s="20" t="inlineStr">
        <is>
          <t>LSI Industries Inc.</t>
        </is>
      </c>
      <c r="E171" s="23" t="n">
        <v>20.94</v>
      </c>
      <c r="F171" s="29" t="inlineStr">
        <is>
          <t>07-14 @ 23.50</t>
        </is>
      </c>
      <c r="G171" s="29" t="inlineStr">
        <is>
          <t>07-30 @ 22.22</t>
        </is>
      </c>
      <c r="H171" s="29" t="inlineStr">
        <is>
          <t>08-24 @ 19.53</t>
        </is>
      </c>
      <c r="I171" s="29" t="inlineStr">
        <is>
          <t>09-01 @ 19.23</t>
        </is>
      </c>
      <c r="J171" s="29" t="inlineStr">
        <is>
          <t>09-09 @ 19.11</t>
        </is>
      </c>
      <c r="K171" s="29" t="inlineStr">
        <is>
          <t>09-24 @ 19.94</t>
        </is>
      </c>
      <c r="L171" s="29" t="inlineStr">
        <is>
          <t>09-04 @ 20.93</t>
        </is>
      </c>
      <c r="M171" s="29" t="inlineStr"/>
      <c r="N171" s="29" t="inlineStr"/>
      <c r="O171" s="29" t="inlineStr"/>
    </row>
    <row r="172">
      <c r="A172" s="20" t="n">
        <v>2</v>
      </c>
      <c r="B172" s="20" t="n">
        <v>71</v>
      </c>
      <c r="C172" s="21" t="inlineStr">
        <is>
          <t>LPG</t>
        </is>
      </c>
      <c r="D172" s="20" t="inlineStr">
        <is>
          <t>Dorian LPG Ltd.</t>
        </is>
      </c>
      <c r="E172" s="23" t="n">
        <v>56.59</v>
      </c>
      <c r="F172" s="29" t="inlineStr">
        <is>
          <t>07-17 @ 40.01</t>
        </is>
      </c>
      <c r="G172" s="29" t="inlineStr">
        <is>
          <t>07-27 @ 42.49</t>
        </is>
      </c>
      <c r="H172" s="29" t="inlineStr">
        <is>
          <t>08-05 @ 42.76</t>
        </is>
      </c>
      <c r="I172" s="29" t="inlineStr">
        <is>
          <t>08-11 @ 42.12</t>
        </is>
      </c>
      <c r="J172" s="29" t="inlineStr">
        <is>
          <t>08-26 @ 47.50</t>
        </is>
      </c>
      <c r="K172" s="29" t="inlineStr">
        <is>
          <t>09-23 @ 52.09</t>
        </is>
      </c>
      <c r="L172" s="29" t="inlineStr">
        <is>
          <t>09-04 @ 55.28</t>
        </is>
      </c>
      <c r="M172" s="29" t="inlineStr">
        <is>
          <t>09-17 @ 59.97</t>
        </is>
      </c>
      <c r="N172" s="29" t="inlineStr"/>
      <c r="O172" s="29" t="inlineStr"/>
    </row>
    <row r="173">
      <c r="A173" s="20" t="n">
        <v>2</v>
      </c>
      <c r="B173" s="20" t="n">
        <v>72</v>
      </c>
      <c r="C173" s="21" t="inlineStr">
        <is>
          <t>PLXS</t>
        </is>
      </c>
      <c r="D173" s="20" t="inlineStr">
        <is>
          <t>Plexus Corp.</t>
        </is>
      </c>
      <c r="E173" s="23" t="n">
        <v>270.27</v>
      </c>
      <c r="F173" s="29" t="inlineStr">
        <is>
          <t>07-08 @ 252.00</t>
        </is>
      </c>
      <c r="G173" s="29" t="inlineStr">
        <is>
          <t>07-17 @ 238.11</t>
        </is>
      </c>
      <c r="H173" s="29" t="inlineStr">
        <is>
          <t>07-30 @ 230.00</t>
        </is>
      </c>
      <c r="I173" s="29" t="inlineStr">
        <is>
          <t>08-24 @ 233.02</t>
        </is>
      </c>
      <c r="J173" s="29" t="inlineStr">
        <is>
          <t>09-01 @ 234.40</t>
        </is>
      </c>
      <c r="K173" s="29" t="inlineStr">
        <is>
          <t>09-15 @ 236.58</t>
        </is>
      </c>
      <c r="L173" s="29" t="inlineStr">
        <is>
          <t>09-11 @ 256.67</t>
        </is>
      </c>
      <c r="M173" s="29" t="inlineStr">
        <is>
          <t>09-25 @ 269.79</t>
        </is>
      </c>
      <c r="N173" s="29" t="inlineStr"/>
      <c r="O173" s="29" t="inlineStr"/>
    </row>
    <row r="174">
      <c r="A174" s="20" t="n">
        <v>2</v>
      </c>
      <c r="B174" s="20" t="n">
        <v>73</v>
      </c>
      <c r="C174" s="21" t="inlineStr">
        <is>
          <t>VFC</t>
        </is>
      </c>
      <c r="D174" s="20" t="inlineStr">
        <is>
          <t>V.F. Corporation</t>
        </is>
      </c>
      <c r="E174" s="23" t="n">
        <v>14.41</v>
      </c>
      <c r="F174" s="29" t="inlineStr">
        <is>
          <t>07-08 @ 15.66</t>
        </is>
      </c>
      <c r="G174" s="29" t="inlineStr">
        <is>
          <t>07-23 @ 16.32</t>
        </is>
      </c>
      <c r="H174" s="29" t="inlineStr">
        <is>
          <t>07-31 @ 14.28</t>
        </is>
      </c>
      <c r="I174" s="29" t="inlineStr">
        <is>
          <t>09-10 @ 12.46</t>
        </is>
      </c>
      <c r="J174" s="29" t="inlineStr">
        <is>
          <t>09-16 @ 12.60</t>
        </is>
      </c>
      <c r="K174" s="29" t="inlineStr"/>
      <c r="L174" s="29" t="inlineStr">
        <is>
          <t>09-08 @ 13.65</t>
        </is>
      </c>
      <c r="M174" s="29" t="inlineStr"/>
      <c r="N174" s="29" t="inlineStr"/>
      <c r="O174" s="29" t="inlineStr"/>
    </row>
    <row r="175">
      <c r="A175" s="20" t="n">
        <v>2</v>
      </c>
      <c r="B175" s="20" t="n">
        <v>74</v>
      </c>
      <c r="C175" s="21" t="inlineStr">
        <is>
          <t>AMKR</t>
        </is>
      </c>
      <c r="D175" s="20" t="inlineStr">
        <is>
          <t>Amkor Technology Inc.</t>
        </is>
      </c>
      <c r="E175" s="23" t="n">
        <v>52.9</v>
      </c>
      <c r="F175" s="29" t="inlineStr">
        <is>
          <t>07-17 @ 57.87</t>
        </is>
      </c>
      <c r="G175" s="29" t="inlineStr">
        <is>
          <t>07-29 @ 42.66</t>
        </is>
      </c>
      <c r="H175" s="29" t="inlineStr">
        <is>
          <t>08-24 @ 47.04</t>
        </is>
      </c>
      <c r="I175" s="29" t="inlineStr">
        <is>
          <t>09-03 @ 45.30</t>
        </is>
      </c>
      <c r="J175" s="29" t="inlineStr">
        <is>
          <t>09-16 @ 45.33</t>
        </is>
      </c>
      <c r="K175" s="29" t="inlineStr"/>
      <c r="L175" s="29" t="inlineStr">
        <is>
          <t>08-27 @ 52.88</t>
        </is>
      </c>
      <c r="M175" s="29" t="inlineStr">
        <is>
          <t>09-09 @ 52.15</t>
        </is>
      </c>
      <c r="N175" s="29" t="inlineStr">
        <is>
          <t>09-23 @ 54.89</t>
        </is>
      </c>
      <c r="O175" s="29" t="inlineStr"/>
    </row>
    <row r="176">
      <c r="A176" s="20" t="n">
        <v>2</v>
      </c>
      <c r="B176" s="20" t="n">
        <v>75</v>
      </c>
      <c r="C176" s="21" t="inlineStr">
        <is>
          <t>SLP</t>
        </is>
      </c>
      <c r="D176" s="20" t="inlineStr">
        <is>
          <t>Simulations Plus Inc.</t>
        </is>
      </c>
      <c r="E176" s="23" t="n">
        <v>18.49</v>
      </c>
      <c r="F176" s="29" t="inlineStr">
        <is>
          <t>07-21 @ 18.19</t>
        </is>
      </c>
      <c r="G176" s="29" t="inlineStr">
        <is>
          <t>07-31 @ 18.22</t>
        </is>
      </c>
      <c r="H176" s="29" t="inlineStr">
        <is>
          <t>08-07 @ 18.29</t>
        </is>
      </c>
      <c r="I176" s="29" t="inlineStr">
        <is>
          <t>08-31 @ 18.38</t>
        </is>
      </c>
      <c r="J176" s="29" t="inlineStr">
        <is>
          <t>09-15 @ 18.40</t>
        </is>
      </c>
      <c r="K176" s="29" t="inlineStr">
        <is>
          <t>09-22 @ 18.41</t>
        </is>
      </c>
      <c r="L176" s="29" t="inlineStr">
        <is>
          <t>09-03 @ 18.46</t>
        </is>
      </c>
      <c r="M176" s="29" t="inlineStr"/>
      <c r="N176" s="29" t="inlineStr"/>
      <c r="O176" s="29" t="inlineStr"/>
    </row>
    <row r="177">
      <c r="A177" s="20" t="n">
        <v>2</v>
      </c>
      <c r="B177" s="20" t="n">
        <v>76</v>
      </c>
      <c r="C177" s="21" t="inlineStr">
        <is>
          <t>SHLS</t>
        </is>
      </c>
      <c r="D177" s="20" t="inlineStr">
        <is>
          <t>Shoals Technologies Group Inc.</t>
        </is>
      </c>
      <c r="E177" s="23" t="n">
        <v>8.130000000000001</v>
      </c>
      <c r="F177" s="29" t="inlineStr">
        <is>
          <t>07-29 @ 7.83</t>
        </is>
      </c>
      <c r="G177" s="29" t="inlineStr">
        <is>
          <t>08-06 @ 8.12</t>
        </is>
      </c>
      <c r="H177" s="29" t="inlineStr">
        <is>
          <t>08-24 @ 6.78</t>
        </is>
      </c>
      <c r="I177" s="29" t="inlineStr">
        <is>
          <t>09-02 @ 6.61</t>
        </is>
      </c>
      <c r="J177" s="29" t="inlineStr">
        <is>
          <t>09-16 @ 6.71</t>
        </is>
      </c>
      <c r="K177" s="29" t="inlineStr">
        <is>
          <t>09-24 @ 7.26</t>
        </is>
      </c>
      <c r="L177" s="29" t="inlineStr">
        <is>
          <t>08-27 @ 7.59</t>
        </is>
      </c>
      <c r="M177" s="29" t="inlineStr">
        <is>
          <t>09-08 @ 7.66</t>
        </is>
      </c>
      <c r="N177" s="29" t="inlineStr">
        <is>
          <t>09-22 @ 8.24</t>
        </is>
      </c>
      <c r="O177" s="29" t="inlineStr"/>
    </row>
    <row r="178">
      <c r="A178" s="20" t="n">
        <v>2</v>
      </c>
      <c r="B178" s="20" t="n">
        <v>77</v>
      </c>
      <c r="C178" s="21" t="inlineStr">
        <is>
          <t>DSGR</t>
        </is>
      </c>
      <c r="D178" s="20" t="inlineStr">
        <is>
          <t>Distribution Solutions Group Inc.</t>
        </is>
      </c>
      <c r="E178" s="23" t="n">
        <v>34.94</v>
      </c>
      <c r="F178" s="29" t="inlineStr">
        <is>
          <t>07-08 @ 26.60</t>
        </is>
      </c>
      <c r="G178" s="29" t="inlineStr">
        <is>
          <t>08-12 @ 34.75</t>
        </is>
      </c>
      <c r="H178" s="29" t="inlineStr">
        <is>
          <t>08-18 @ 34.54</t>
        </is>
      </c>
      <c r="I178" s="29" t="inlineStr">
        <is>
          <t>09-02 @ 34.63</t>
        </is>
      </c>
      <c r="J178" s="29" t="inlineStr">
        <is>
          <t>09-18 @ 34.75</t>
        </is>
      </c>
      <c r="K178" s="29" t="inlineStr"/>
      <c r="L178" s="29" t="inlineStr">
        <is>
          <t>08-27 @ 34.87</t>
        </is>
      </c>
      <c r="M178" s="29" t="inlineStr">
        <is>
          <t>09-28 @ 35.02</t>
        </is>
      </c>
      <c r="N178" s="29" t="inlineStr"/>
      <c r="O178" s="29" t="inlineStr"/>
    </row>
    <row r="179">
      <c r="A179" s="20" t="n">
        <v>2</v>
      </c>
      <c r="B179" s="20" t="n">
        <v>78</v>
      </c>
      <c r="C179" s="21" t="inlineStr">
        <is>
          <t>PAYO</t>
        </is>
      </c>
      <c r="D179" s="20" t="inlineStr">
        <is>
          <t>Payoneer Global Inc.</t>
        </is>
      </c>
      <c r="E179" s="23" t="n">
        <v>7.14</v>
      </c>
      <c r="F179" s="29" t="inlineStr">
        <is>
          <t>07-17 @ 7.08</t>
        </is>
      </c>
      <c r="G179" s="29" t="inlineStr">
        <is>
          <t>08-12 @ 7.02</t>
        </is>
      </c>
      <c r="H179" s="29" t="inlineStr">
        <is>
          <t>08-20 @ 7.09</t>
        </is>
      </c>
      <c r="I179" s="29" t="inlineStr">
        <is>
          <t>08-31 @ 7.08</t>
        </is>
      </c>
      <c r="J179" s="29" t="inlineStr">
        <is>
          <t>09-10 @ 7.09</t>
        </is>
      </c>
      <c r="K179" s="29" t="inlineStr">
        <is>
          <t>09-18 @ 7.10</t>
        </is>
      </c>
      <c r="L179" s="29" t="inlineStr">
        <is>
          <t>08-27 @ 7.13</t>
        </is>
      </c>
      <c r="M179" s="29" t="inlineStr">
        <is>
          <t>09-03 @ 7.18</t>
        </is>
      </c>
      <c r="N179" s="29" t="inlineStr">
        <is>
          <t>09-16 @ 7.16</t>
        </is>
      </c>
      <c r="O179" s="29" t="inlineStr">
        <is>
          <t>09-25 @ 7.19</t>
        </is>
      </c>
    </row>
    <row r="180">
      <c r="A180" s="20" t="n">
        <v>2</v>
      </c>
      <c r="B180" s="20" t="n">
        <v>79</v>
      </c>
      <c r="C180" s="21" t="inlineStr">
        <is>
          <t>MSGE</t>
        </is>
      </c>
      <c r="D180" s="20" t="inlineStr">
        <is>
          <t>Madison Square Garden Entertainment Corp.</t>
        </is>
      </c>
      <c r="E180" s="23" t="n">
        <v>80.05</v>
      </c>
      <c r="F180" s="29" t="inlineStr">
        <is>
          <t>07-29 @ 74.80</t>
        </is>
      </c>
      <c r="G180" s="29" t="inlineStr">
        <is>
          <t>08-10 @ 75.48</t>
        </is>
      </c>
      <c r="H180" s="29" t="inlineStr">
        <is>
          <t>08-21 @ 78.60</t>
        </is>
      </c>
      <c r="I180" s="29" t="inlineStr">
        <is>
          <t>09-01 @ 76.35</t>
        </is>
      </c>
      <c r="J180" s="29" t="inlineStr">
        <is>
          <t>09-09 @ 75.34</t>
        </is>
      </c>
      <c r="K180" s="29" t="inlineStr">
        <is>
          <t>09-18 @ 76.33</t>
        </is>
      </c>
      <c r="L180" s="29" t="inlineStr">
        <is>
          <t>09-22 @ 82.80</t>
        </is>
      </c>
      <c r="M180" s="29" t="inlineStr"/>
      <c r="N180" s="29" t="inlineStr"/>
      <c r="O180" s="29" t="inlineStr"/>
    </row>
    <row r="181">
      <c r="A181" s="20" t="n">
        <v>2</v>
      </c>
      <c r="B181" s="20" t="n">
        <v>80</v>
      </c>
      <c r="C181" s="21" t="inlineStr">
        <is>
          <t>FFIV</t>
        </is>
      </c>
      <c r="D181" s="20" t="inlineStr">
        <is>
          <t>F5 Inc.</t>
        </is>
      </c>
      <c r="E181" s="23" t="n">
        <v>443.68</v>
      </c>
      <c r="F181" s="29" t="inlineStr">
        <is>
          <t>07-17 @ 391.97</t>
        </is>
      </c>
      <c r="G181" s="29" t="inlineStr">
        <is>
          <t>07-28 @ 366.93</t>
        </is>
      </c>
      <c r="H181" s="29" t="inlineStr">
        <is>
          <t>08-07 @ 400.07</t>
        </is>
      </c>
      <c r="I181" s="29" t="inlineStr">
        <is>
          <t>08-20 @ 376.21</t>
        </is>
      </c>
      <c r="J181" s="29" t="inlineStr">
        <is>
          <t>09-02 @ 384.95</t>
        </is>
      </c>
      <c r="K181" s="29" t="inlineStr"/>
      <c r="L181" s="29" t="inlineStr">
        <is>
          <t>08-27 @ 414.17</t>
        </is>
      </c>
      <c r="M181" s="29" t="inlineStr">
        <is>
          <t>09-23 @ 462.00</t>
        </is>
      </c>
      <c r="N181" s="29" t="inlineStr"/>
      <c r="O181" s="29" t="inlineStr"/>
    </row>
    <row r="182">
      <c r="A182" s="20" t="n">
        <v>2</v>
      </c>
      <c r="B182" s="20" t="n">
        <v>81</v>
      </c>
      <c r="C182" s="21" t="inlineStr">
        <is>
          <t>EME</t>
        </is>
      </c>
      <c r="D182" s="20" t="inlineStr">
        <is>
          <t>EMCOR Group Inc.</t>
        </is>
      </c>
      <c r="E182" s="23" t="n">
        <v>769.03</v>
      </c>
      <c r="F182" s="29" t="inlineStr">
        <is>
          <t>07-29 @ 668.82</t>
        </is>
      </c>
      <c r="G182" s="29" t="inlineStr">
        <is>
          <t>08-07 @ 801.60</t>
        </is>
      </c>
      <c r="H182" s="29" t="inlineStr">
        <is>
          <t>08-25 @ 730.90</t>
        </is>
      </c>
      <c r="I182" s="29" t="inlineStr">
        <is>
          <t>09-01 @ 722.08</t>
        </is>
      </c>
      <c r="J182" s="29" t="inlineStr">
        <is>
          <t>09-17 @ 723.87</t>
        </is>
      </c>
      <c r="K182" s="29" t="inlineStr">
        <is>
          <t>09-24 @ 730.00</t>
        </is>
      </c>
      <c r="L182" s="29" t="inlineStr">
        <is>
          <t>08-28 @ 785.90</t>
        </is>
      </c>
      <c r="M182" s="29" t="inlineStr">
        <is>
          <t>09-11 @ 782.60</t>
        </is>
      </c>
      <c r="N182" s="29" t="inlineStr"/>
      <c r="O182" s="29" t="inlineStr"/>
    </row>
    <row r="183">
      <c r="A183" s="20" t="n">
        <v>2</v>
      </c>
      <c r="B183" s="20" t="n">
        <v>82</v>
      </c>
      <c r="C183" s="21" t="inlineStr">
        <is>
          <t>CON</t>
        </is>
      </c>
      <c r="D183" s="20" t="inlineStr">
        <is>
          <t>Concentra Group Holdings Parent Inc.</t>
        </is>
      </c>
      <c r="E183" s="23" t="n">
        <v>34.97</v>
      </c>
      <c r="F183" s="29" t="inlineStr">
        <is>
          <t>07-23 @ 30.00</t>
        </is>
      </c>
      <c r="G183" s="29" t="inlineStr">
        <is>
          <t>08-06 @ 30.12</t>
        </is>
      </c>
      <c r="H183" s="29" t="inlineStr">
        <is>
          <t>08-20 @ 34.45</t>
        </is>
      </c>
      <c r="I183" s="29" t="inlineStr">
        <is>
          <t>08-31 @ 33.62</t>
        </is>
      </c>
      <c r="J183" s="29" t="inlineStr">
        <is>
          <t>09-09 @ 33.32</t>
        </is>
      </c>
      <c r="K183" s="29" t="inlineStr">
        <is>
          <t>09-25 @ 34.32</t>
        </is>
      </c>
      <c r="L183" s="29" t="inlineStr">
        <is>
          <t>09-16 @ 36.71</t>
        </is>
      </c>
      <c r="M183" s="29" t="inlineStr"/>
      <c r="N183" s="29" t="inlineStr"/>
      <c r="O183" s="29" t="inlineStr"/>
    </row>
    <row r="184">
      <c r="A184" s="20" t="n">
        <v>2</v>
      </c>
      <c r="B184" s="20" t="n">
        <v>83</v>
      </c>
      <c r="C184" s="21" t="inlineStr">
        <is>
          <t>FLEX</t>
        </is>
      </c>
      <c r="D184" s="20" t="inlineStr">
        <is>
          <t>Flex Ltd.</t>
        </is>
      </c>
      <c r="E184" s="23" t="n">
        <v>112.78</v>
      </c>
      <c r="F184" s="29" t="inlineStr">
        <is>
          <t>07-17 @ 111.38</t>
        </is>
      </c>
      <c r="G184" s="29" t="inlineStr">
        <is>
          <t>07-29 @ 99.50</t>
        </is>
      </c>
      <c r="H184" s="29" t="inlineStr">
        <is>
          <t>08-24 @ 104.90</t>
        </is>
      </c>
      <c r="I184" s="29" t="inlineStr">
        <is>
          <t>09-03 @ 102.25</t>
        </is>
      </c>
      <c r="J184" s="29" t="inlineStr">
        <is>
          <t>09-16 @ 105.85</t>
        </is>
      </c>
      <c r="K184" s="29" t="inlineStr"/>
      <c r="L184" s="29" t="inlineStr">
        <is>
          <t>08-27 @ 116.17</t>
        </is>
      </c>
      <c r="M184" s="29" t="inlineStr">
        <is>
          <t>09-11 @ 117.68</t>
        </is>
      </c>
      <c r="N184" s="29" t="inlineStr">
        <is>
          <t>09-25 @ 120.76</t>
        </is>
      </c>
      <c r="O184" s="29" t="inlineStr"/>
    </row>
    <row r="185">
      <c r="A185" s="20" t="n">
        <v>2</v>
      </c>
      <c r="B185" s="20" t="n">
        <v>84</v>
      </c>
      <c r="C185" s="21" t="inlineStr">
        <is>
          <t>PEB</t>
        </is>
      </c>
      <c r="D185" s="20" t="inlineStr">
        <is>
          <t>Pebblebrook Hotel Trust</t>
        </is>
      </c>
      <c r="E185" s="23" t="n">
        <v>18.81</v>
      </c>
      <c r="F185" s="29" t="inlineStr">
        <is>
          <t>07-23 @ 18.35</t>
        </is>
      </c>
      <c r="G185" s="29" t="inlineStr">
        <is>
          <t>07-30 @ 18.36</t>
        </is>
      </c>
      <c r="H185" s="29" t="inlineStr">
        <is>
          <t>08-13 @ 17.45</t>
        </is>
      </c>
      <c r="I185" s="29" t="inlineStr">
        <is>
          <t>09-01 @ 17.41</t>
        </is>
      </c>
      <c r="J185" s="29" t="inlineStr">
        <is>
          <t>09-09 @ 17.46</t>
        </is>
      </c>
      <c r="K185" s="29" t="inlineStr">
        <is>
          <t>09-16 @ 17.49</t>
        </is>
      </c>
      <c r="L185" s="29" t="inlineStr">
        <is>
          <t>08-28 @ 18.60</t>
        </is>
      </c>
      <c r="M185" s="29" t="inlineStr">
        <is>
          <t>09-03 @ 18.54</t>
        </is>
      </c>
      <c r="N185" s="29" t="inlineStr">
        <is>
          <t>09-11 @ 18.50</t>
        </is>
      </c>
      <c r="O185" s="29" t="inlineStr"/>
    </row>
    <row r="186">
      <c r="A186" s="20" t="n">
        <v>2</v>
      </c>
      <c r="B186" s="20" t="n">
        <v>85</v>
      </c>
      <c r="C186" s="21" t="inlineStr">
        <is>
          <t>CTKB</t>
        </is>
      </c>
      <c r="D186" s="20" t="inlineStr">
        <is>
          <t>Cytek Biosciences Inc.</t>
        </is>
      </c>
      <c r="E186" s="23" t="n">
        <v>5.81</v>
      </c>
      <c r="F186" s="29" t="inlineStr">
        <is>
          <t>07-09 @ 4.31</t>
        </is>
      </c>
      <c r="G186" s="29" t="inlineStr">
        <is>
          <t>08-06 @ 4.04</t>
        </is>
      </c>
      <c r="H186" s="29" t="inlineStr">
        <is>
          <t>08-17 @ 4.57</t>
        </is>
      </c>
      <c r="I186" s="29" t="inlineStr">
        <is>
          <t>08-24 @ 4.29</t>
        </is>
      </c>
      <c r="J186" s="29" t="inlineStr">
        <is>
          <t>08-31 @ 4.48</t>
        </is>
      </c>
      <c r="K186" s="29" t="inlineStr">
        <is>
          <t>09-11 @ 4.49</t>
        </is>
      </c>
      <c r="L186" s="29" t="inlineStr">
        <is>
          <t>08-31 @ 4.80</t>
        </is>
      </c>
      <c r="M186" s="29" t="inlineStr">
        <is>
          <t>09-23 @ 5.85</t>
        </is>
      </c>
      <c r="N186" s="29" t="inlineStr"/>
      <c r="O186" s="29" t="inlineStr"/>
    </row>
    <row r="187">
      <c r="A187" s="20" t="n">
        <v>2</v>
      </c>
      <c r="B187" s="20" t="n">
        <v>86</v>
      </c>
      <c r="C187" s="21" t="inlineStr">
        <is>
          <t>WMK</t>
        </is>
      </c>
      <c r="D187" s="20" t="inlineStr">
        <is>
          <t>Weis Markets Inc.</t>
        </is>
      </c>
      <c r="E187" s="23" t="n">
        <v>72.62</v>
      </c>
      <c r="F187" s="29" t="inlineStr">
        <is>
          <t>07-14 @ 76.85</t>
        </is>
      </c>
      <c r="G187" s="29" t="inlineStr">
        <is>
          <t>07-24 @ 73.07</t>
        </is>
      </c>
      <c r="H187" s="29" t="inlineStr">
        <is>
          <t>08-20 @ 68.42</t>
        </is>
      </c>
      <c r="I187" s="29" t="inlineStr">
        <is>
          <t>08-27 @ 69.31</t>
        </is>
      </c>
      <c r="J187" s="29" t="inlineStr">
        <is>
          <t>09-10 @ 69.46</t>
        </is>
      </c>
      <c r="K187" s="29" t="inlineStr">
        <is>
          <t>09-25 @ 71.41</t>
        </is>
      </c>
      <c r="L187" s="29" t="inlineStr">
        <is>
          <t>08-28 @ 71.92</t>
        </is>
      </c>
      <c r="M187" s="29" t="inlineStr">
        <is>
          <t>09-04 @ 72.38</t>
        </is>
      </c>
      <c r="N187" s="29" t="inlineStr">
        <is>
          <t>09-22 @ 75.32</t>
        </is>
      </c>
      <c r="O187" s="29" t="inlineStr"/>
    </row>
    <row r="188">
      <c r="A188" s="20" t="n">
        <v>2</v>
      </c>
      <c r="B188" s="20" t="n">
        <v>87</v>
      </c>
      <c r="C188" s="21" t="inlineStr">
        <is>
          <t>NTGR</t>
        </is>
      </c>
      <c r="D188" s="20" t="inlineStr">
        <is>
          <t>NETGEAR Inc.</t>
        </is>
      </c>
      <c r="E188" s="23" t="n">
        <v>22.9</v>
      </c>
      <c r="F188" s="29" t="inlineStr">
        <is>
          <t>07-29 @ 22.60</t>
        </is>
      </c>
      <c r="G188" s="29" t="inlineStr">
        <is>
          <t>08-07 @ 22.62</t>
        </is>
      </c>
      <c r="H188" s="29" t="inlineStr">
        <is>
          <t>08-24 @ 20.22</t>
        </is>
      </c>
      <c r="I188" s="29" t="inlineStr">
        <is>
          <t>09-01 @ 20.45</t>
        </is>
      </c>
      <c r="J188" s="29" t="inlineStr">
        <is>
          <t>09-09 @ 20.60</t>
        </is>
      </c>
      <c r="K188" s="29" t="inlineStr">
        <is>
          <t>09-18 @ 21.12</t>
        </is>
      </c>
      <c r="L188" s="29" t="inlineStr">
        <is>
          <t>08-27 @ 22.21</t>
        </is>
      </c>
      <c r="M188" s="29" t="inlineStr">
        <is>
          <t>09-17 @ 23.35</t>
        </is>
      </c>
      <c r="N188" s="29" t="inlineStr"/>
      <c r="O188" s="29" t="inlineStr"/>
    </row>
    <row r="189">
      <c r="A189" s="20" t="n">
        <v>2</v>
      </c>
      <c r="B189" s="20" t="n">
        <v>88</v>
      </c>
      <c r="C189" s="21" t="inlineStr">
        <is>
          <t>IMKTA</t>
        </is>
      </c>
      <c r="D189" s="20" t="inlineStr">
        <is>
          <t>Ingles Markets Incorporated</t>
        </is>
      </c>
      <c r="E189" s="23" t="n">
        <v>84.72</v>
      </c>
      <c r="F189" s="29" t="inlineStr">
        <is>
          <t>07-23 @ 83.93</t>
        </is>
      </c>
      <c r="G189" s="29" t="inlineStr">
        <is>
          <t>08-07 @ 84.50</t>
        </is>
      </c>
      <c r="H189" s="29" t="inlineStr">
        <is>
          <t>08-20 @ 82.67</t>
        </is>
      </c>
      <c r="I189" s="29" t="inlineStr">
        <is>
          <t>09-01 @ 80.17</t>
        </is>
      </c>
      <c r="J189" s="29" t="inlineStr">
        <is>
          <t>09-10 @ 80.68</t>
        </is>
      </c>
      <c r="K189" s="29" t="inlineStr">
        <is>
          <t>09-18 @ 81.69</t>
        </is>
      </c>
      <c r="L189" s="29" t="inlineStr">
        <is>
          <t>09-04 @ 83.79</t>
        </is>
      </c>
      <c r="M189" s="29" t="inlineStr">
        <is>
          <t>09-14 @ 84.55</t>
        </is>
      </c>
      <c r="N189" s="29" t="inlineStr">
        <is>
          <t>09-22 @ 84.82</t>
        </is>
      </c>
      <c r="O189" s="29" t="inlineStr"/>
    </row>
    <row r="190">
      <c r="A190" s="20" t="n">
        <v>2</v>
      </c>
      <c r="B190" s="20" t="n">
        <v>89</v>
      </c>
      <c r="C190" s="21" t="inlineStr">
        <is>
          <t>EBF</t>
        </is>
      </c>
      <c r="D190" s="20" t="inlineStr">
        <is>
          <t>Ennis Inc.</t>
        </is>
      </c>
      <c r="E190" s="23" t="n">
        <v>22.55</v>
      </c>
      <c r="F190" s="29" t="inlineStr">
        <is>
          <t>07-31 @ 21.37</t>
        </is>
      </c>
      <c r="G190" s="29" t="inlineStr">
        <is>
          <t>08-12 @ 21.79</t>
        </is>
      </c>
      <c r="H190" s="29" t="inlineStr">
        <is>
          <t>08-25 @ 21.22</t>
        </is>
      </c>
      <c r="I190" s="29" t="inlineStr">
        <is>
          <t>09-03 @ 20.89</t>
        </is>
      </c>
      <c r="J190" s="29" t="inlineStr">
        <is>
          <t>09-10 @ 20.84</t>
        </is>
      </c>
      <c r="K190" s="29" t="inlineStr">
        <is>
          <t>09-21 @ 21.10</t>
        </is>
      </c>
      <c r="L190" s="29" t="inlineStr">
        <is>
          <t>08-28 @ 21.87</t>
        </is>
      </c>
      <c r="M190" s="29" t="inlineStr">
        <is>
          <t>09-04 @ 21.49</t>
        </is>
      </c>
      <c r="N190" s="29" t="inlineStr">
        <is>
          <t>09-14 @ 21.61</t>
        </is>
      </c>
      <c r="O190" s="29" t="inlineStr"/>
    </row>
    <row r="191">
      <c r="A191" s="20" t="n">
        <v>2</v>
      </c>
      <c r="B191" s="20" t="n">
        <v>90</v>
      </c>
      <c r="C191" s="21" t="inlineStr">
        <is>
          <t>AES</t>
        </is>
      </c>
      <c r="D191" s="20" t="inlineStr">
        <is>
          <t>The AES Corporation</t>
        </is>
      </c>
      <c r="E191" s="23" t="n">
        <v>14.92</v>
      </c>
      <c r="F191" s="29" t="inlineStr">
        <is>
          <t>07-17 @ 14.77</t>
        </is>
      </c>
      <c r="G191" s="29" t="inlineStr">
        <is>
          <t>07-31 @ 14.65</t>
        </is>
      </c>
      <c r="H191" s="29" t="inlineStr">
        <is>
          <t>08-19 @ 14.70</t>
        </is>
      </c>
      <c r="I191" s="29" t="inlineStr">
        <is>
          <t>08-27 @ 14.71</t>
        </is>
      </c>
      <c r="J191" s="29" t="inlineStr">
        <is>
          <t>09-11 @ 14.78</t>
        </is>
      </c>
      <c r="K191" s="29" t="inlineStr">
        <is>
          <t>09-23 @ 14.80</t>
        </is>
      </c>
      <c r="L191" s="29" t="inlineStr">
        <is>
          <t>09-03 @ 14.85</t>
        </is>
      </c>
      <c r="M191" s="29" t="inlineStr">
        <is>
          <t>09-10 @ 14.85</t>
        </is>
      </c>
      <c r="N191" s="29" t="inlineStr">
        <is>
          <t>09-17 @ 14.88</t>
        </is>
      </c>
      <c r="O191" s="29" t="inlineStr"/>
    </row>
    <row r="192">
      <c r="A192" s="20" t="n">
        <v>2</v>
      </c>
      <c r="B192" s="20" t="n">
        <v>91</v>
      </c>
      <c r="C192" s="21" t="inlineStr">
        <is>
          <t>JAKK</t>
        </is>
      </c>
      <c r="D192" s="20" t="inlineStr">
        <is>
          <t>JAKKS Pacific Inc.</t>
        </is>
      </c>
      <c r="E192" s="23" t="n">
        <v>25.5</v>
      </c>
      <c r="F192" s="29" t="inlineStr">
        <is>
          <t>07-09 @ 21.45</t>
        </is>
      </c>
      <c r="G192" s="29" t="inlineStr">
        <is>
          <t>07-24 @ 21.63</t>
        </is>
      </c>
      <c r="H192" s="29" t="inlineStr">
        <is>
          <t>08-12 @ 24.78</t>
        </is>
      </c>
      <c r="I192" s="29" t="inlineStr">
        <is>
          <t>08-18 @ 24.51</t>
        </is>
      </c>
      <c r="J192" s="29" t="inlineStr">
        <is>
          <t>09-09 @ 23.48</t>
        </is>
      </c>
      <c r="K192" s="29" t="inlineStr">
        <is>
          <t>09-18 @ 23.82</t>
        </is>
      </c>
      <c r="L192" s="29" t="inlineStr">
        <is>
          <t>09-16 @ 24.98</t>
        </is>
      </c>
      <c r="M192" s="29" t="inlineStr"/>
      <c r="N192" s="29" t="inlineStr"/>
      <c r="O192" s="29" t="inlineStr"/>
    </row>
    <row r="193">
      <c r="A193" s="20" t="n">
        <v>2</v>
      </c>
      <c r="B193" s="20" t="n">
        <v>92</v>
      </c>
      <c r="C193" s="21" t="inlineStr">
        <is>
          <t>HSTM</t>
        </is>
      </c>
      <c r="D193" s="20" t="inlineStr">
        <is>
          <t>HealthStream Inc.</t>
        </is>
      </c>
      <c r="E193" s="23" t="n">
        <v>30.36</v>
      </c>
      <c r="F193" s="29" t="inlineStr">
        <is>
          <t>08-06 @ 27.54</t>
        </is>
      </c>
      <c r="G193" s="29" t="inlineStr">
        <is>
          <t>08-12 @ 27.75</t>
        </is>
      </c>
      <c r="H193" s="29" t="inlineStr">
        <is>
          <t>08-21 @ 28.14</t>
        </is>
      </c>
      <c r="I193" s="29" t="inlineStr">
        <is>
          <t>09-09 @ 28.15</t>
        </is>
      </c>
      <c r="J193" s="29" t="inlineStr">
        <is>
          <t>09-18 @ 28.55</t>
        </is>
      </c>
      <c r="K193" s="29" t="inlineStr">
        <is>
          <t>09-25 @ 28.56</t>
        </is>
      </c>
      <c r="L193" s="29" t="inlineStr">
        <is>
          <t>09-03 @ 30.30</t>
        </is>
      </c>
      <c r="M193" s="29" t="inlineStr">
        <is>
          <t>09-15 @ 29.94</t>
        </is>
      </c>
      <c r="N193" s="29" t="inlineStr"/>
      <c r="O193" s="29" t="inlineStr"/>
    </row>
    <row r="194">
      <c r="A194" s="20" t="n">
        <v>2</v>
      </c>
      <c r="B194" s="20" t="n">
        <v>93</v>
      </c>
      <c r="C194" s="21" t="inlineStr">
        <is>
          <t>WCC</t>
        </is>
      </c>
      <c r="D194" s="20" t="inlineStr">
        <is>
          <t>WESCO International Inc.</t>
        </is>
      </c>
      <c r="E194" s="23" t="n">
        <v>371.28</v>
      </c>
      <c r="F194" s="29" t="inlineStr">
        <is>
          <t>07-17 @ 314.12</t>
        </is>
      </c>
      <c r="G194" s="29" t="inlineStr">
        <is>
          <t>07-29 @ 308.54</t>
        </is>
      </c>
      <c r="H194" s="29" t="inlineStr">
        <is>
          <t>08-20 @ 335.58</t>
        </is>
      </c>
      <c r="I194" s="29" t="inlineStr">
        <is>
          <t>09-02 @ 327.84</t>
        </is>
      </c>
      <c r="J194" s="29" t="inlineStr">
        <is>
          <t>09-15 @ 330.39</t>
        </is>
      </c>
      <c r="K194" s="29" t="inlineStr"/>
      <c r="L194" s="29" t="inlineStr">
        <is>
          <t>08-28 @ 354.14</t>
        </is>
      </c>
      <c r="M194" s="29" t="inlineStr">
        <is>
          <t>09-08 @ 365.48</t>
        </is>
      </c>
      <c r="N194" s="29" t="inlineStr">
        <is>
          <t>09-25 @ 371.40</t>
        </is>
      </c>
      <c r="O194" s="29" t="inlineStr"/>
    </row>
    <row r="195">
      <c r="A195" s="20" t="n">
        <v>2</v>
      </c>
      <c r="B195" s="20" t="n">
        <v>94</v>
      </c>
      <c r="C195" s="21" t="inlineStr">
        <is>
          <t>RLGT</t>
        </is>
      </c>
      <c r="D195" s="20" t="inlineStr">
        <is>
          <t>Radiant Logistics Inc.</t>
        </is>
      </c>
      <c r="E195" s="23" t="n">
        <v>9.01</v>
      </c>
      <c r="F195" s="29" t="inlineStr">
        <is>
          <t>08-11 @ 8.22</t>
        </is>
      </c>
      <c r="G195" s="29" t="inlineStr">
        <is>
          <t>08-24 @ 8.34</t>
        </is>
      </c>
      <c r="H195" s="29" t="inlineStr">
        <is>
          <t>09-03 @ 8.05</t>
        </is>
      </c>
      <c r="I195" s="29" t="inlineStr">
        <is>
          <t>09-14 @ 8.06</t>
        </is>
      </c>
      <c r="J195" s="29" t="inlineStr">
        <is>
          <t>09-21 @ 8.44</t>
        </is>
      </c>
      <c r="K195" s="29" t="inlineStr">
        <is>
          <t>09-28 @ 8.49</t>
        </is>
      </c>
      <c r="L195" s="29" t="inlineStr">
        <is>
          <t>08-27 @ 9.05</t>
        </is>
      </c>
      <c r="M195" s="29" t="inlineStr">
        <is>
          <t>09-15 @ 10.20</t>
        </is>
      </c>
      <c r="N195" s="29" t="inlineStr"/>
      <c r="O195" s="29" t="inlineStr"/>
    </row>
    <row r="196">
      <c r="A196" s="20" t="n">
        <v>2</v>
      </c>
      <c r="B196" s="20" t="n">
        <v>95</v>
      </c>
      <c r="C196" s="21" t="inlineStr">
        <is>
          <t>IT</t>
        </is>
      </c>
      <c r="D196" s="20" t="inlineStr">
        <is>
          <t>Gartner Inc.</t>
        </is>
      </c>
      <c r="E196" s="23" t="n">
        <v>192.8</v>
      </c>
      <c r="F196" s="29" t="inlineStr">
        <is>
          <t>07-09 @ 128.88</t>
        </is>
      </c>
      <c r="G196" s="29" t="inlineStr">
        <is>
          <t>07-23 @ 128.78</t>
        </is>
      </c>
      <c r="H196" s="29" t="inlineStr">
        <is>
          <t>07-31 @ 147.45</t>
        </is>
      </c>
      <c r="I196" s="29" t="inlineStr">
        <is>
          <t>08-13 @ 172.65</t>
        </is>
      </c>
      <c r="J196" s="29" t="inlineStr">
        <is>
          <t>09-09 @ 166.01</t>
        </is>
      </c>
      <c r="K196" s="29" t="inlineStr">
        <is>
          <t>09-24 @ 176.04</t>
        </is>
      </c>
      <c r="L196" s="29" t="inlineStr">
        <is>
          <t>09-15 @ 202.98</t>
        </is>
      </c>
      <c r="M196" s="29" t="inlineStr"/>
      <c r="N196" s="29" t="inlineStr"/>
      <c r="O196" s="29" t="inlineStr"/>
    </row>
    <row r="197">
      <c r="A197" s="20" t="n">
        <v>2</v>
      </c>
      <c r="B197" s="20" t="n">
        <v>96</v>
      </c>
      <c r="C197" s="21" t="inlineStr">
        <is>
          <t>KR</t>
        </is>
      </c>
      <c r="D197" s="20" t="inlineStr">
        <is>
          <t>Kroger Company (The)</t>
        </is>
      </c>
      <c r="E197" s="23" t="n">
        <v>59.48</v>
      </c>
      <c r="F197" s="29" t="inlineStr">
        <is>
          <t>07-23 @ 54.83</t>
        </is>
      </c>
      <c r="G197" s="29" t="inlineStr">
        <is>
          <t>08-12 @ 55.14</t>
        </is>
      </c>
      <c r="H197" s="29" t="inlineStr">
        <is>
          <t>08-20 @ 55.05</t>
        </is>
      </c>
      <c r="I197" s="29" t="inlineStr">
        <is>
          <t>09-01 @ 56.71</t>
        </is>
      </c>
      <c r="J197" s="29" t="inlineStr">
        <is>
          <t>09-11 @ 55.65</t>
        </is>
      </c>
      <c r="K197" s="29" t="inlineStr">
        <is>
          <t>09-23 @ 57.56</t>
        </is>
      </c>
      <c r="L197" s="29" t="inlineStr">
        <is>
          <t>09-03 @ 59.13</t>
        </is>
      </c>
      <c r="M197" s="29" t="inlineStr">
        <is>
          <t>09-15 @ 62.55</t>
        </is>
      </c>
      <c r="N197" s="29" t="inlineStr"/>
      <c r="O197" s="29" t="inlineStr"/>
    </row>
    <row r="198">
      <c r="A198" s="20" t="n">
        <v>2</v>
      </c>
      <c r="B198" s="20" t="n">
        <v>97</v>
      </c>
      <c r="C198" s="21" t="inlineStr">
        <is>
          <t>MGNI</t>
        </is>
      </c>
      <c r="D198" s="20" t="inlineStr">
        <is>
          <t>Magnite Inc.</t>
        </is>
      </c>
      <c r="E198" s="23" t="n">
        <v>25.44</v>
      </c>
      <c r="F198" s="29" t="inlineStr">
        <is>
          <t>07-08 @ 19.75</t>
        </is>
      </c>
      <c r="G198" s="29" t="inlineStr">
        <is>
          <t>07-23 @ 17.73</t>
        </is>
      </c>
      <c r="H198" s="29" t="inlineStr">
        <is>
          <t>08-26 @ 23.07</t>
        </is>
      </c>
      <c r="I198" s="29" t="inlineStr">
        <is>
          <t>09-02 @ 22.44</t>
        </is>
      </c>
      <c r="J198" s="29" t="inlineStr">
        <is>
          <t>09-09 @ 23.05</t>
        </is>
      </c>
      <c r="K198" s="29" t="inlineStr">
        <is>
          <t>09-28 @ 23.09</t>
        </is>
      </c>
      <c r="L198" s="29" t="inlineStr">
        <is>
          <t>09-03 @ 25.79</t>
        </is>
      </c>
      <c r="M198" s="29" t="inlineStr">
        <is>
          <t>09-17 @ 26.84</t>
        </is>
      </c>
      <c r="N198" s="29" t="inlineStr"/>
      <c r="O198" s="29" t="inlineStr"/>
    </row>
    <row r="199">
      <c r="A199" s="20" t="n">
        <v>2</v>
      </c>
      <c r="B199" s="20" t="n">
        <v>98</v>
      </c>
      <c r="C199" s="21" t="inlineStr">
        <is>
          <t>CVCO</t>
        </is>
      </c>
      <c r="D199" s="20" t="inlineStr">
        <is>
          <t>Cavco Industries Inc.</t>
        </is>
      </c>
      <c r="E199" s="23" t="n">
        <v>577.2</v>
      </c>
      <c r="F199" s="29" t="inlineStr">
        <is>
          <t>07-08 @ 551.94</t>
        </is>
      </c>
      <c r="G199" s="29" t="inlineStr">
        <is>
          <t>07-23 @ 551.28</t>
        </is>
      </c>
      <c r="H199" s="29" t="inlineStr">
        <is>
          <t>07-31 @ 534.05</t>
        </is>
      </c>
      <c r="I199" s="29" t="inlineStr">
        <is>
          <t>08-20 @ 574.70</t>
        </is>
      </c>
      <c r="J199" s="29" t="inlineStr">
        <is>
          <t>09-10 @ 515.68</t>
        </is>
      </c>
      <c r="K199" s="29" t="inlineStr">
        <is>
          <t>09-18 @ 520.56</t>
        </is>
      </c>
      <c r="L199" s="29" t="inlineStr">
        <is>
          <t>09-03 @ 574.41</t>
        </is>
      </c>
      <c r="M199" s="29" t="inlineStr">
        <is>
          <t>09-22 @ 561.74</t>
        </is>
      </c>
      <c r="N199" s="29" t="inlineStr"/>
      <c r="O199" s="29" t="inlineStr"/>
    </row>
    <row r="200">
      <c r="A200" s="20" t="n">
        <v>2</v>
      </c>
      <c r="B200" s="20" t="n">
        <v>99</v>
      </c>
      <c r="C200" s="21" t="inlineStr">
        <is>
          <t>BJ</t>
        </is>
      </c>
      <c r="D200" s="20" t="inlineStr">
        <is>
          <t>BJ's Wholesale Club Holdings Inc.</t>
        </is>
      </c>
      <c r="E200" s="23" t="n">
        <v>94.36</v>
      </c>
      <c r="F200" s="29" t="inlineStr">
        <is>
          <t>08-04 @ 95.31</t>
        </is>
      </c>
      <c r="G200" s="29" t="inlineStr">
        <is>
          <t>08-12 @ 92.30</t>
        </is>
      </c>
      <c r="H200" s="29" t="inlineStr">
        <is>
          <t>08-20 @ 88.22</t>
        </is>
      </c>
      <c r="I200" s="29" t="inlineStr">
        <is>
          <t>08-28 @ 90.11</t>
        </is>
      </c>
      <c r="J200" s="29" t="inlineStr">
        <is>
          <t>09-09 @ 87.72</t>
        </is>
      </c>
      <c r="K200" s="29" t="inlineStr">
        <is>
          <t>09-23 @ 89.89</t>
        </is>
      </c>
      <c r="L200" s="29" t="inlineStr">
        <is>
          <t>09-04 @ 93.76</t>
        </is>
      </c>
      <c r="M200" s="29" t="inlineStr">
        <is>
          <t>09-15 @ 96.21</t>
        </is>
      </c>
      <c r="N200" s="29" t="inlineStr">
        <is>
          <t>09-28 @ 97.30</t>
        </is>
      </c>
      <c r="O200" s="29" t="inlineStr"/>
    </row>
    <row r="202">
      <c r="A202" s="42" t="inlineStr">
        <is>
          <t>樞軸底 = 當日最低價係前後各 3 個交易日入面最低（兩邊最外嗰日都要高過佢），3 日內嘅兩個底只留較低嗰個；樞軸頂同理用最高價。C3 要最後兩個底遞升；C5 嘅高位／低位斜率係呢啲樞軸對日數嘅最小二乘斜率（不足兩個樞軸就用窗口內全部高／低位）。</t>
        </is>
      </c>
    </row>
  </sheetData>
  <autoFilter ref="A1:O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  <col width="16" customWidth="1" min="3" max="3"/>
    <col width="14" customWidth="1" min="4" max="4"/>
  </cols>
  <sheetData>
    <row r="1">
      <c r="A1" s="1" t="inlineStr">
        <is>
          <t>R2.00 篩選條件：21EMA 向上 ＋ 9EMA 在 21EMA 上 ＋ 一底高於一底 ＋ 上升三角（重心偏上）；分頁 a 剛黃金交叉／b 回到 21EMA／c 回到 9EMA</t>
        </is>
      </c>
    </row>
    <row r="2">
      <c r="A2" s="43" t="inlineStr">
        <is>
          <t>說明</t>
        </is>
      </c>
      <c r="B2" s="3" t="inlineStr">
        <is>
          <t>全美上市普通股（Nasdaq／NYSE／AMEX，3,868 隻）用 Yahoo 日線量度，數據終點 2026-10-01 收市（192 個交易日，2025-12-26 起）。EMA 用標準指數平滑 α=2/(N+1)，ATR14 用 Wilder 平滑。單獨通過＝只計該項；累計＝由 C1 起逐項收窄。</t>
        </is>
      </c>
      <c r="C2" s="2" t="inlineStr">
        <is>
          <t>單獨通過</t>
        </is>
      </c>
      <c r="D2" s="2" t="inlineStr">
        <is>
          <t>累計通過</t>
        </is>
      </c>
    </row>
    <row r="3" ht="44" customHeight="1">
      <c r="A3" s="44" t="inlineStr">
        <is>
          <t>股票池</t>
        </is>
      </c>
      <c r="B3" s="3" t="inlineStr">
        <is>
          <t>當日（2026-10-01）有成交、≥90 個交易日歷史、收市 ≥$2、20 日成交額中位數 ≥$1M（3,868 → 有當日 bar 3,861 → 歷史夠 3,738 → 價格 3,465 → 成交額 2,791）</t>
        </is>
      </c>
      <c r="C3" s="45" t="n">
        <v>2791</v>
      </c>
      <c r="D3" s="45" t="n">
        <v>2791</v>
      </c>
    </row>
    <row r="4" ht="44" customHeight="1">
      <c r="A4" s="44" t="inlineStr">
        <is>
          <t>C1 21EMA 向上</t>
        </is>
      </c>
      <c r="B4" s="3" t="inlineStr">
        <is>
          <t>EMA21 高過前一日，而且高過 5 日前（5 日斜率 &gt;0）；另記錄最近 10 步入面上升嘅比例（入分數）</t>
        </is>
      </c>
      <c r="C4" s="45" t="n">
        <v>573</v>
      </c>
      <c r="D4" s="45" t="n">
        <v>573</v>
      </c>
    </row>
    <row r="5" ht="44" customHeight="1">
      <c r="A5" s="44" t="inlineStr">
        <is>
          <t>C2 9EMA 在 21EMA 上</t>
        </is>
      </c>
      <c r="B5" s="3" t="inlineStr">
        <is>
          <t>EMA9 &gt; EMA21。最近一次黃金交叉（EMA9 由 ≤ 變 &gt;）喺 5 日內＝「剛黃金交叉」（a 頁），否則「持續在上方」</t>
        </is>
      </c>
      <c r="C5" s="45" t="n">
        <v>668</v>
      </c>
      <c r="D5" s="45" t="n">
        <v>542</v>
      </c>
    </row>
    <row r="6" ht="44" customHeight="1">
      <c r="A6" s="44" t="inlineStr">
        <is>
          <t>C3 一底高於一底</t>
        </is>
      </c>
      <c r="B6" s="3" t="inlineStr">
        <is>
          <t>用最低價搵樞軸底（前後各 3 日最低）；近 60 日最後兩個底要遞升、最後一底 ≤30 日前、之後收市冇跌穿佢（容 0.5%）。連續遞升底嘅數目入分數</t>
        </is>
      </c>
      <c r="C6" s="45" t="n">
        <v>582</v>
      </c>
      <c r="D6" s="45" t="n">
        <v>322</v>
      </c>
    </row>
    <row r="7" ht="44" customHeight="1">
      <c r="A7" s="44" t="inlineStr">
        <is>
          <t>C4 上升三角／重心偏上</t>
        </is>
      </c>
      <c r="B7" s="3" t="inlineStr">
        <is>
          <t>近 25 日：VWAP 喺高低區間嘅位置（重心）≥0.5；樞軸低位嘅最小二乘斜率 &gt;0；樞軸高位斜率喺 -0.10 至 +1.00 %/日之間（平頂至微升：頂部下傾係對稱三角、頂部急升係通道，都唔係上升三角）</t>
        </is>
      </c>
      <c r="C7" s="45" t="n">
        <v>263</v>
      </c>
      <c r="D7" s="45" t="n">
        <v>100</v>
      </c>
    </row>
    <row r="8" ht="44" customHeight="1">
      <c r="A8" s="44" t="inlineStr">
        <is>
          <t>第一梯隊（總表）</t>
        </is>
      </c>
      <c r="B8" s="3" t="inlineStr">
        <is>
          <t>四項全過，按綜合分數排</t>
        </is>
      </c>
      <c r="C8" s="45" t="inlineStr"/>
      <c r="D8" s="45" t="n">
        <v>100</v>
      </c>
    </row>
    <row r="9" ht="44" customHeight="1">
      <c r="A9" s="44" t="inlineStr">
        <is>
          <t>a 剛黃金交叉</t>
        </is>
      </c>
      <c r="B9" s="3" t="inlineStr">
        <is>
          <t>第一梯隊入面 9EMA 喺 5 日內剛升穿 21EMA</t>
        </is>
      </c>
      <c r="C9" s="45" t="inlineStr"/>
      <c r="D9" s="45" t="n">
        <v>15</v>
      </c>
    </row>
    <row r="10" ht="44" customHeight="1">
      <c r="A10" s="44" t="inlineStr">
        <is>
          <t>b 回到 21EMA</t>
        </is>
      </c>
      <c r="B10" s="3" t="inlineStr">
        <is>
          <t>第一梯隊入面收市離 EMA21 ≤3% 兼（≤0.75 ATR14 或近 3 日最低價 ≤ 當日 EMA21×1.005）、收市唔低過 EMA21 3%；離兩條都近就歸較近嗰條</t>
        </is>
      </c>
      <c r="C10" s="45" t="inlineStr"/>
      <c r="D10" s="45" t="n">
        <v>10</v>
      </c>
    </row>
    <row r="11" ht="44" customHeight="1">
      <c r="A11" s="44" t="inlineStr">
        <is>
          <t>c 回到 9EMA</t>
        </is>
      </c>
      <c r="B11" s="3" t="inlineStr">
        <is>
          <t>第一梯隊入面收市離 EMA9 ≤3% 兼（≤0.75 ATR14 或近 3 日最低價 ≤ 當日 EMA9×1.005），而且唔喺 b 頁</t>
        </is>
      </c>
      <c r="C11" s="45" t="inlineStr"/>
      <c r="D11" s="45" t="n">
        <v>76</v>
      </c>
    </row>
    <row r="12" ht="44" customHeight="1">
      <c r="A12" s="44" t="inlineStr">
        <is>
          <t>第二梯隊</t>
        </is>
      </c>
      <c r="B12" s="3" t="inlineStr">
        <is>
          <t>只唔過一項，而且嗰項喺放寬門檻下通過（金叉 ≤8 日；底回望 80 日／最後一底 ≤40 日；重心 ≥0.45、高位斜率 -0.20 至 +1.50）；「差一項」頁列明每隻差邊項</t>
        </is>
      </c>
      <c r="C12" s="45" t="inlineStr"/>
      <c r="D12" s="45" t="n">
        <v>99</v>
      </c>
    </row>
    <row r="14">
      <c r="A14" s="46" t="inlineStr">
        <is>
          <t>評分（每項 0–1，線性、兩頭封頂；總表公式）</t>
        </is>
      </c>
    </row>
    <row r="15" ht="32" customHeight="1">
      <c r="A15" s="44" t="inlineStr">
        <is>
          <t>趨勢分數</t>
        </is>
      </c>
      <c r="B15" s="3" t="inlineStr">
        <is>
          <t>0.4 × EMA21 5日斜率（0.0%→0、2.5%→1）+ 0.3 × EMA21 10步上升比例（60%→0、100%→1）+ 0.3 × RS21（0%→0、15%→1；RS21 = 21 日回報 − 全池中位數）</t>
        </is>
      </c>
    </row>
    <row r="16" ht="32" customHeight="1">
      <c r="A16" s="44" t="inlineStr">
        <is>
          <t>回調質素</t>
        </is>
      </c>
      <c r="B16" s="3" t="inlineStr">
        <is>
          <t>0.4 × 貼近 EMA（距最近一條 EMA 嘅 ATR 倍數：0.75→0、0→1）+ 0.3 × 量縮（近 10 日跌日均量 ÷ 升日均量：1.2→0、0.6→1）+ 0.3 × 收市在當日高低區間位置</t>
        </is>
      </c>
    </row>
    <row r="17" ht="32" customHeight="1">
      <c r="A17" s="44" t="inlineStr">
        <is>
          <t>底部結構</t>
        </is>
      </c>
      <c r="B17" s="3" t="inlineStr">
        <is>
          <t>0.5 × 連續上升底數目（1→0、4→1）+ 0.3 × 最後一底較上一底升幅（0%→0、8%→1）+ 0.2 × 最後一底距今（25 日→0、5 日→1）</t>
        </is>
      </c>
    </row>
    <row r="18" ht="32" customHeight="1">
      <c r="A18" s="44" t="inlineStr">
        <is>
          <t>三角形分數</t>
        </is>
      </c>
      <c r="B18" s="3" t="inlineStr">
        <is>
          <t>0.35 × 平頂（|高位斜率| 0.3→0、0.05→1 %/日）+ 0.30 × 低位上升（低位斜率 0.0→0、0.3→1 %/日）+ 0.25 × 重心（0.4→0、0.7→1）+ 0.10 × 頂部觸及（≥2 次→1、1 次→0.5；觸及＝最高價喺 25 日最高 1.5% 內）</t>
        </is>
      </c>
    </row>
    <row r="19" ht="32" customHeight="1">
      <c r="A19" s="44" t="inlineStr">
        <is>
          <t>綜合分數</t>
        </is>
      </c>
      <c r="B19" s="3" t="inlineStr">
        <is>
          <t>0.25 × 趨勢 + 0.25 × 回調質素 + 0.2 × 底部結構 + 0.3 × 三角形（每頁排名用；先分梯隊）</t>
        </is>
      </c>
    </row>
    <row r="20" ht="32" customHeight="1">
      <c r="A20" s="44" t="inlineStr">
        <is>
          <t>欄位顏色</t>
        </is>
      </c>
      <c r="B20" s="3" t="inlineStr">
        <is>
          <t>藍字＝量度值（輸入）；黑字＝公式；灰底＝第二梯隊；綠底狀態＝剛黃金交叉；市值組：大型 ≥$100 億、中型 $20–100 億、小型 &lt;$20 億（Nasdaq 快照市值）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8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市況（2026-10-01 收市）</t>
        </is>
      </c>
    </row>
    <row r="2">
      <c r="A2" s="34" t="inlineStr">
        <is>
          <t>指數企喺高位、闊度極弱；加息周期中段，長債息 24 年新高、油價 $90 樓上 —— 偏防守，只做高 RS 嘅 9/21EMA 回調</t>
        </is>
      </c>
    </row>
    <row r="4" ht="30" customHeight="1">
      <c r="A4" s="4" t="inlineStr">
        <is>
          <t>代號</t>
        </is>
      </c>
      <c r="B4" s="4" t="inlineStr">
        <is>
          <t>名稱</t>
        </is>
      </c>
      <c r="C4" s="4" t="inlineStr">
        <is>
          <t>收市</t>
        </is>
      </c>
      <c r="D4" s="4" t="inlineStr">
        <is>
          <t>當日%</t>
        </is>
      </c>
      <c r="E4" s="4" t="inlineStr">
        <is>
          <t>5日%</t>
        </is>
      </c>
      <c r="F4" s="4" t="inlineStr">
        <is>
          <t>1個月%（21日）</t>
        </is>
      </c>
      <c r="G4" s="4" t="inlineStr">
        <is>
          <t>3個月%（63日）</t>
        </is>
      </c>
      <c r="H4" s="4" t="inlineStr">
        <is>
          <t>EMA9</t>
        </is>
      </c>
      <c r="I4" s="4" t="inlineStr">
        <is>
          <t>EMA21</t>
        </is>
      </c>
      <c r="J4" s="4" t="inlineStr">
        <is>
          <t>EMA21（5日前）</t>
        </is>
      </c>
      <c r="K4" s="4" t="inlineStr">
        <is>
          <t>距EMA21%</t>
        </is>
      </c>
      <c r="L4" s="4" t="inlineStr">
        <is>
          <t>EMA21 5日斜率%</t>
        </is>
      </c>
      <c r="M4" s="4" t="inlineStr">
        <is>
          <t>9&gt;21</t>
        </is>
      </c>
      <c r="N4" s="4" t="inlineStr">
        <is>
          <t>期內最高距%</t>
        </is>
      </c>
      <c r="O4" s="4" t="inlineStr">
        <is>
          <t>期內最低距%</t>
        </is>
      </c>
      <c r="P4" s="4" t="inlineStr">
        <is>
          <t>最後日期</t>
        </is>
      </c>
    </row>
    <row r="5">
      <c r="A5" s="43" t="inlineStr">
        <is>
          <t>SPY</t>
        </is>
      </c>
      <c r="B5" s="5" t="inlineStr">
        <is>
          <t>標普 500 ETF</t>
        </is>
      </c>
      <c r="C5" s="7" t="n">
        <v>763.99</v>
      </c>
      <c r="D5" s="47" t="n">
        <v>0.00178</v>
      </c>
      <c r="E5" s="47" t="n">
        <v>-0.00416</v>
      </c>
      <c r="F5" s="47" t="n">
        <v>0.0029</v>
      </c>
      <c r="G5" s="47" t="n">
        <v>0.02579</v>
      </c>
      <c r="H5" s="7" t="n">
        <v>765.3371</v>
      </c>
      <c r="I5" s="7" t="n">
        <v>765.1909000000001</v>
      </c>
      <c r="J5" s="7" t="n">
        <v>765.1655</v>
      </c>
      <c r="K5" s="9">
        <f>C5/I5-1</f>
        <v/>
      </c>
      <c r="L5" s="9">
        <f>I5/J5-1</f>
        <v/>
      </c>
      <c r="M5" s="45">
        <f>IF(H5&gt;I5,"是","否")</f>
        <v/>
      </c>
      <c r="N5" s="47" t="n">
        <v>-0.01786</v>
      </c>
      <c r="O5" s="47" t="n">
        <v>0.2089</v>
      </c>
      <c r="P5" s="5" t="inlineStr">
        <is>
          <t>2026-10-01</t>
        </is>
      </c>
    </row>
    <row r="6">
      <c r="A6" s="43" t="inlineStr">
        <is>
          <t>QQQ</t>
        </is>
      </c>
      <c r="B6" s="5" t="inlineStr">
        <is>
          <t>納指 100 ETF</t>
        </is>
      </c>
      <c r="C6" s="7" t="n">
        <v>742.03</v>
      </c>
      <c r="D6" s="47" t="n">
        <v>0.00306</v>
      </c>
      <c r="E6" s="47" t="n">
        <v>0.00125</v>
      </c>
      <c r="F6" s="47" t="n">
        <v>0.0486</v>
      </c>
      <c r="G6" s="47" t="n">
        <v>0.0413</v>
      </c>
      <c r="H6" s="7" t="n">
        <v>737.0672</v>
      </c>
      <c r="I6" s="7" t="n">
        <v>729.311</v>
      </c>
      <c r="J6" s="7" t="n">
        <v>722.7009</v>
      </c>
      <c r="K6" s="9">
        <f>C6/I6-1</f>
        <v/>
      </c>
      <c r="L6" s="9">
        <f>I6/J6-1</f>
        <v/>
      </c>
      <c r="M6" s="45">
        <f>IF(H6&gt;I6,"是","否")</f>
        <v/>
      </c>
      <c r="N6" s="47" t="n">
        <v>-0.00726</v>
      </c>
      <c r="O6" s="47" t="n">
        <v>0.32914</v>
      </c>
      <c r="P6" s="5" t="inlineStr">
        <is>
          <t>2026-10-01</t>
        </is>
      </c>
    </row>
    <row r="7">
      <c r="A7" s="43" t="inlineStr">
        <is>
          <t>DIA</t>
        </is>
      </c>
      <c r="B7" s="5" t="inlineStr">
        <is>
          <t>道指 ETF</t>
        </is>
      </c>
      <c r="C7" s="7" t="n">
        <v>508.62</v>
      </c>
      <c r="D7" s="47" t="n">
        <v>0.00014</v>
      </c>
      <c r="E7" s="47" t="n">
        <v>-0.00792</v>
      </c>
      <c r="F7" s="47" t="n">
        <v>-0.03625</v>
      </c>
      <c r="G7" s="47" t="n">
        <v>-0.03649</v>
      </c>
      <c r="H7" s="7" t="n">
        <v>513.4859</v>
      </c>
      <c r="I7" s="7" t="n">
        <v>518.5608</v>
      </c>
      <c r="J7" s="7" t="n">
        <v>522.6426</v>
      </c>
      <c r="K7" s="9">
        <f>C7/I7-1</f>
        <v/>
      </c>
      <c r="L7" s="9">
        <f>I7/J7-1</f>
        <v/>
      </c>
      <c r="M7" s="45">
        <f>IF(H7&gt;I7,"是","否")</f>
        <v/>
      </c>
      <c r="N7" s="47" t="n">
        <v>-0.06299</v>
      </c>
      <c r="O7" s="47" t="n">
        <v>0.12679</v>
      </c>
      <c r="P7" s="5" t="inlineStr">
        <is>
          <t>2026-10-01</t>
        </is>
      </c>
    </row>
    <row r="8">
      <c r="A8" s="43" t="inlineStr">
        <is>
          <t>IWM</t>
        </is>
      </c>
      <c r="B8" s="5" t="inlineStr">
        <is>
          <t>羅素 2000 ETF</t>
        </is>
      </c>
      <c r="C8" s="7" t="n">
        <v>279.02</v>
      </c>
      <c r="D8" s="47" t="n">
        <v>0.00407</v>
      </c>
      <c r="E8" s="47" t="n">
        <v>-0.00937</v>
      </c>
      <c r="F8" s="47" t="n">
        <v>-0.03975</v>
      </c>
      <c r="G8" s="47" t="n">
        <v>-0.06237</v>
      </c>
      <c r="H8" s="7" t="n">
        <v>281.1977</v>
      </c>
      <c r="I8" s="7" t="n">
        <v>285.2997</v>
      </c>
      <c r="J8" s="7" t="n">
        <v>288.8802</v>
      </c>
      <c r="K8" s="9">
        <f>C8/I8-1</f>
        <v/>
      </c>
      <c r="L8" s="9">
        <f>I8/J8-1</f>
        <v/>
      </c>
      <c r="M8" s="45">
        <f>IF(H8&gt;I8,"是","否")</f>
        <v/>
      </c>
      <c r="N8" s="47" t="n">
        <v>-0.08545</v>
      </c>
      <c r="O8" s="47" t="n">
        <v>0.16448</v>
      </c>
      <c r="P8" s="5" t="inlineStr">
        <is>
          <t>2026-10-01</t>
        </is>
      </c>
    </row>
    <row r="9">
      <c r="A9" s="43" t="inlineStr">
        <is>
          <t>MDY</t>
        </is>
      </c>
      <c r="B9" s="5" t="inlineStr">
        <is>
          <t>標普中型 400 ETF</t>
        </is>
      </c>
      <c r="C9" s="7" t="n">
        <v>663.38</v>
      </c>
      <c r="D9" s="47" t="n">
        <v>0.01016</v>
      </c>
      <c r="E9" s="47" t="n">
        <v>-0.00054</v>
      </c>
      <c r="F9" s="47" t="n">
        <v>-0.02437</v>
      </c>
      <c r="G9" s="47" t="n">
        <v>-0.04371</v>
      </c>
      <c r="H9" s="7" t="n">
        <v>663.8736</v>
      </c>
      <c r="I9" s="7" t="n">
        <v>671.1036</v>
      </c>
      <c r="J9" s="7" t="n">
        <v>677.0919</v>
      </c>
      <c r="K9" s="9">
        <f>C9/I9-1</f>
        <v/>
      </c>
      <c r="L9" s="9">
        <f>I9/J9-1</f>
        <v/>
      </c>
      <c r="M9" s="45">
        <f>IF(H9&gt;I9,"是","否")</f>
        <v/>
      </c>
      <c r="N9" s="47" t="n">
        <v>-0.07467</v>
      </c>
      <c r="O9" s="47" t="n">
        <v>0.10742</v>
      </c>
      <c r="P9" s="5" t="inlineStr">
        <is>
          <t>2026-10-01</t>
        </is>
      </c>
    </row>
    <row r="10">
      <c r="A10" s="43" t="inlineStr">
        <is>
          <t>RSP</t>
        </is>
      </c>
      <c r="B10" s="5" t="inlineStr">
        <is>
          <t>標普 500 等權 ETF</t>
        </is>
      </c>
      <c r="C10" s="7" t="n">
        <v>209</v>
      </c>
      <c r="D10" s="47" t="n">
        <v>0.00471</v>
      </c>
      <c r="E10" s="47" t="n">
        <v>-0.00599</v>
      </c>
      <c r="F10" s="47" t="n">
        <v>-0.03948</v>
      </c>
      <c r="G10" s="47" t="n">
        <v>-0.0275</v>
      </c>
      <c r="H10" s="7" t="n">
        <v>210.3549</v>
      </c>
      <c r="I10" s="7" t="n">
        <v>212.7413</v>
      </c>
      <c r="J10" s="7" t="n">
        <v>214.8029</v>
      </c>
      <c r="K10" s="9">
        <f>C10/I10-1</f>
        <v/>
      </c>
      <c r="L10" s="9">
        <f>I10/J10-1</f>
        <v/>
      </c>
      <c r="M10" s="45">
        <f>IF(H10&gt;I10,"是","否")</f>
        <v/>
      </c>
      <c r="N10" s="47" t="n">
        <v>-0.06181</v>
      </c>
      <c r="O10" s="47" t="n">
        <v>0.11129</v>
      </c>
      <c r="P10" s="5" t="inlineStr">
        <is>
          <t>2026-10-01</t>
        </is>
      </c>
    </row>
    <row r="11">
      <c r="A11" s="43" t="inlineStr">
        <is>
          <t>^SOX</t>
        </is>
      </c>
      <c r="B11" s="5" t="inlineStr">
        <is>
          <t>費城半導體指數</t>
        </is>
      </c>
      <c r="C11" s="7" t="n">
        <v>12829</v>
      </c>
      <c r="D11" s="47" t="n">
        <v>0.01587</v>
      </c>
      <c r="E11" s="47" t="n">
        <v>0.02693</v>
      </c>
      <c r="F11" s="47" t="n">
        <v>0.13646</v>
      </c>
      <c r="G11" s="47" t="n">
        <v>0.01606</v>
      </c>
      <c r="H11" s="7" t="n">
        <v>12495.4984</v>
      </c>
      <c r="I11" s="7" t="n">
        <v>12199.561</v>
      </c>
      <c r="J11" s="7" t="n">
        <v>11922.154</v>
      </c>
      <c r="K11" s="9">
        <f>C11/I11-1</f>
        <v/>
      </c>
      <c r="L11" s="9">
        <f>I11/J11-1</f>
        <v/>
      </c>
      <c r="M11" s="45">
        <f>IF(H11&gt;I11,"是","否")</f>
        <v/>
      </c>
      <c r="N11" s="47" t="n">
        <v>-0.12339</v>
      </c>
      <c r="O11" s="47" t="n">
        <v>0.8112</v>
      </c>
      <c r="P11" s="5" t="inlineStr">
        <is>
          <t>2026-10-01</t>
        </is>
      </c>
    </row>
    <row r="12">
      <c r="A12" s="43" t="inlineStr">
        <is>
          <t>^VIX</t>
        </is>
      </c>
      <c r="B12" s="5" t="inlineStr">
        <is>
          <t>VIX</t>
        </is>
      </c>
      <c r="C12" s="7" t="n">
        <v>16.39</v>
      </c>
      <c r="D12" s="47" t="n">
        <v>0.00306</v>
      </c>
      <c r="E12" s="47" t="n">
        <v>0.04595</v>
      </c>
      <c r="F12" s="47" t="n">
        <v>0.07829</v>
      </c>
      <c r="G12" s="47" t="n">
        <v>0.05267</v>
      </c>
      <c r="H12" s="7" t="n">
        <v>15.8841</v>
      </c>
      <c r="I12" s="7" t="n">
        <v>15.7793</v>
      </c>
      <c r="J12" s="7" t="n">
        <v>15.6426</v>
      </c>
      <c r="K12" s="9">
        <f>C12/I12-1</f>
        <v/>
      </c>
      <c r="L12" s="9">
        <f>I12/J12-1</f>
        <v/>
      </c>
      <c r="M12" s="45">
        <f>IF(H12&gt;I12,"是","否")</f>
        <v/>
      </c>
      <c r="N12" s="47" t="n">
        <v>-0.47214</v>
      </c>
      <c r="O12" s="47" t="n">
        <v>0.20515</v>
      </c>
      <c r="P12" s="5" t="inlineStr">
        <is>
          <t>2026-10-01</t>
        </is>
      </c>
    </row>
    <row r="13">
      <c r="A13" s="43" t="inlineStr">
        <is>
          <t>^TNX</t>
        </is>
      </c>
      <c r="B13" s="5" t="inlineStr">
        <is>
          <t>10 年美債息（%）</t>
        </is>
      </c>
      <c r="C13" s="7" t="n">
        <v>5.237</v>
      </c>
      <c r="D13" s="47" t="n">
        <v>-0.01058</v>
      </c>
      <c r="E13" s="47" t="n">
        <v>0.01453</v>
      </c>
      <c r="F13" s="47" t="n">
        <v>0.09195</v>
      </c>
      <c r="G13" s="47" t="n">
        <v>0.16767</v>
      </c>
      <c r="H13" s="7" t="n">
        <v>5.1721</v>
      </c>
      <c r="I13" s="7" t="n">
        <v>5.0416</v>
      </c>
      <c r="J13" s="7" t="n">
        <v>4.9177</v>
      </c>
      <c r="K13" s="9">
        <f>C13/I13-1</f>
        <v/>
      </c>
      <c r="L13" s="9">
        <f>I13/J13-1</f>
        <v/>
      </c>
      <c r="M13" s="45">
        <f>IF(H13&gt;I13,"是","否")</f>
        <v/>
      </c>
      <c r="N13" s="47" t="n">
        <v>-0.01058</v>
      </c>
      <c r="O13" s="47" t="n">
        <v>0.32181</v>
      </c>
      <c r="P13" s="5" t="inlineStr">
        <is>
          <t>2026-10-01</t>
        </is>
      </c>
    </row>
    <row r="14">
      <c r="A14" s="43" t="inlineStr">
        <is>
          <t>^IRX</t>
        </is>
      </c>
      <c r="B14" s="5" t="inlineStr">
        <is>
          <t>3 個月美債息（%）</t>
        </is>
      </c>
      <c r="C14" s="7" t="n">
        <v>3.982</v>
      </c>
      <c r="D14" s="47" t="n">
        <v>-0.01191</v>
      </c>
      <c r="E14" s="47" t="n">
        <v>-0.02114</v>
      </c>
      <c r="F14" s="47" t="n">
        <v>0.05567</v>
      </c>
      <c r="G14" s="47" t="n">
        <v>0.08561000000000001</v>
      </c>
      <c r="H14" s="7" t="n">
        <v>4.0148</v>
      </c>
      <c r="I14" s="7" t="n">
        <v>3.95</v>
      </c>
      <c r="J14" s="7" t="n">
        <v>3.897</v>
      </c>
      <c r="K14" s="9">
        <f>C14/I14-1</f>
        <v/>
      </c>
      <c r="L14" s="9">
        <f>I14/J14-1</f>
        <v/>
      </c>
      <c r="M14" s="45">
        <f>IF(H14&gt;I14,"是","否")</f>
        <v/>
      </c>
      <c r="N14" s="47" t="n">
        <v>-0.02162</v>
      </c>
      <c r="O14" s="47" t="n">
        <v>0.13544</v>
      </c>
      <c r="P14" s="5" t="inlineStr">
        <is>
          <t>2026-10-01</t>
        </is>
      </c>
    </row>
    <row r="15">
      <c r="A15" s="43" t="inlineStr">
        <is>
          <t>^TYX</t>
        </is>
      </c>
      <c r="B15" s="5" t="inlineStr">
        <is>
          <t>30 年美債息（%）</t>
        </is>
      </c>
      <c r="C15" s="7" t="n">
        <v>5.603</v>
      </c>
      <c r="D15" s="47" t="n">
        <v>-0.00621</v>
      </c>
      <c r="E15" s="47" t="n">
        <v>0.026</v>
      </c>
      <c r="F15" s="47" t="n">
        <v>0.06358999999999999</v>
      </c>
      <c r="G15" s="47" t="n">
        <v>0.12397</v>
      </c>
      <c r="H15" s="7" t="n">
        <v>5.514</v>
      </c>
      <c r="I15" s="7" t="n">
        <v>5.4156</v>
      </c>
      <c r="J15" s="7" t="n">
        <v>5.3121</v>
      </c>
      <c r="K15" s="9">
        <f>C15/I15-1</f>
        <v/>
      </c>
      <c r="L15" s="9">
        <f>I15/J15-1</f>
        <v/>
      </c>
      <c r="M15" s="45">
        <f>IF(H15&gt;I15,"是","否")</f>
        <v/>
      </c>
      <c r="N15" s="47" t="n">
        <v>-0.00621</v>
      </c>
      <c r="O15" s="47" t="n">
        <v>0.20937</v>
      </c>
      <c r="P15" s="5" t="inlineStr">
        <is>
          <t>2026-10-01</t>
        </is>
      </c>
    </row>
    <row r="16">
      <c r="A16" s="43" t="inlineStr">
        <is>
          <t>DX-Y.NYB</t>
        </is>
      </c>
      <c r="B16" s="5" t="inlineStr">
        <is>
          <t>美元指數</t>
        </is>
      </c>
      <c r="C16" s="7" t="n">
        <v>102.1</v>
      </c>
      <c r="D16" s="47" t="n">
        <v>0.00641</v>
      </c>
      <c r="E16" s="47" t="n">
        <v>0.008</v>
      </c>
      <c r="F16" s="47" t="n">
        <v>0.02438</v>
      </c>
      <c r="G16" s="47" t="n">
        <v>0.01229</v>
      </c>
      <c r="H16" s="7" t="n">
        <v>101.1779</v>
      </c>
      <c r="I16" s="7" t="n">
        <v>100.5552</v>
      </c>
      <c r="J16" s="7" t="n">
        <v>99.99890000000001</v>
      </c>
      <c r="K16" s="9">
        <f>C16/I16-1</f>
        <v/>
      </c>
      <c r="L16" s="9">
        <f>I16/J16-1</f>
        <v/>
      </c>
      <c r="M16" s="45">
        <f>IF(H16&gt;I16,"是","否")</f>
        <v/>
      </c>
      <c r="N16" s="47" t="n">
        <v>0</v>
      </c>
      <c r="O16" s="47" t="n">
        <v>0.06111</v>
      </c>
      <c r="P16" s="5" t="inlineStr">
        <is>
          <t>2026-10-01</t>
        </is>
      </c>
    </row>
    <row r="17">
      <c r="A17" s="43" t="inlineStr">
        <is>
          <t>CL=F</t>
        </is>
      </c>
      <c r="B17" s="5" t="inlineStr">
        <is>
          <t>WTI 原油</t>
        </is>
      </c>
      <c r="C17" s="7" t="n">
        <v>92.87</v>
      </c>
      <c r="D17" s="47" t="n">
        <v>0.0271</v>
      </c>
      <c r="E17" s="47" t="n">
        <v>-0.01839</v>
      </c>
      <c r="F17" s="47" t="n">
        <v>0.02937</v>
      </c>
      <c r="G17" s="47" t="n">
        <v>0.35202</v>
      </c>
      <c r="H17" s="7" t="n">
        <v>93.10850000000001</v>
      </c>
      <c r="I17" s="7" t="n">
        <v>93.30159999999999</v>
      </c>
      <c r="J17" s="7" t="n">
        <v>94.3891</v>
      </c>
      <c r="K17" s="9">
        <f>C17/I17-1</f>
        <v/>
      </c>
      <c r="L17" s="9">
        <f>I17/J17-1</f>
        <v/>
      </c>
      <c r="M17" s="45">
        <f>IF(H17&gt;I17,"是","否")</f>
        <v/>
      </c>
      <c r="N17" s="47" t="n">
        <v>-0.17778</v>
      </c>
      <c r="O17" s="47" t="n">
        <v>0.65869</v>
      </c>
      <c r="P17" s="5" t="inlineStr">
        <is>
          <t>2026-10-01</t>
        </is>
      </c>
    </row>
    <row r="18">
      <c r="A18" s="43" t="inlineStr">
        <is>
          <t>BZ=F</t>
        </is>
      </c>
      <c r="B18" s="5" t="inlineStr">
        <is>
          <t>Brent 原油</t>
        </is>
      </c>
      <c r="C18" s="7" t="n">
        <v>102.31</v>
      </c>
      <c r="D18" s="47" t="n">
        <v>-0.01178</v>
      </c>
      <c r="E18" s="47" t="n">
        <v>-0.04024</v>
      </c>
      <c r="F18" s="47" t="n">
        <v>0.08093</v>
      </c>
      <c r="G18" s="47" t="n">
        <v>0.42493</v>
      </c>
      <c r="H18" s="7" t="n">
        <v>103.2886</v>
      </c>
      <c r="I18" s="7" t="n">
        <v>101.4152</v>
      </c>
      <c r="J18" s="7" t="n">
        <v>100.1449</v>
      </c>
      <c r="K18" s="9">
        <f>C18/I18-1</f>
        <v/>
      </c>
      <c r="L18" s="9">
        <f>I18/J18-1</f>
        <v/>
      </c>
      <c r="M18" s="45">
        <f>IF(H18&gt;I18,"是","否")</f>
        <v/>
      </c>
      <c r="N18" s="47" t="n">
        <v>-0.13553</v>
      </c>
      <c r="O18" s="47" t="n">
        <v>0.7063</v>
      </c>
      <c r="P18" s="5" t="inlineStr">
        <is>
          <t>2026-10-01</t>
        </is>
      </c>
    </row>
    <row r="19">
      <c r="A19" s="43" t="inlineStr">
        <is>
          <t>GC=F</t>
        </is>
      </c>
      <c r="B19" s="5" t="inlineStr">
        <is>
          <t>黃金</t>
        </is>
      </c>
      <c r="C19" s="7" t="n">
        <v>4202.2998</v>
      </c>
      <c r="D19" s="47" t="n">
        <v>0.00373</v>
      </c>
      <c r="E19" s="47" t="n">
        <v>-0.02227</v>
      </c>
      <c r="F19" s="47" t="n">
        <v>-0.04415</v>
      </c>
      <c r="G19" s="47" t="n">
        <v>0.01857</v>
      </c>
      <c r="H19" s="7" t="n">
        <v>4257.0447</v>
      </c>
      <c r="I19" s="7" t="n">
        <v>4327.6705</v>
      </c>
      <c r="J19" s="7" t="n">
        <v>4400.8603</v>
      </c>
      <c r="K19" s="9">
        <f>C19/I19-1</f>
        <v/>
      </c>
      <c r="L19" s="9">
        <f>I19/J19-1</f>
        <v/>
      </c>
      <c r="M19" s="45">
        <f>IF(H19&gt;I19,"是","否")</f>
        <v/>
      </c>
      <c r="N19" s="47" t="n">
        <v>-0.20986</v>
      </c>
      <c r="O19" s="47" t="n">
        <v>0.05265</v>
      </c>
      <c r="P19" s="5" t="inlineStr">
        <is>
          <t>2026-10-01</t>
        </is>
      </c>
    </row>
    <row r="20">
      <c r="A20" s="43" t="inlineStr">
        <is>
          <t>SI=F</t>
        </is>
      </c>
      <c r="B20" s="5" t="inlineStr">
        <is>
          <t>白銀</t>
        </is>
      </c>
      <c r="C20" s="7" t="n">
        <v>60.725</v>
      </c>
      <c r="D20" s="47" t="n">
        <v>0.01043</v>
      </c>
      <c r="E20" s="47" t="n">
        <v>-0.04305</v>
      </c>
      <c r="F20" s="47" t="n">
        <v>-0.06025</v>
      </c>
      <c r="G20" s="47" t="n">
        <v>0.00135</v>
      </c>
      <c r="H20" s="7" t="n">
        <v>62.3275</v>
      </c>
      <c r="I20" s="7" t="n">
        <v>63.6583</v>
      </c>
      <c r="J20" s="7" t="n">
        <v>65.133</v>
      </c>
      <c r="K20" s="9">
        <f>C20/I20-1</f>
        <v/>
      </c>
      <c r="L20" s="9">
        <f>I20/J20-1</f>
        <v/>
      </c>
      <c r="M20" s="45">
        <f>IF(H20&gt;I20,"是","否")</f>
        <v/>
      </c>
      <c r="N20" s="47" t="n">
        <v>-0.47232</v>
      </c>
      <c r="O20" s="47" t="n">
        <v>0.08635</v>
      </c>
      <c r="P20" s="5" t="inlineStr">
        <is>
          <t>2026-10-01</t>
        </is>
      </c>
    </row>
    <row r="21">
      <c r="A21" s="43" t="inlineStr">
        <is>
          <t>HG=F</t>
        </is>
      </c>
      <c r="B21" s="5" t="inlineStr">
        <is>
          <t>銅</t>
        </is>
      </c>
      <c r="C21" s="7" t="n">
        <v>6.482</v>
      </c>
      <c r="D21" s="47" t="n">
        <v>-0.01174</v>
      </c>
      <c r="E21" s="47" t="n">
        <v>-0.0352</v>
      </c>
      <c r="F21" s="47" t="n">
        <v>-0.00377</v>
      </c>
      <c r="G21" s="47" t="n">
        <v>0.0601</v>
      </c>
      <c r="H21" s="7" t="n">
        <v>6.5786</v>
      </c>
      <c r="I21" s="7" t="n">
        <v>6.5793</v>
      </c>
      <c r="J21" s="7" t="n">
        <v>6.5904</v>
      </c>
      <c r="K21" s="9">
        <f>C21/I21-1</f>
        <v/>
      </c>
      <c r="L21" s="9">
        <f>I21/J21-1</f>
        <v/>
      </c>
      <c r="M21" s="45">
        <f>IF(H21&gt;I21,"是","否")</f>
        <v/>
      </c>
      <c r="N21" s="47" t="n">
        <v>-0.04726</v>
      </c>
      <c r="O21" s="47" t="n">
        <v>0.21329</v>
      </c>
      <c r="P21" s="5" t="inlineStr">
        <is>
          <t>2026-10-01</t>
        </is>
      </c>
    </row>
    <row r="22">
      <c r="A22" s="43" t="inlineStr">
        <is>
          <t>NG=F</t>
        </is>
      </c>
      <c r="B22" s="5" t="inlineStr">
        <is>
          <t>天然氣</t>
        </is>
      </c>
      <c r="C22" s="7" t="n">
        <v>2.967</v>
      </c>
      <c r="D22" s="47" t="n">
        <v>-0.0195</v>
      </c>
      <c r="E22" s="47" t="n">
        <v>-0.10009</v>
      </c>
      <c r="F22" s="47" t="n">
        <v>0.02169</v>
      </c>
      <c r="G22" s="47" t="n">
        <v>-0.07165000000000001</v>
      </c>
      <c r="H22" s="7" t="n">
        <v>3.0143</v>
      </c>
      <c r="I22" s="7" t="n">
        <v>2.9675</v>
      </c>
      <c r="J22" s="7" t="n">
        <v>2.9281</v>
      </c>
      <c r="K22" s="9">
        <f>C22/I22-1</f>
        <v/>
      </c>
      <c r="L22" s="9">
        <f>I22/J22-1</f>
        <v/>
      </c>
      <c r="M22" s="45">
        <f>IF(H22&gt;I22,"是","否")</f>
        <v/>
      </c>
      <c r="N22" s="47" t="n">
        <v>-0.60228</v>
      </c>
      <c r="O22" s="47" t="n">
        <v>0.17598</v>
      </c>
      <c r="P22" s="5" t="inlineStr">
        <is>
          <t>2026-10-01</t>
        </is>
      </c>
    </row>
    <row r="23">
      <c r="A23" s="43" t="inlineStr">
        <is>
          <t>XLK</t>
        </is>
      </c>
      <c r="B23" s="5" t="inlineStr">
        <is>
          <t>科技</t>
        </is>
      </c>
      <c r="C23" s="7" t="n">
        <v>197.81</v>
      </c>
      <c r="D23" s="47" t="n">
        <v>0.01052</v>
      </c>
      <c r="E23" s="47" t="n">
        <v>0.01592</v>
      </c>
      <c r="F23" s="47" t="n">
        <v>0.07716000000000001</v>
      </c>
      <c r="G23" s="47" t="n">
        <v>0.09535</v>
      </c>
      <c r="H23" s="7" t="n">
        <v>194.5847</v>
      </c>
      <c r="I23" s="7" t="n">
        <v>191.4453</v>
      </c>
      <c r="J23" s="7" t="n">
        <v>188.7491</v>
      </c>
      <c r="K23" s="9">
        <f>C23/I23-1</f>
        <v/>
      </c>
      <c r="L23" s="9">
        <f>I23/J23-1</f>
        <v/>
      </c>
      <c r="M23" s="45">
        <f>IF(H23&gt;I23,"是","否")</f>
        <v/>
      </c>
      <c r="N23" s="47" t="n">
        <v>-0.00202</v>
      </c>
      <c r="O23" s="47" t="n">
        <v>0.55145</v>
      </c>
      <c r="P23" s="5" t="inlineStr">
        <is>
          <t>2026-10-01</t>
        </is>
      </c>
    </row>
    <row r="24">
      <c r="A24" s="43" t="inlineStr">
        <is>
          <t>XLC</t>
        </is>
      </c>
      <c r="B24" s="5" t="inlineStr">
        <is>
          <t>通訊服務</t>
        </is>
      </c>
      <c r="C24" s="7" t="n">
        <v>109.94</v>
      </c>
      <c r="D24" s="47" t="n">
        <v>-0.00928</v>
      </c>
      <c r="E24" s="47" t="n">
        <v>-0.03553</v>
      </c>
      <c r="F24" s="47" t="n">
        <v>-0.00848</v>
      </c>
      <c r="G24" s="47" t="n">
        <v>0.0031</v>
      </c>
      <c r="H24" s="7" t="n">
        <v>111.7162</v>
      </c>
      <c r="I24" s="7" t="n">
        <v>112.0749</v>
      </c>
      <c r="J24" s="7" t="n">
        <v>112.6177</v>
      </c>
      <c r="K24" s="9">
        <f>C24/I24-1</f>
        <v/>
      </c>
      <c r="L24" s="9">
        <f>I24/J24-1</f>
        <v/>
      </c>
      <c r="M24" s="45">
        <f>IF(H24&gt;I24,"是","否")</f>
        <v/>
      </c>
      <c r="N24" s="47" t="n">
        <v>-0.08444</v>
      </c>
      <c r="O24" s="47" t="n">
        <v>0.04327</v>
      </c>
      <c r="P24" s="5" t="inlineStr">
        <is>
          <t>2026-10-01</t>
        </is>
      </c>
    </row>
    <row r="25">
      <c r="A25" s="43" t="inlineStr">
        <is>
          <t>XLY</t>
        </is>
      </c>
      <c r="B25" s="5" t="inlineStr">
        <is>
          <t>非必需消費</t>
        </is>
      </c>
      <c r="C25" s="7" t="n">
        <v>108.81</v>
      </c>
      <c r="D25" s="47" t="n">
        <v>-0.00028</v>
      </c>
      <c r="E25" s="47" t="n">
        <v>-0.01369</v>
      </c>
      <c r="F25" s="47" t="n">
        <v>-0.05044</v>
      </c>
      <c r="G25" s="47" t="n">
        <v>-0.07095</v>
      </c>
      <c r="H25" s="7" t="n">
        <v>109.9231</v>
      </c>
      <c r="I25" s="7" t="n">
        <v>111.549</v>
      </c>
      <c r="J25" s="7" t="n">
        <v>112.9801</v>
      </c>
      <c r="K25" s="9">
        <f>C25/I25-1</f>
        <v/>
      </c>
      <c r="L25" s="9">
        <f>I25/J25-1</f>
        <v/>
      </c>
      <c r="M25" s="45">
        <f>IF(H25&gt;I25,"是","否")</f>
        <v/>
      </c>
      <c r="N25" s="47" t="n">
        <v>-0.12616</v>
      </c>
      <c r="O25" s="47" t="n">
        <v>0.02981</v>
      </c>
      <c r="P25" s="5" t="inlineStr">
        <is>
          <t>2026-10-01</t>
        </is>
      </c>
    </row>
    <row r="26">
      <c r="A26" s="43" t="inlineStr">
        <is>
          <t>XLF</t>
        </is>
      </c>
      <c r="B26" s="5" t="inlineStr">
        <is>
          <t>金融</t>
        </is>
      </c>
      <c r="C26" s="7" t="n">
        <v>53.46</v>
      </c>
      <c r="D26" s="47" t="n">
        <v>0.00112</v>
      </c>
      <c r="E26" s="47" t="n">
        <v>-0.01962</v>
      </c>
      <c r="F26" s="47" t="n">
        <v>-0.06537999999999999</v>
      </c>
      <c r="G26" s="47" t="n">
        <v>-0.03883</v>
      </c>
      <c r="H26" s="7" t="n">
        <v>54.3937</v>
      </c>
      <c r="I26" s="7" t="n">
        <v>55.4326</v>
      </c>
      <c r="J26" s="7" t="n">
        <v>56.3601</v>
      </c>
      <c r="K26" s="9">
        <f>C26/I26-1</f>
        <v/>
      </c>
      <c r="L26" s="9">
        <f>I26/J26-1</f>
        <v/>
      </c>
      <c r="M26" s="45">
        <f>IF(H26&gt;I26,"是","否")</f>
        <v/>
      </c>
      <c r="N26" s="47" t="n">
        <v>-0.08709</v>
      </c>
      <c r="O26" s="47" t="n">
        <v>0.11818</v>
      </c>
      <c r="P26" s="5" t="inlineStr">
        <is>
          <t>2026-10-01</t>
        </is>
      </c>
    </row>
    <row r="27">
      <c r="A27" s="43" t="inlineStr">
        <is>
          <t>XLI</t>
        </is>
      </c>
      <c r="B27" s="5" t="inlineStr">
        <is>
          <t>工業</t>
        </is>
      </c>
      <c r="C27" s="7" t="n">
        <v>168.64</v>
      </c>
      <c r="D27" s="47" t="n">
        <v>0.009939999999999999</v>
      </c>
      <c r="E27" s="47" t="n">
        <v>-0.00113</v>
      </c>
      <c r="F27" s="47" t="n">
        <v>-0.02368</v>
      </c>
      <c r="G27" s="47" t="n">
        <v>-0.08303000000000001</v>
      </c>
      <c r="H27" s="7" t="n">
        <v>169.0809</v>
      </c>
      <c r="I27" s="7" t="n">
        <v>171.0659</v>
      </c>
      <c r="J27" s="7" t="n">
        <v>172.5141</v>
      </c>
      <c r="K27" s="9">
        <f>C27/I27-1</f>
        <v/>
      </c>
      <c r="L27" s="9">
        <f>I27/J27-1</f>
        <v/>
      </c>
      <c r="M27" s="45">
        <f>IF(H27&gt;I27,"是","否")</f>
        <v/>
      </c>
      <c r="N27" s="47" t="n">
        <v>-0.09581000000000001</v>
      </c>
      <c r="O27" s="47" t="n">
        <v>0.08716</v>
      </c>
      <c r="P27" s="5" t="inlineStr">
        <is>
          <t>2026-10-01</t>
        </is>
      </c>
    </row>
    <row r="28">
      <c r="A28" s="43" t="inlineStr">
        <is>
          <t>XLV</t>
        </is>
      </c>
      <c r="B28" s="5" t="inlineStr">
        <is>
          <t>醫療保健</t>
        </is>
      </c>
      <c r="C28" s="7" t="n">
        <v>166.2</v>
      </c>
      <c r="D28" s="47" t="n">
        <v>-0.01318</v>
      </c>
      <c r="E28" s="47" t="n">
        <v>-0.0216</v>
      </c>
      <c r="F28" s="47" t="n">
        <v>-0.03186</v>
      </c>
      <c r="G28" s="47" t="n">
        <v>0.01502</v>
      </c>
      <c r="H28" s="7" t="n">
        <v>168.9278</v>
      </c>
      <c r="I28" s="7" t="n">
        <v>169.0552</v>
      </c>
      <c r="J28" s="7" t="n">
        <v>168.9482</v>
      </c>
      <c r="K28" s="9">
        <f>C28/I28-1</f>
        <v/>
      </c>
      <c r="L28" s="9">
        <f>I28/J28-1</f>
        <v/>
      </c>
      <c r="M28" s="45">
        <f>IF(H28&gt;I28,"是","否")</f>
        <v/>
      </c>
      <c r="N28" s="47" t="n">
        <v>-0.05396</v>
      </c>
      <c r="O28" s="47" t="n">
        <v>0.16354</v>
      </c>
      <c r="P28" s="5" t="inlineStr">
        <is>
          <t>2026-10-01</t>
        </is>
      </c>
    </row>
    <row r="29">
      <c r="A29" s="43" t="inlineStr">
        <is>
          <t>XLE</t>
        </is>
      </c>
      <c r="B29" s="5" t="inlineStr">
        <is>
          <t>能源</t>
        </is>
      </c>
      <c r="C29" s="7" t="n">
        <v>62.7</v>
      </c>
      <c r="D29" s="47" t="n">
        <v>0.01951</v>
      </c>
      <c r="E29" s="47" t="n">
        <v>0.0016</v>
      </c>
      <c r="F29" s="47" t="n">
        <v>-0.03196</v>
      </c>
      <c r="G29" s="47" t="n">
        <v>0.17813</v>
      </c>
      <c r="H29" s="7" t="n">
        <v>62.4238</v>
      </c>
      <c r="I29" s="7" t="n">
        <v>62.8371</v>
      </c>
      <c r="J29" s="7" t="n">
        <v>63.3529</v>
      </c>
      <c r="K29" s="9">
        <f>C29/I29-1</f>
        <v/>
      </c>
      <c r="L29" s="9">
        <f>I29/J29-1</f>
        <v/>
      </c>
      <c r="M29" s="45">
        <f>IF(H29&gt;I29,"是","否")</f>
        <v/>
      </c>
      <c r="N29" s="47" t="n">
        <v>-0.04899</v>
      </c>
      <c r="O29" s="47" t="n">
        <v>0.41855</v>
      </c>
      <c r="P29" s="5" t="inlineStr">
        <is>
          <t>2026-10-01</t>
        </is>
      </c>
    </row>
    <row r="30">
      <c r="A30" s="43" t="inlineStr">
        <is>
          <t>XLB</t>
        </is>
      </c>
      <c r="B30" s="5" t="inlineStr">
        <is>
          <t>原材料</t>
        </is>
      </c>
      <c r="C30" s="7" t="n">
        <v>48.54</v>
      </c>
      <c r="D30" s="47" t="n">
        <v>-0.00329</v>
      </c>
      <c r="E30" s="47" t="n">
        <v>-0.02295</v>
      </c>
      <c r="F30" s="47" t="n">
        <v>-0.06779</v>
      </c>
      <c r="G30" s="47" t="n">
        <v>-0.06672</v>
      </c>
      <c r="H30" s="7" t="n">
        <v>49.4366</v>
      </c>
      <c r="I30" s="7" t="n">
        <v>50.295</v>
      </c>
      <c r="J30" s="7" t="n">
        <v>51.0491</v>
      </c>
      <c r="K30" s="9">
        <f>C30/I30-1</f>
        <v/>
      </c>
      <c r="L30" s="9">
        <f>I30/J30-1</f>
        <v/>
      </c>
      <c r="M30" s="45">
        <f>IF(H30&gt;I30,"是","否")</f>
        <v/>
      </c>
      <c r="N30" s="47" t="n">
        <v>-0.09558</v>
      </c>
      <c r="O30" s="47" t="n">
        <v>0.07034</v>
      </c>
      <c r="P30" s="5" t="inlineStr">
        <is>
          <t>2026-10-01</t>
        </is>
      </c>
    </row>
    <row r="31">
      <c r="A31" s="43" t="inlineStr">
        <is>
          <t>XLP</t>
        </is>
      </c>
      <c r="B31" s="5" t="inlineStr">
        <is>
          <t>必需消費</t>
        </is>
      </c>
      <c r="C31" s="7" t="n">
        <v>80.33</v>
      </c>
      <c r="D31" s="47" t="n">
        <v>-0.00335</v>
      </c>
      <c r="E31" s="47" t="n">
        <v>-0.01677</v>
      </c>
      <c r="F31" s="47" t="n">
        <v>-0.05771</v>
      </c>
      <c r="G31" s="47" t="n">
        <v>-0.05483</v>
      </c>
      <c r="H31" s="7" t="n">
        <v>81.7085</v>
      </c>
      <c r="I31" s="7" t="n">
        <v>82.7483</v>
      </c>
      <c r="J31" s="7" t="n">
        <v>83.6173</v>
      </c>
      <c r="K31" s="9">
        <f>C31/I31-1</f>
        <v/>
      </c>
      <c r="L31" s="9">
        <f>I31/J31-1</f>
        <v/>
      </c>
      <c r="M31" s="45">
        <f>IF(H31&gt;I31,"是","否")</f>
        <v/>
      </c>
      <c r="N31" s="47" t="n">
        <v>-0.10754</v>
      </c>
      <c r="O31" s="47" t="n">
        <v>0.04842</v>
      </c>
      <c r="P31" s="5" t="inlineStr">
        <is>
          <t>2026-10-01</t>
        </is>
      </c>
    </row>
    <row r="32">
      <c r="A32" s="43" t="inlineStr">
        <is>
          <t>XLU</t>
        </is>
      </c>
      <c r="B32" s="5" t="inlineStr">
        <is>
          <t>公用事業</t>
        </is>
      </c>
      <c r="C32" s="7" t="n">
        <v>39.68</v>
      </c>
      <c r="D32" s="47" t="n">
        <v>0.00609</v>
      </c>
      <c r="E32" s="47" t="n">
        <v>0.00813</v>
      </c>
      <c r="F32" s="47" t="n">
        <v>-0.06766999999999999</v>
      </c>
      <c r="G32" s="47" t="n">
        <v>-0.13287</v>
      </c>
      <c r="H32" s="7" t="n">
        <v>39.9328</v>
      </c>
      <c r="I32" s="7" t="n">
        <v>40.8945</v>
      </c>
      <c r="J32" s="7" t="n">
        <v>41.7286</v>
      </c>
      <c r="K32" s="9">
        <f>C32/I32-1</f>
        <v/>
      </c>
      <c r="L32" s="9">
        <f>I32/J32-1</f>
        <v/>
      </c>
      <c r="M32" s="45">
        <f>IF(H32&gt;I32,"是","否")</f>
        <v/>
      </c>
      <c r="N32" s="47" t="n">
        <v>-0.16866</v>
      </c>
      <c r="O32" s="47" t="n">
        <v>0.01096</v>
      </c>
      <c r="P32" s="5" t="inlineStr">
        <is>
          <t>2026-10-01</t>
        </is>
      </c>
    </row>
    <row r="33">
      <c r="A33" s="43" t="inlineStr">
        <is>
          <t>XLRE</t>
        </is>
      </c>
      <c r="B33" s="5" t="inlineStr">
        <is>
          <t>房地產</t>
        </is>
      </c>
      <c r="C33" s="7" t="n">
        <v>40.68</v>
      </c>
      <c r="D33" s="47" t="n">
        <v>-0.00562</v>
      </c>
      <c r="E33" s="47" t="n">
        <v>-0.02329</v>
      </c>
      <c r="F33" s="47" t="n">
        <v>-0.07629</v>
      </c>
      <c r="G33" s="47" t="n">
        <v>-0.08953</v>
      </c>
      <c r="H33" s="7" t="n">
        <v>41.5371</v>
      </c>
      <c r="I33" s="7" t="n">
        <v>42.414</v>
      </c>
      <c r="J33" s="7" t="n">
        <v>43.2005</v>
      </c>
      <c r="K33" s="9">
        <f>C33/I33-1</f>
        <v/>
      </c>
      <c r="L33" s="9">
        <f>I33/J33-1</f>
        <v/>
      </c>
      <c r="M33" s="45">
        <f>IF(H33&gt;I33,"是","否")</f>
        <v/>
      </c>
      <c r="N33" s="47" t="n">
        <v>-0.11584</v>
      </c>
      <c r="O33" s="47" t="n">
        <v>0.01675</v>
      </c>
      <c r="P33" s="5" t="inlineStr">
        <is>
          <t>2026-10-01</t>
        </is>
      </c>
    </row>
    <row r="34">
      <c r="A34" s="42" t="inlineStr">
        <is>
          <t>Yahoo 日線（data/yahoo/macro_daily_2025-12-26_2026-10-03.csv.gz），2026-10-01 或之前最後一個收市；期內＝2025-12-26 起。美債息係收益率（%），其百分比變動只係參考。</t>
        </is>
      </c>
    </row>
    <row r="36">
      <c r="A36" s="46" t="inlineStr">
        <is>
          <t>大市闊度（合資格股票池）</t>
        </is>
      </c>
    </row>
    <row r="37" ht="30" customHeight="1">
      <c r="A37" s="4" t="inlineStr">
        <is>
          <t>日期</t>
        </is>
      </c>
      <c r="B37" s="4" t="inlineStr">
        <is>
          <t>股票數</t>
        </is>
      </c>
      <c r="C37" s="4" t="inlineStr">
        <is>
          <t>當日中位數%</t>
        </is>
      </c>
      <c r="D37" s="4" t="inlineStr">
        <is>
          <t>上升比例</t>
        </is>
      </c>
      <c r="E37" s="4" t="inlineStr">
        <is>
          <t>企喺 EMA21 上</t>
        </is>
      </c>
      <c r="F37" s="4" t="inlineStr">
        <is>
          <t>EMA9 &gt; EMA21</t>
        </is>
      </c>
      <c r="G37" s="4" t="inlineStr">
        <is>
          <t>EMA21 向上</t>
        </is>
      </c>
      <c r="H37" s="4" t="inlineStr">
        <is>
          <t>20 日新高</t>
        </is>
      </c>
      <c r="I37" s="4" t="inlineStr">
        <is>
          <t>20 日新低</t>
        </is>
      </c>
      <c r="J37" s="4" t="inlineStr">
        <is>
          <t>新高−新低</t>
        </is>
      </c>
    </row>
    <row r="38">
      <c r="A38" s="5" t="inlineStr">
        <is>
          <t>2026-09-18</t>
        </is>
      </c>
      <c r="B38" s="10" t="n">
        <v>2791</v>
      </c>
      <c r="C38" s="47" t="n">
        <v>-0.0053</v>
      </c>
      <c r="D38" s="12" t="n">
        <v>0.3382</v>
      </c>
      <c r="E38" s="12" t="n">
        <v>0.2472</v>
      </c>
      <c r="F38" s="12" t="n">
        <v>0.2712</v>
      </c>
      <c r="G38" s="12" t="n">
        <v>0.2472</v>
      </c>
      <c r="H38" s="10" t="n">
        <v>124</v>
      </c>
      <c r="I38" s="10" t="n">
        <v>731</v>
      </c>
      <c r="J38" s="48">
        <f>H38-I38</f>
        <v/>
      </c>
    </row>
    <row r="39">
      <c r="A39" s="5" t="inlineStr">
        <is>
          <t>2026-09-21</t>
        </is>
      </c>
      <c r="B39" s="10" t="n">
        <v>2791</v>
      </c>
      <c r="C39" s="47" t="n">
        <v>0.00246</v>
      </c>
      <c r="D39" s="12" t="n">
        <v>0.5625</v>
      </c>
      <c r="E39" s="12" t="n">
        <v>0.2881</v>
      </c>
      <c r="F39" s="12" t="n">
        <v>0.2666</v>
      </c>
      <c r="G39" s="12" t="n">
        <v>0.2881</v>
      </c>
      <c r="H39" s="10" t="n">
        <v>198</v>
      </c>
      <c r="I39" s="10" t="n">
        <v>527</v>
      </c>
      <c r="J39" s="48">
        <f>H39-I39</f>
        <v/>
      </c>
    </row>
    <row r="40">
      <c r="A40" s="5" t="inlineStr">
        <is>
          <t>2026-09-22</t>
        </is>
      </c>
      <c r="B40" s="10" t="n">
        <v>2791</v>
      </c>
      <c r="C40" s="47" t="n">
        <v>0.00295</v>
      </c>
      <c r="D40" s="12" t="n">
        <v>0.5593</v>
      </c>
      <c r="E40" s="12" t="n">
        <v>0.3346</v>
      </c>
      <c r="F40" s="12" t="n">
        <v>0.2709</v>
      </c>
      <c r="G40" s="12" t="n">
        <v>0.3346</v>
      </c>
      <c r="H40" s="10" t="n">
        <v>268</v>
      </c>
      <c r="I40" s="10" t="n">
        <v>554</v>
      </c>
      <c r="J40" s="48">
        <f>H40-I40</f>
        <v/>
      </c>
    </row>
    <row r="41">
      <c r="A41" s="5" t="inlineStr">
        <is>
          <t>2026-09-23</t>
        </is>
      </c>
      <c r="B41" s="10" t="n">
        <v>2791</v>
      </c>
      <c r="C41" s="47" t="n">
        <v>-0.013</v>
      </c>
      <c r="D41" s="12" t="n">
        <v>0.2157</v>
      </c>
      <c r="E41" s="12" t="n">
        <v>0.2573</v>
      </c>
      <c r="F41" s="12" t="n">
        <v>0.2544</v>
      </c>
      <c r="G41" s="12" t="n">
        <v>0.2573</v>
      </c>
      <c r="H41" s="10" t="n">
        <v>114</v>
      </c>
      <c r="I41" s="10" t="n">
        <v>966</v>
      </c>
      <c r="J41" s="48">
        <f>H41-I41</f>
        <v/>
      </c>
    </row>
    <row r="42">
      <c r="A42" s="5" t="inlineStr">
        <is>
          <t>2026-09-24</t>
        </is>
      </c>
      <c r="B42" s="10" t="n">
        <v>2791</v>
      </c>
      <c r="C42" s="47" t="n">
        <v>-0.00225</v>
      </c>
      <c r="D42" s="12" t="n">
        <v>0.44</v>
      </c>
      <c r="E42" s="12" t="n">
        <v>0.263</v>
      </c>
      <c r="F42" s="12" t="n">
        <v>0.2483</v>
      </c>
      <c r="G42" s="12" t="n">
        <v>0.263</v>
      </c>
      <c r="H42" s="10" t="n">
        <v>162</v>
      </c>
      <c r="I42" s="10" t="n">
        <v>790</v>
      </c>
      <c r="J42" s="48">
        <f>H42-I42</f>
        <v/>
      </c>
    </row>
    <row r="43">
      <c r="A43" s="5" t="inlineStr">
        <is>
          <t>2026-09-25</t>
        </is>
      </c>
      <c r="B43" s="10" t="n">
        <v>2791</v>
      </c>
      <c r="C43" s="47" t="n">
        <v>0.00251</v>
      </c>
      <c r="D43" s="12" t="n">
        <v>0.5672</v>
      </c>
      <c r="E43" s="12" t="n">
        <v>0.2827</v>
      </c>
      <c r="F43" s="12" t="n">
        <v>0.2497</v>
      </c>
      <c r="G43" s="12" t="n">
        <v>0.2827</v>
      </c>
      <c r="H43" s="10" t="n">
        <v>189</v>
      </c>
      <c r="I43" s="10" t="n">
        <v>509</v>
      </c>
      <c r="J43" s="48">
        <f>H43-I43</f>
        <v/>
      </c>
    </row>
    <row r="44">
      <c r="A44" s="5" t="inlineStr">
        <is>
          <t>2026-09-28</t>
        </is>
      </c>
      <c r="B44" s="10" t="n">
        <v>2791</v>
      </c>
      <c r="C44" s="47" t="n">
        <v>-0.00709</v>
      </c>
      <c r="D44" s="12" t="n">
        <v>0.3063</v>
      </c>
      <c r="E44" s="12" t="n">
        <v>0.2547</v>
      </c>
      <c r="F44" s="12" t="n">
        <v>0.2504</v>
      </c>
      <c r="G44" s="12" t="n">
        <v>0.2547</v>
      </c>
      <c r="H44" s="10" t="n">
        <v>143</v>
      </c>
      <c r="I44" s="10" t="n">
        <v>777</v>
      </c>
      <c r="J44" s="48">
        <f>H44-I44</f>
        <v/>
      </c>
    </row>
    <row r="45">
      <c r="A45" s="5" t="inlineStr">
        <is>
          <t>2026-09-29</t>
        </is>
      </c>
      <c r="B45" s="10" t="n">
        <v>2791</v>
      </c>
      <c r="C45" s="47" t="n">
        <v>-0.00328</v>
      </c>
      <c r="D45" s="12" t="n">
        <v>0.393</v>
      </c>
      <c r="E45" s="12" t="n">
        <v>0.2429</v>
      </c>
      <c r="F45" s="12" t="n">
        <v>0.244</v>
      </c>
      <c r="G45" s="12" t="n">
        <v>0.2429</v>
      </c>
      <c r="H45" s="10" t="n">
        <v>141</v>
      </c>
      <c r="I45" s="10" t="n">
        <v>765</v>
      </c>
      <c r="J45" s="48">
        <f>H45-I45</f>
        <v/>
      </c>
    </row>
    <row r="46">
      <c r="A46" s="5" t="inlineStr">
        <is>
          <t>2026-09-30</t>
        </is>
      </c>
      <c r="B46" s="10" t="n">
        <v>2791</v>
      </c>
      <c r="C46" s="47" t="n">
        <v>-0.00617</v>
      </c>
      <c r="D46" s="12" t="n">
        <v>0.3185</v>
      </c>
      <c r="E46" s="12" t="n">
        <v>0.2257</v>
      </c>
      <c r="F46" s="12" t="n">
        <v>0.2347</v>
      </c>
      <c r="G46" s="12" t="n">
        <v>0.2257</v>
      </c>
      <c r="H46" s="10" t="n">
        <v>106</v>
      </c>
      <c r="I46" s="10" t="n">
        <v>942</v>
      </c>
      <c r="J46" s="48">
        <f>H46-I46</f>
        <v/>
      </c>
    </row>
    <row r="47">
      <c r="A47" s="5" t="inlineStr">
        <is>
          <t>2026-10-01</t>
        </is>
      </c>
      <c r="B47" s="10" t="n">
        <v>2791</v>
      </c>
      <c r="C47" s="47" t="n">
        <v>0.00399</v>
      </c>
      <c r="D47" s="12" t="n">
        <v>0.5919</v>
      </c>
      <c r="E47" s="12" t="n">
        <v>0.2612</v>
      </c>
      <c r="F47" s="12" t="n">
        <v>0.2393</v>
      </c>
      <c r="G47" s="12" t="n">
        <v>0.2612</v>
      </c>
      <c r="H47" s="10" t="n">
        <v>202</v>
      </c>
      <c r="I47" s="10" t="n">
        <v>569</v>
      </c>
      <c r="J47" s="48">
        <f>H47-I47</f>
        <v/>
      </c>
    </row>
    <row r="48">
      <c r="A48" s="42" t="inlineStr">
        <is>
          <t>合資格股票池（同篩選規則頁嘅股票池）每日：收市對收市中位數、上升比例、企喺 EMA21 上／EMA9&gt;EMA21／EMA21 向上嘅比例、收市創 20 日新高／新低嘅數目。</t>
        </is>
      </c>
    </row>
    <row r="50">
      <c r="A50" s="46" t="inlineStr">
        <is>
          <t>近三日大市</t>
        </is>
      </c>
    </row>
    <row r="51" ht="30" customHeight="1">
      <c r="A51" s="44" t="inlineStr">
        <is>
          <t>09-29（二）</t>
        </is>
      </c>
      <c r="B51" s="3" t="inlineStr">
        <is>
          <t>標普 −0.16% 至 7,670.84、道指 −0.26% 至 51,349.92、納指 −0.09% 至 26,797.54；長債息再創多年新高，三大指數連跌兩日。（AP、CNBC）</t>
        </is>
      </c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50" t="n"/>
    </row>
    <row r="52" ht="30" customHeight="1">
      <c r="A52" s="44" t="inlineStr">
        <is>
          <t>09-30（三）</t>
        </is>
      </c>
      <c r="B52" s="3" t="inlineStr">
        <is>
          <t>標普 −0.3% 至 7,651.54、道指 −0.9%、納指 +0.2%、羅素 2000 −0.4% 至 2,796.86；大部分股票下跌，第二季 GDP 上修令債息企硬。（AP）</t>
        </is>
      </c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50" t="n"/>
    </row>
    <row r="53" ht="30" customHeight="1">
      <c r="A53" s="44" t="inlineStr">
        <is>
          <t>10-01（四）</t>
        </is>
      </c>
      <c r="B53" s="3" t="inlineStr">
        <is>
          <t>標普 +0.19% 至 7,666.45、納指 +0.04% 至 26,871.60、道指 +0.04% 至 50,926.56；早段跟債息跌，尾段債息由廿多年高位回落、晶片股（Micron 業績）帶動反彈收升。（CNBC、Yahoo Finance、TheStreet）</t>
        </is>
      </c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50" t="n"/>
    </row>
    <row r="55">
      <c r="A55" s="46" t="inlineStr">
        <is>
          <t>宏觀領先指標（息口・債息・油價・美元・波動率）</t>
        </is>
      </c>
    </row>
    <row r="56" ht="30" customHeight="1">
      <c r="A56" s="44" t="inlineStr">
        <is>
          <t>息口（最重要嘅領先指標）</t>
        </is>
      </c>
      <c r="B56" s="3" t="inlineStr">
        <is>
          <t>聯儲 09-16 加息至 3.75%–4.00%（12–0 一致）；主席 Warsh 09-25 重申「通脹太高太耐」，核心 PCE 2026 年每個月都高過 3%。市場價入 10 月再加息機率約 70%、年底前多一至兩次（Bloomberg、Forbes、Schwab）。紐約聯儲 Williams 09-29 話「年底前多一次」—— 比市場價入嘅慢，10 月加息機率略回落。</t>
        </is>
      </c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50" t="n"/>
    </row>
    <row r="57" ht="30" customHeight="1">
      <c r="A57" s="44" t="inlineStr">
        <is>
          <t>長債息</t>
        </is>
      </c>
      <c r="B57" s="3" t="inlineStr">
        <is>
          <t>10 年期美債息 10-01 升至 5.33%（2002 年 4 月以來最高；Yahoo 日線收 5.237%）；09-28 曾達 5.23%（2007 年以來最高）。息口 5% 樓上 = 估值壓力（標普約 22 倍預期市盈率）及小型股／高負債股嘅主要壓力源。</t>
        </is>
      </c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50" t="n"/>
    </row>
    <row r="58" ht="30" customHeight="1">
      <c r="A58" s="44" t="inlineStr">
        <is>
          <t>油價／地緣</t>
        </is>
      </c>
      <c r="B58" s="3" t="inlineStr">
        <is>
          <t>WTI 10-01 收 $92.87（+2.7%；Brent $102.31），日內曾見 $91.5；2 月起美伊衝突、荷莫茲海峽航運反覆、09 月特朗普拒絕伊朗和平方案；油價 $90 樓上令通脹預期難回落，係聯儲繼續加息嘅主因之一。</t>
        </is>
      </c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50" t="n"/>
    </row>
    <row r="59" ht="30" customHeight="1">
      <c r="A59" s="44" t="inlineStr">
        <is>
          <t>美元</t>
        </is>
      </c>
      <c r="B59" s="3" t="inlineStr">
        <is>
          <t>美元指數 10-01 收 102.1（+0.6%，期內新高），跟美息走強；對海外收入比重高嘅大型科技股係逆風，對內需／區域銀行中性。</t>
        </is>
      </c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50" t="n"/>
    </row>
    <row r="60" ht="30" customHeight="1">
      <c r="A60" s="44" t="inlineStr">
        <is>
          <t>波動率</t>
        </is>
      </c>
      <c r="B60" s="3" t="inlineStr">
        <is>
          <t>VIX 10-01 收 16.39（5 日 +4.6%）：指數層面唔驚，但同大市闊度（只有約四分一股票企喺 21EMA 上）嚴重背馳 —— 典型「指數靠幾隻大股撐住」嘅後期結構。</t>
        </is>
      </c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50" t="n"/>
    </row>
    <row r="62">
      <c r="A62" s="46" t="inlineStr">
        <is>
          <t>四大力量周期對標（宏觀流動性／政治／技術革命／黑天鵝）</t>
        </is>
      </c>
    </row>
    <row r="63" ht="30" customHeight="1">
      <c r="A63" s="44" t="inlineStr">
        <is>
          <t>宏觀流動性（息口）周期</t>
        </is>
      </c>
      <c r="B63" s="3" t="inlineStr">
        <is>
          <t>加息周期中段：2026-09 加息後市場再價入 10／12 月加息。歷史對標 2004–06、1994 嘅「加息中段」—— 指數橫行偏上但闊度收窄、換手由長期增長股轉去定價能力強／現金流強嘅股票；周期尾聲訊號係 2 年息見頂、曲線由倒掛轉陡。</t>
        </is>
      </c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50" t="n"/>
    </row>
    <row r="64" ht="30" customHeight="1">
      <c r="A64" s="44" t="inlineStr">
        <is>
          <t>政治周期</t>
        </is>
      </c>
      <c r="B64" s="3" t="inlineStr">
        <is>
          <t>2026 中期選舉（11 月）前一個月：歷史上中期選舉年 9–10 月偏弱、選後 12 個月偏強（1950 年起幾乎無例外）；聯儲喺選前加息屬罕見，政治噪音會放大波動。</t>
        </is>
      </c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50" t="n"/>
    </row>
    <row r="65" ht="30" customHeight="1">
      <c r="A65" s="44" t="inlineStr">
        <is>
          <t>技術革命（AI／半導體）</t>
        </is>
      </c>
      <c r="B65" s="3" t="inlineStr">
        <is>
          <t>領導板塊仍係晶片（Micron 業績、AMD、INTC、MTSI、SITM 等喺名單上），但由 2023 年起計已係第三年，資本開支質疑（7 月 Alphabet 跌 7%）開始出現 —— 屬「產業周期中後段」，要求回調到 9/21EMA 先追，唔追突破。</t>
        </is>
      </c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50" t="n"/>
    </row>
    <row r="66" ht="30" customHeight="1">
      <c r="A66" s="44" t="inlineStr">
        <is>
          <t>黑天鵝／地緣</t>
        </is>
      </c>
      <c r="B66" s="3" t="inlineStr">
        <is>
          <t>美伊衝突、荷莫茲、胡塞攻擊油輪：每次升級油價急升 → 債息升 → 股市回調（7-22／8-11／8-31 三次），每次 1–3 星期內修復；下一個升級點係油價 $100 ＋ 10 年息 5.5%。</t>
        </is>
      </c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50" t="n"/>
    </row>
    <row r="68">
      <c r="A68" s="46" t="inlineStr">
        <is>
          <t>對呢份名單嘅含義</t>
        </is>
      </c>
    </row>
    <row r="69" ht="30" customHeight="1">
      <c r="A69" s="2" t="inlineStr">
        <is>
          <t>1</t>
        </is>
      </c>
      <c r="B69" s="3" t="inlineStr">
        <is>
          <t>指數離高位唔遠（標普 7,666；SPY 離期內高位 −1.8%）但只有 26% 合資格股票喺 21EMA 上、26% 嘅 21EMA 向上 —— 名單入面嘅股票係少數仍然處於上升結構嘅股票，屬「逆闊度」嘅精選，唔係大市普漲。</t>
        </is>
      </c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50" t="n"/>
    </row>
    <row r="70" ht="30" customHeight="1">
      <c r="A70" s="2" t="inlineStr">
        <is>
          <t>2</t>
        </is>
      </c>
      <c r="B70" s="3" t="inlineStr">
        <is>
          <t>倉位：偏細（總倉位 ≤ 正常一半），優先大型／中型股及 RS21 高嘅股票；小型股（市值 &lt;$20 億）只做試探倉，因 5% 以上嘅長債息對佢哋最唔利。</t>
        </is>
      </c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50" t="n"/>
    </row>
    <row r="71" ht="30" customHeight="1">
      <c r="A71" s="2" t="inlineStr">
        <is>
          <t>3</t>
        </is>
      </c>
      <c r="B71" s="3" t="inlineStr">
        <is>
          <t>入場：等股價回到 9EMA／21EMA 兼當日收市守住（收市在當日區間上半部），唔追離 9EMA 3% 以上嘅位置；止蝕放最後一個底之下。</t>
        </is>
      </c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50" t="n"/>
    </row>
    <row r="72" ht="30" customHeight="1">
      <c r="A72" s="2" t="inlineStr">
        <is>
          <t>4</t>
        </is>
      </c>
      <c r="B72" s="3" t="inlineStr">
        <is>
          <t>大市轉強確認訊號（觀察）：合資格股票 &gt;50% 企喺 21EMA 上、20 日新高多過新低、10 年息跌穿 5.0%、油價跌穿 $85；任何一項出現即可加大倉位。</t>
        </is>
      </c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50" t="n"/>
    </row>
    <row r="73" ht="30" customHeight="1">
      <c r="A73" s="2" t="inlineStr">
        <is>
          <t>5</t>
        </is>
      </c>
      <c r="B73" s="3" t="inlineStr">
        <is>
          <t>風險觸發：10 年息 &gt;5.5%、油價 &gt;$100、VIX &gt;22、或聯儲 10-28 會議鷹派加息 —— 出現即減半倉位。</t>
        </is>
      </c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50" t="n"/>
    </row>
    <row r="75">
      <c r="A75" s="46" t="inlineStr">
        <is>
          <t>領先指標觀察表</t>
        </is>
      </c>
    </row>
    <row r="76">
      <c r="A76" s="51" t="inlineStr">
        <is>
          <t>指標</t>
        </is>
      </c>
      <c r="B76" s="51" t="inlineStr">
        <is>
          <t>現值</t>
        </is>
      </c>
      <c r="C76" s="51" t="inlineStr">
        <is>
          <t>轉勢門檻</t>
        </is>
      </c>
      <c r="D76" s="49" t="n"/>
      <c r="E76" s="49" t="n"/>
      <c r="F76" s="49" t="n"/>
      <c r="G76" s="49" t="n"/>
      <c r="H76" s="50" t="n"/>
    </row>
    <row r="77">
      <c r="A77" s="3" t="inlineStr">
        <is>
          <t>10 年期美債息</t>
        </is>
      </c>
      <c r="B77" s="3" t="inlineStr">
        <is>
          <t>5.24%–5.33%</t>
        </is>
      </c>
      <c r="C77" s="3" t="inlineStr">
        <is>
          <t>跌穿 5.0% 轉利好；升穿 5.5% 轉利淡</t>
        </is>
      </c>
      <c r="D77" s="49" t="n"/>
      <c r="E77" s="49" t="n"/>
      <c r="F77" s="49" t="n"/>
      <c r="G77" s="49" t="n"/>
      <c r="H77" s="50" t="n"/>
    </row>
    <row r="78">
      <c r="A78" s="3" t="inlineStr">
        <is>
          <t>WTI 油價</t>
        </is>
      </c>
      <c r="B78" s="3" t="inlineStr">
        <is>
          <t>$92.9（10-01 收市）</t>
        </is>
      </c>
      <c r="C78" s="3" t="inlineStr">
        <is>
          <t>跌穿 $85 利好；升穿 $100 利淡</t>
        </is>
      </c>
      <c r="D78" s="49" t="n"/>
      <c r="E78" s="49" t="n"/>
      <c r="F78" s="49" t="n"/>
      <c r="G78" s="49" t="n"/>
      <c r="H78" s="50" t="n"/>
    </row>
    <row r="79">
      <c r="A79" s="3" t="inlineStr">
        <is>
          <t>VIX</t>
        </is>
      </c>
      <c r="B79" s="3" t="inlineStr">
        <is>
          <t>16.4（10-01 收市）</t>
        </is>
      </c>
      <c r="C79" s="3" t="inlineStr">
        <is>
          <t>升穿 22 要減倉</t>
        </is>
      </c>
      <c r="D79" s="49" t="n"/>
      <c r="E79" s="49" t="n"/>
      <c r="F79" s="49" t="n"/>
      <c r="G79" s="49" t="n"/>
      <c r="H79" s="50" t="n"/>
    </row>
    <row r="80">
      <c r="A80" s="3" t="inlineStr">
        <is>
          <t>美元指數</t>
        </is>
      </c>
      <c r="B80" s="3" t="inlineStr">
        <is>
          <t>102.1（期內新高）</t>
        </is>
      </c>
      <c r="C80" s="3" t="inlineStr">
        <is>
          <t>升穿 103 對大型科技股不利</t>
        </is>
      </c>
      <c r="D80" s="49" t="n"/>
      <c r="E80" s="49" t="n"/>
      <c r="F80" s="49" t="n"/>
      <c r="G80" s="49" t="n"/>
      <c r="H80" s="50" t="n"/>
    </row>
    <row r="81">
      <c r="A81" s="3" t="inlineStr">
        <is>
          <t>合資格股票企喺 21EMA 上嘅比例</t>
        </is>
      </c>
      <c r="B81" s="3" t="inlineStr">
        <is>
          <t>26%（10-01）</t>
        </is>
      </c>
      <c r="C81" s="3" t="inlineStr">
        <is>
          <t>升穿 50% = 闊度推進（thrust），大市轉強</t>
        </is>
      </c>
      <c r="D81" s="49" t="n"/>
      <c r="E81" s="49" t="n"/>
      <c r="F81" s="49" t="n"/>
      <c r="G81" s="49" t="n"/>
      <c r="H81" s="50" t="n"/>
    </row>
    <row r="82">
      <c r="A82" s="3" t="inlineStr">
        <is>
          <t>20 日新高／新低</t>
        </is>
      </c>
      <c r="B82" s="3" t="inlineStr">
        <is>
          <t>202 / 569（10-01）；09-30 係 106 / 942</t>
        </is>
      </c>
      <c r="C82" s="3" t="inlineStr">
        <is>
          <t>新高多過新低連續 3 日 = 轉強</t>
        </is>
      </c>
      <c r="D82" s="49" t="n"/>
      <c r="E82" s="49" t="n"/>
      <c r="F82" s="49" t="n"/>
      <c r="G82" s="49" t="n"/>
      <c r="H82" s="50" t="n"/>
    </row>
    <row r="83">
      <c r="A83" s="3" t="inlineStr">
        <is>
          <t>聯儲 10-28 會議</t>
        </is>
      </c>
      <c r="B83" s="3" t="inlineStr">
        <is>
          <t>加息機率約 70%</t>
        </is>
      </c>
      <c r="C83" s="3" t="inlineStr">
        <is>
          <t>唔加息 + 鴿派 = 風險偏好回升</t>
        </is>
      </c>
      <c r="D83" s="49" t="n"/>
      <c r="E83" s="49" t="n"/>
      <c r="F83" s="49" t="n"/>
      <c r="G83" s="49" t="n"/>
      <c r="H83" s="50" t="n"/>
    </row>
    <row r="85">
      <c r="A85" s="46" t="inlineStr">
        <is>
          <t>名單板塊分佈（第一梯隊）</t>
        </is>
      </c>
    </row>
    <row r="86">
      <c r="A86" s="5" t="inlineStr">
        <is>
          <t>科技</t>
        </is>
      </c>
      <c r="B86" s="48">
        <f>COUNTIFS('總表'!A2:A200,1,'總表'!F2:F200,A86)</f>
        <v/>
      </c>
    </row>
    <row r="87">
      <c r="A87" s="5" t="inlineStr">
        <is>
          <t>非必需消費</t>
        </is>
      </c>
      <c r="B87" s="48">
        <f>COUNTIFS('總表'!A2:A200,1,'總表'!F2:F200,A87)</f>
        <v/>
      </c>
    </row>
    <row r="88">
      <c r="A88" s="5" t="inlineStr">
        <is>
          <t>醫療保健</t>
        </is>
      </c>
      <c r="B88" s="48">
        <f>COUNTIFS('總表'!A2:A200,1,'總表'!F2:F200,A88)</f>
        <v/>
      </c>
    </row>
    <row r="89">
      <c r="A89" s="5" t="inlineStr">
        <is>
          <t>金融</t>
        </is>
      </c>
      <c r="B89" s="48">
        <f>COUNTIFS('總表'!A2:A200,1,'總表'!F2:F200,A89)</f>
        <v/>
      </c>
    </row>
    <row r="90">
      <c r="A90" s="5" t="inlineStr">
        <is>
          <t>工業</t>
        </is>
      </c>
      <c r="B90" s="48">
        <f>COUNTIFS('總表'!A2:A200,1,'總表'!F2:F200,A90)</f>
        <v/>
      </c>
    </row>
    <row r="91">
      <c r="A91" s="5" t="inlineStr">
        <is>
          <t>公用事業</t>
        </is>
      </c>
      <c r="B91" s="48">
        <f>COUNTIFS('總表'!A2:A200,1,'總表'!F2:F200,A91)</f>
        <v/>
      </c>
    </row>
    <row r="92">
      <c r="A92" s="5" t="inlineStr">
        <is>
          <t>其他</t>
        </is>
      </c>
      <c r="B92" s="48">
        <f>COUNTIFS('總表'!A2:A200,1,'總表'!F2:F200,A92)</f>
        <v/>
      </c>
    </row>
    <row r="93">
      <c r="A93" s="5" t="inlineStr">
        <is>
          <t>房地產</t>
        </is>
      </c>
      <c r="B93" s="48">
        <f>COUNTIFS('總表'!A2:A200,1,'總表'!F2:F200,A93)</f>
        <v/>
      </c>
    </row>
    <row r="94">
      <c r="A94" s="5" t="inlineStr">
        <is>
          <t>能源</t>
        </is>
      </c>
      <c r="B94" s="48">
        <f>COUNTIFS('總表'!A2:A200,1,'總表'!F2:F200,A94)</f>
        <v/>
      </c>
    </row>
    <row r="95">
      <c r="A95" s="5" t="inlineStr">
        <is>
          <t>電訊</t>
        </is>
      </c>
      <c r="B95" s="48">
        <f>COUNTIFS('總表'!A2:A200,1,'總表'!F2:F200,A95)</f>
        <v/>
      </c>
    </row>
    <row r="96">
      <c r="A96" s="5" t="inlineStr">
        <is>
          <t>必需消費</t>
        </is>
      </c>
      <c r="B96" s="48">
        <f>COUNTIFS('總表'!A2:A200,1,'總表'!F2:F200,A96)</f>
        <v/>
      </c>
    </row>
    <row r="98">
      <c r="A98" s="46" t="inlineStr">
        <is>
          <t>來源</t>
        </is>
      </c>
    </row>
    <row r="99">
      <c r="A99" s="52" t="inlineStr">
        <is>
          <t>CNBC — S&amp;P 500 closes higher to start October as Treasury yields retreat</t>
        </is>
      </c>
    </row>
    <row r="100">
      <c r="A100" s="52" t="inlineStr">
        <is>
          <t>Yahoo Finance — Stock market today: Thursday Oct 1</t>
        </is>
      </c>
    </row>
    <row r="101">
      <c r="A101" s="52" t="inlineStr">
        <is>
          <t>TheStreet — Stock Market Today (Oct. 1, 2026)</t>
        </is>
      </c>
    </row>
    <row r="102">
      <c r="A102" s="52" t="inlineStr">
        <is>
          <t>Schwab — Stocks Up on Firm Tech Despite 24-Year Yield Highs</t>
        </is>
      </c>
    </row>
    <row r="103">
      <c r="A103" s="52" t="inlineStr">
        <is>
          <t>SIA Wealth — October Opens with Mixed Markets as Oil and Treasury Yields Climb</t>
        </is>
      </c>
    </row>
    <row r="104">
      <c r="A104" s="52" t="inlineStr">
        <is>
          <t>Bloomberg — Fed's Williams Sees One More Interest Rate Hike in Late 2026</t>
        </is>
      </c>
    </row>
    <row r="105">
      <c r="A105" s="52" t="inlineStr">
        <is>
          <t>Forbes — Markets Brace For Two More Fed Rate Hikes In 2026</t>
        </is>
      </c>
    </row>
    <row r="106">
      <c r="A106" s="52" t="inlineStr">
        <is>
          <t>CNBC — Warsh's regime change at the Fed pushes ahead</t>
        </is>
      </c>
    </row>
    <row r="107">
      <c r="A107" s="52" t="inlineStr">
        <is>
          <t>Schwab — Fed Hikes in 12-0 Vote, Commits to Inflation Fight</t>
        </is>
      </c>
    </row>
    <row r="108">
      <c r="A108" s="52" t="inlineStr">
        <is>
          <t>10MA-watchlist R23 市況頁（09-29／09-30 收市摘要，AP／CNBC）</t>
        </is>
      </c>
    </row>
  </sheetData>
  <mergeCells count="25">
    <mergeCell ref="B72:L72"/>
    <mergeCell ref="B59:L59"/>
    <mergeCell ref="C80:H80"/>
    <mergeCell ref="B66:L66"/>
    <mergeCell ref="B56:L56"/>
    <mergeCell ref="B71:L71"/>
    <mergeCell ref="B58:L58"/>
    <mergeCell ref="B52:L52"/>
    <mergeCell ref="B70:L70"/>
    <mergeCell ref="C76:H76"/>
    <mergeCell ref="B60:L60"/>
    <mergeCell ref="C82:H82"/>
    <mergeCell ref="B57:L57"/>
    <mergeCell ref="B53:L53"/>
    <mergeCell ref="C81:H81"/>
    <mergeCell ref="B73:L73"/>
    <mergeCell ref="B69:L69"/>
    <mergeCell ref="C78:H78"/>
    <mergeCell ref="C83:H83"/>
    <mergeCell ref="C77:H77"/>
    <mergeCell ref="B65:L65"/>
    <mergeCell ref="B64:L64"/>
    <mergeCell ref="B51:L51"/>
    <mergeCell ref="C79:H79"/>
    <mergeCell ref="B63:L63"/>
  </mergeCells>
  <hyperlinks>
    <hyperlink xmlns:r="http://schemas.openxmlformats.org/officeDocument/2006/relationships" ref="A99" r:id="rId1"/>
    <hyperlink xmlns:r="http://schemas.openxmlformats.org/officeDocument/2006/relationships" ref="A100" r:id="rId2"/>
    <hyperlink xmlns:r="http://schemas.openxmlformats.org/officeDocument/2006/relationships" ref="A101" r:id="rId3"/>
    <hyperlink xmlns:r="http://schemas.openxmlformats.org/officeDocument/2006/relationships" ref="A102" r:id="rId4"/>
    <hyperlink xmlns:r="http://schemas.openxmlformats.org/officeDocument/2006/relationships" ref="A103" r:id="rId5"/>
    <hyperlink xmlns:r="http://schemas.openxmlformats.org/officeDocument/2006/relationships" ref="A104" r:id="rId6"/>
    <hyperlink xmlns:r="http://schemas.openxmlformats.org/officeDocument/2006/relationships" ref="A105" r:id="rId7"/>
    <hyperlink xmlns:r="http://schemas.openxmlformats.org/officeDocument/2006/relationships" ref="A106" r:id="rId8"/>
    <hyperlink xmlns:r="http://schemas.openxmlformats.org/officeDocument/2006/relationships" ref="A107" r:id="rId9"/>
    <hyperlink xmlns:r="http://schemas.openxmlformats.org/officeDocument/2006/relationships" ref="A108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數據來源同核對</t>
        </is>
      </c>
    </row>
    <row r="3" ht="30" customHeight="1">
      <c r="A3" s="44" t="inlineStr">
        <is>
          <t>股票池</t>
        </is>
      </c>
      <c r="B3" s="3" t="inlineStr">
        <is>
          <t>data/yahoo/tickers.txt：3,868 隻（承接 10MA-watchlist 嘅全美 ≥$1 普通股名單，Nasdaq 快照剔除 ETF／基金／優先股／權證／單位）</t>
        </is>
      </c>
    </row>
    <row r="4" ht="30" customHeight="1">
      <c r="A4" s="44" t="inlineStr">
        <is>
          <t>日線</t>
        </is>
      </c>
      <c r="B4" s="3" t="inlineStr">
        <is>
          <t>eod_2025-12-26_2026-10-03.csv.gz；intraday_2026-09-30_2026-10-02_60m.csv.gz —— 2026-10-01 有 bar 3,861 隻，其中日內 60 分鐘 bar 滾算（Yahoo 未出日線）1 隻</t>
        </is>
      </c>
    </row>
    <row r="5" ht="30" customHeight="1">
      <c r="A5" s="44" t="inlineStr">
        <is>
          <t>名稱／板塊／市值</t>
        </is>
      </c>
      <c r="B5" s="3" t="inlineStr">
        <is>
          <t>Nasdaq 收市後快照 2026-10-01.csv（名稱、板塊、行業、市值）；交易所來自 rreichel3/us-stock-symbols</t>
        </is>
      </c>
    </row>
    <row r="6" ht="30" customHeight="1">
      <c r="A6" s="44" t="inlineStr">
        <is>
          <t>宏觀</t>
        </is>
      </c>
      <c r="B6" s="3" t="inlineStr">
        <is>
          <t>data/yahoo/macro_daily_2025-12-26_2026-10-03.csv.gz（指數、ETF、商品、債息、美元）</t>
        </is>
      </c>
    </row>
    <row r="7" ht="30" customHeight="1">
      <c r="A7" s="44" t="inlineStr">
        <is>
          <t>抓取方式</t>
        </is>
      </c>
      <c r="B7" s="3" t="inlineStr">
        <is>
          <t>GitHub Actions runner 跑 scripts/fetch_yahoo.py（yfinance，auto_adjust=False）後 commit；研究容器本身連唔到 Yahoo</t>
        </is>
      </c>
    </row>
    <row r="9">
      <c r="A9" s="46" t="inlineStr">
        <is>
          <t>Nasdaq 快照 vs Yahoo</t>
        </is>
      </c>
    </row>
    <row r="10" ht="30" customHeight="1">
      <c r="A10" s="43" t="inlineStr">
        <is>
          <t>2026-10-01.csv</t>
        </is>
      </c>
      <c r="B10" s="3" t="inlineStr">
        <is>
          <t>快照「最後成交價」同名單 199 隻嘅 Yahoo 2026-10-01 收市吻合（0.5% 內）25.1%，同前一交易日收市吻合 100.0% → 快照入面係前一日（Nasdaq API 到美東早上五點都仲未轉日，自動重新標籤）收市，當前一交易日收市用</t>
        </is>
      </c>
    </row>
    <row r="11">
      <c r="A11" s="43" t="inlineStr">
        <is>
          <t>名單逐隻</t>
        </is>
      </c>
      <c r="B11" s="3" t="inlineStr">
        <is>
          <t>199 隻有快照；最大差 0.016%（CLMB 0.02%、JILL 0.00%、PPIH 0.00%、MG 0.00%、HNGE 0.00%）；0.5% 內 199 隻</t>
        </is>
      </c>
    </row>
    <row r="13">
      <c r="A13" s="51" t="inlineStr">
        <is>
          <t>代號</t>
        </is>
      </c>
      <c r="B13" s="51" t="inlineStr">
        <is>
          <t>總表排名</t>
        </is>
      </c>
      <c r="C13" s="51" t="inlineStr">
        <is>
          <t>Yahoo 前收</t>
        </is>
      </c>
      <c r="D13" s="51" t="inlineStr">
        <is>
          <t>快照最後成交</t>
        </is>
      </c>
      <c r="E13" s="51" t="inlineStr">
        <is>
          <t>差%</t>
        </is>
      </c>
    </row>
    <row r="14">
      <c r="A14" s="5" t="inlineStr">
        <is>
          <t>JILL</t>
        </is>
      </c>
      <c r="B14" s="5">
        <f>'總表'!B2</f>
        <v/>
      </c>
      <c r="C14" s="41">
        <f>'總表'!K2</f>
        <v/>
      </c>
      <c r="D14" s="8" t="n">
        <v>24.37</v>
      </c>
      <c r="E14" s="53">
        <f>D14/C14-1</f>
        <v/>
      </c>
    </row>
    <row r="15">
      <c r="A15" s="5" t="inlineStr">
        <is>
          <t>PPIH</t>
        </is>
      </c>
      <c r="B15" s="5">
        <f>'總表'!B3</f>
        <v/>
      </c>
      <c r="C15" s="41">
        <f>'總表'!K3</f>
        <v/>
      </c>
      <c r="D15" s="8" t="n">
        <v>30.76</v>
      </c>
      <c r="E15" s="53">
        <f>D15/C15-1</f>
        <v/>
      </c>
    </row>
    <row r="16">
      <c r="A16" s="5" t="inlineStr">
        <is>
          <t>MG</t>
        </is>
      </c>
      <c r="B16" s="5">
        <f>'總表'!B4</f>
        <v/>
      </c>
      <c r="C16" s="41">
        <f>'總表'!K4</f>
        <v/>
      </c>
      <c r="D16" s="8" t="n">
        <v>21.06</v>
      </c>
      <c r="E16" s="53">
        <f>D16/C16-1</f>
        <v/>
      </c>
    </row>
    <row r="17">
      <c r="A17" s="5" t="inlineStr">
        <is>
          <t>HNGE</t>
        </is>
      </c>
      <c r="B17" s="5">
        <f>'總表'!B5</f>
        <v/>
      </c>
      <c r="C17" s="41">
        <f>'總表'!K5</f>
        <v/>
      </c>
      <c r="D17" s="8" t="n">
        <v>97.23999999999999</v>
      </c>
      <c r="E17" s="53">
        <f>D17/C17-1</f>
        <v/>
      </c>
    </row>
    <row r="18">
      <c r="A18" s="5" t="inlineStr">
        <is>
          <t>TTMI</t>
        </is>
      </c>
      <c r="B18" s="5">
        <f>'總表'!B6</f>
        <v/>
      </c>
      <c r="C18" s="41">
        <f>'總表'!K6</f>
        <v/>
      </c>
      <c r="D18" s="8" t="n">
        <v>122.84</v>
      </c>
      <c r="E18" s="53">
        <f>D18/C18-1</f>
        <v/>
      </c>
    </row>
    <row r="19">
      <c r="A19" s="5" t="inlineStr">
        <is>
          <t>NVAX</t>
        </is>
      </c>
      <c r="B19" s="5">
        <f>'總表'!B7</f>
        <v/>
      </c>
      <c r="C19" s="41">
        <f>'總表'!K7</f>
        <v/>
      </c>
      <c r="D19" s="8" t="n">
        <v>10.81</v>
      </c>
      <c r="E19" s="53">
        <f>D19/C19-1</f>
        <v/>
      </c>
    </row>
    <row r="20">
      <c r="A20" s="5" t="inlineStr">
        <is>
          <t>FRNM</t>
        </is>
      </c>
      <c r="B20" s="5">
        <f>'總表'!B8</f>
        <v/>
      </c>
      <c r="C20" s="41">
        <f>'總表'!K8</f>
        <v/>
      </c>
      <c r="D20" s="8" t="n">
        <v>15.75</v>
      </c>
      <c r="E20" s="53">
        <f>D20/C20-1</f>
        <v/>
      </c>
    </row>
    <row r="21">
      <c r="A21" s="5" t="inlineStr">
        <is>
          <t>NET</t>
        </is>
      </c>
      <c r="B21" s="5">
        <f>'總表'!B9</f>
        <v/>
      </c>
      <c r="C21" s="41">
        <f>'總表'!K9</f>
        <v/>
      </c>
      <c r="D21" s="8" t="n">
        <v>347.28</v>
      </c>
      <c r="E21" s="53">
        <f>D21/C21-1</f>
        <v/>
      </c>
    </row>
    <row r="22">
      <c r="A22" s="5" t="inlineStr">
        <is>
          <t>MTSI</t>
        </is>
      </c>
      <c r="B22" s="5">
        <f>'總表'!B10</f>
        <v/>
      </c>
      <c r="C22" s="41">
        <f>'總表'!K10</f>
        <v/>
      </c>
      <c r="D22" s="8" t="n">
        <v>284.82</v>
      </c>
      <c r="E22" s="53">
        <f>D22/C22-1</f>
        <v/>
      </c>
    </row>
    <row r="23">
      <c r="A23" s="5" t="inlineStr">
        <is>
          <t>ACVA</t>
        </is>
      </c>
      <c r="B23" s="5">
        <f>'總表'!B11</f>
        <v/>
      </c>
      <c r="C23" s="41">
        <f>'總表'!K11</f>
        <v/>
      </c>
      <c r="D23" s="8" t="n">
        <v>10.43</v>
      </c>
      <c r="E23" s="53">
        <f>D23/C23-1</f>
        <v/>
      </c>
    </row>
    <row r="24">
      <c r="A24" s="5" t="inlineStr">
        <is>
          <t>LTC</t>
        </is>
      </c>
      <c r="B24" s="5">
        <f>'總表'!B12</f>
        <v/>
      </c>
      <c r="C24" s="41">
        <f>'總表'!K12</f>
        <v/>
      </c>
      <c r="D24" s="8" t="n">
        <v>42.87</v>
      </c>
      <c r="E24" s="53">
        <f>D24/C24-1</f>
        <v/>
      </c>
    </row>
    <row r="25">
      <c r="A25" s="5" t="inlineStr">
        <is>
          <t>PANW</t>
        </is>
      </c>
      <c r="B25" s="5">
        <f>'總表'!B13</f>
        <v/>
      </c>
      <c r="C25" s="41">
        <f>'總表'!K13</f>
        <v/>
      </c>
      <c r="D25" s="8" t="n">
        <v>397.31</v>
      </c>
      <c r="E25" s="53">
        <f>D25/C25-1</f>
        <v/>
      </c>
    </row>
    <row r="26">
      <c r="A26" s="5" t="inlineStr">
        <is>
          <t>PENG</t>
        </is>
      </c>
      <c r="B26" s="5">
        <f>'總表'!B14</f>
        <v/>
      </c>
      <c r="C26" s="41">
        <f>'總表'!K14</f>
        <v/>
      </c>
      <c r="D26" s="8" t="n">
        <v>54.69</v>
      </c>
      <c r="E26" s="53">
        <f>D26/C26-1</f>
        <v/>
      </c>
    </row>
    <row r="27">
      <c r="A27" s="5" t="inlineStr">
        <is>
          <t>DT</t>
        </is>
      </c>
      <c r="B27" s="5">
        <f>'總表'!B15</f>
        <v/>
      </c>
      <c r="C27" s="41">
        <f>'總表'!K15</f>
        <v/>
      </c>
      <c r="D27" s="8" t="n">
        <v>57.74</v>
      </c>
      <c r="E27" s="53">
        <f>D27/C27-1</f>
        <v/>
      </c>
    </row>
    <row r="28">
      <c r="A28" s="5" t="inlineStr">
        <is>
          <t>NUTX</t>
        </is>
      </c>
      <c r="B28" s="5">
        <f>'總表'!B16</f>
        <v/>
      </c>
      <c r="C28" s="41">
        <f>'總表'!K16</f>
        <v/>
      </c>
      <c r="D28" s="8" t="n">
        <v>211.66</v>
      </c>
      <c r="E28" s="53">
        <f>D28/C28-1</f>
        <v/>
      </c>
    </row>
    <row r="29">
      <c r="A29" s="5" t="inlineStr">
        <is>
          <t>DDD</t>
        </is>
      </c>
      <c r="B29" s="5">
        <f>'總表'!B17</f>
        <v/>
      </c>
      <c r="C29" s="41">
        <f>'總表'!K17</f>
        <v/>
      </c>
      <c r="D29" s="8" t="n">
        <v>3.6</v>
      </c>
      <c r="E29" s="53">
        <f>D29/C29-1</f>
        <v/>
      </c>
    </row>
    <row r="30">
      <c r="A30" s="5" t="inlineStr">
        <is>
          <t>MTW</t>
        </is>
      </c>
      <c r="B30" s="5">
        <f>'總表'!B18</f>
        <v/>
      </c>
      <c r="C30" s="41">
        <f>'總表'!K18</f>
        <v/>
      </c>
      <c r="D30" s="8" t="n">
        <v>21.46</v>
      </c>
      <c r="E30" s="53">
        <f>D30/C30-1</f>
        <v/>
      </c>
    </row>
    <row r="31">
      <c r="A31" s="5" t="inlineStr">
        <is>
          <t>ISRG</t>
        </is>
      </c>
      <c r="B31" s="5">
        <f>'總表'!B19</f>
        <v/>
      </c>
      <c r="C31" s="41">
        <f>'總表'!K19</f>
        <v/>
      </c>
      <c r="D31" s="8" t="n">
        <v>406.63</v>
      </c>
      <c r="E31" s="53">
        <f>D31/C31-1</f>
        <v/>
      </c>
    </row>
    <row r="32">
      <c r="A32" s="5" t="inlineStr">
        <is>
          <t>SEI</t>
        </is>
      </c>
      <c r="B32" s="5">
        <f>'總表'!B20</f>
        <v/>
      </c>
      <c r="C32" s="41">
        <f>'總表'!K20</f>
        <v/>
      </c>
      <c r="D32" s="8" t="n">
        <v>71.18000000000001</v>
      </c>
      <c r="E32" s="53">
        <f>D32/C32-1</f>
        <v/>
      </c>
    </row>
    <row r="33">
      <c r="A33" s="5" t="inlineStr">
        <is>
          <t>FTNT</t>
        </is>
      </c>
      <c r="B33" s="5">
        <f>'總表'!B21</f>
        <v/>
      </c>
      <c r="C33" s="41">
        <f>'總表'!K21</f>
        <v/>
      </c>
      <c r="D33" s="8" t="n">
        <v>178.76</v>
      </c>
      <c r="E33" s="53">
        <f>D33/C33-1</f>
        <v/>
      </c>
    </row>
    <row r="34">
      <c r="A34" s="5" t="inlineStr">
        <is>
          <t>AVT</t>
        </is>
      </c>
      <c r="B34" s="5">
        <f>'總表'!B22</f>
        <v/>
      </c>
      <c r="C34" s="41">
        <f>'總表'!K22</f>
        <v/>
      </c>
      <c r="D34" s="8" t="n">
        <v>99.95</v>
      </c>
      <c r="E34" s="53">
        <f>D34/C34-1</f>
        <v/>
      </c>
    </row>
    <row r="35">
      <c r="A35" s="5" t="inlineStr">
        <is>
          <t>MRVL</t>
        </is>
      </c>
      <c r="B35" s="5">
        <f>'總表'!B23</f>
        <v/>
      </c>
      <c r="C35" s="41">
        <f>'總表'!K23</f>
        <v/>
      </c>
      <c r="D35" s="8" t="n">
        <v>264.21</v>
      </c>
      <c r="E35" s="53">
        <f>D35/C35-1</f>
        <v/>
      </c>
    </row>
    <row r="36">
      <c r="A36" s="5" t="inlineStr">
        <is>
          <t>CVLT</t>
        </is>
      </c>
      <c r="B36" s="5">
        <f>'總表'!B24</f>
        <v/>
      </c>
      <c r="C36" s="41">
        <f>'總表'!K24</f>
        <v/>
      </c>
      <c r="D36" s="8" t="n">
        <v>149.92</v>
      </c>
      <c r="E36" s="53">
        <f>D36/C36-1</f>
        <v/>
      </c>
    </row>
    <row r="37">
      <c r="A37" s="5" t="inlineStr">
        <is>
          <t>ADPT</t>
        </is>
      </c>
      <c r="B37" s="5">
        <f>'總表'!B25</f>
        <v/>
      </c>
      <c r="C37" s="41">
        <f>'總表'!K25</f>
        <v/>
      </c>
      <c r="D37" s="8" t="n">
        <v>28.9</v>
      </c>
      <c r="E37" s="53">
        <f>D37/C37-1</f>
        <v/>
      </c>
    </row>
    <row r="38">
      <c r="A38" s="5" t="inlineStr">
        <is>
          <t>DELL</t>
        </is>
      </c>
      <c r="B38" s="5">
        <f>'總表'!B26</f>
        <v/>
      </c>
      <c r="C38" s="41">
        <f>'總表'!K26</f>
        <v/>
      </c>
      <c r="D38" s="8" t="n">
        <v>537.95</v>
      </c>
      <c r="E38" s="53">
        <f>D38/C38-1</f>
        <v/>
      </c>
    </row>
    <row r="39">
      <c r="A39" s="5" t="inlineStr">
        <is>
          <t>STX</t>
        </is>
      </c>
      <c r="B39" s="5">
        <f>'總表'!B27</f>
        <v/>
      </c>
      <c r="C39" s="41">
        <f>'總表'!K27</f>
        <v/>
      </c>
      <c r="D39" s="8" t="n">
        <v>922.34</v>
      </c>
      <c r="E39" s="53">
        <f>D39/C39-1</f>
        <v/>
      </c>
    </row>
    <row r="40">
      <c r="A40" s="5" t="inlineStr">
        <is>
          <t>OBIO</t>
        </is>
      </c>
      <c r="B40" s="5">
        <f>'總表'!B28</f>
        <v/>
      </c>
      <c r="C40" s="41">
        <f>'總表'!K28</f>
        <v/>
      </c>
      <c r="D40" s="8" t="n">
        <v>6.22</v>
      </c>
      <c r="E40" s="53">
        <f>D40/C40-1</f>
        <v/>
      </c>
    </row>
    <row r="41">
      <c r="A41" s="5" t="inlineStr">
        <is>
          <t>ANET</t>
        </is>
      </c>
      <c r="B41" s="5">
        <f>'總表'!B29</f>
        <v/>
      </c>
      <c r="C41" s="41">
        <f>'總表'!K29</f>
        <v/>
      </c>
      <c r="D41" s="8" t="n">
        <v>203.59</v>
      </c>
      <c r="E41" s="53">
        <f>D41/C41-1</f>
        <v/>
      </c>
    </row>
    <row r="42">
      <c r="A42" s="5" t="inlineStr">
        <is>
          <t>ARW</t>
        </is>
      </c>
      <c r="B42" s="5">
        <f>'總表'!B30</f>
        <v/>
      </c>
      <c r="C42" s="41">
        <f>'總表'!K30</f>
        <v/>
      </c>
      <c r="D42" s="8" t="n">
        <v>227</v>
      </c>
      <c r="E42" s="53">
        <f>D42/C42-1</f>
        <v/>
      </c>
    </row>
    <row r="43">
      <c r="A43" s="5" t="inlineStr">
        <is>
          <t>FLGT</t>
        </is>
      </c>
      <c r="B43" s="5">
        <f>'總表'!B31</f>
        <v/>
      </c>
      <c r="C43" s="41">
        <f>'總表'!K31</f>
        <v/>
      </c>
      <c r="D43" s="8" t="n">
        <v>22.02</v>
      </c>
      <c r="E43" s="53">
        <f>D43/C43-1</f>
        <v/>
      </c>
    </row>
    <row r="44">
      <c r="A44" s="5" t="inlineStr">
        <is>
          <t>CRSR</t>
        </is>
      </c>
      <c r="B44" s="5">
        <f>'總表'!B32</f>
        <v/>
      </c>
      <c r="C44" s="41">
        <f>'總表'!K32</f>
        <v/>
      </c>
      <c r="D44" s="8" t="n">
        <v>13.5</v>
      </c>
      <c r="E44" s="53">
        <f>D44/C44-1</f>
        <v/>
      </c>
    </row>
    <row r="45">
      <c r="A45" s="5" t="inlineStr">
        <is>
          <t>UCTT</t>
        </is>
      </c>
      <c r="B45" s="5">
        <f>'總表'!B33</f>
        <v/>
      </c>
      <c r="C45" s="41">
        <f>'總表'!K33</f>
        <v/>
      </c>
      <c r="D45" s="8" t="n">
        <v>81.06</v>
      </c>
      <c r="E45" s="53">
        <f>D45/C45-1</f>
        <v/>
      </c>
    </row>
    <row r="46">
      <c r="A46" s="5" t="inlineStr">
        <is>
          <t>NTAP</t>
        </is>
      </c>
      <c r="B46" s="5">
        <f>'總表'!B34</f>
        <v/>
      </c>
      <c r="C46" s="41">
        <f>'總表'!K34</f>
        <v/>
      </c>
      <c r="D46" s="8" t="n">
        <v>210.08</v>
      </c>
      <c r="E46" s="53">
        <f>D46/C46-1</f>
        <v/>
      </c>
    </row>
    <row r="47">
      <c r="A47" s="5" t="inlineStr">
        <is>
          <t>OSPN</t>
        </is>
      </c>
      <c r="B47" s="5">
        <f>'總表'!B35</f>
        <v/>
      </c>
      <c r="C47" s="41">
        <f>'總表'!K35</f>
        <v/>
      </c>
      <c r="D47" s="8" t="n">
        <v>17.91</v>
      </c>
      <c r="E47" s="53">
        <f>D47/C47-1</f>
        <v/>
      </c>
    </row>
    <row r="48">
      <c r="A48" s="5" t="inlineStr">
        <is>
          <t>TWIN</t>
        </is>
      </c>
      <c r="B48" s="5">
        <f>'總表'!B36</f>
        <v/>
      </c>
      <c r="C48" s="41">
        <f>'總表'!K36</f>
        <v/>
      </c>
      <c r="D48" s="8" t="n">
        <v>26.2</v>
      </c>
      <c r="E48" s="53">
        <f>D48/C48-1</f>
        <v/>
      </c>
    </row>
    <row r="49">
      <c r="A49" s="5" t="inlineStr">
        <is>
          <t>CHPT</t>
        </is>
      </c>
      <c r="B49" s="5">
        <f>'總表'!B37</f>
        <v/>
      </c>
      <c r="C49" s="41">
        <f>'總表'!K37</f>
        <v/>
      </c>
      <c r="D49" s="8" t="n">
        <v>10.08</v>
      </c>
      <c r="E49" s="53">
        <f>D49/C49-1</f>
        <v/>
      </c>
    </row>
    <row r="50">
      <c r="A50" s="5" t="inlineStr">
        <is>
          <t>VRNS</t>
        </is>
      </c>
      <c r="B50" s="5">
        <f>'總表'!B38</f>
        <v/>
      </c>
      <c r="C50" s="41">
        <f>'總表'!K38</f>
        <v/>
      </c>
      <c r="D50" s="8" t="n">
        <v>47.45</v>
      </c>
      <c r="E50" s="53">
        <f>D50/C50-1</f>
        <v/>
      </c>
    </row>
    <row r="51">
      <c r="A51" s="5" t="inlineStr">
        <is>
          <t>INFU</t>
        </is>
      </c>
      <c r="B51" s="5">
        <f>'總表'!B39</f>
        <v/>
      </c>
      <c r="C51" s="41">
        <f>'總表'!K39</f>
        <v/>
      </c>
      <c r="D51" s="8" t="n">
        <v>12.89</v>
      </c>
      <c r="E51" s="53">
        <f>D51/C51-1</f>
        <v/>
      </c>
    </row>
    <row r="52">
      <c r="A52" s="5" t="inlineStr">
        <is>
          <t>HPE</t>
        </is>
      </c>
      <c r="B52" s="5">
        <f>'總表'!B40</f>
        <v/>
      </c>
      <c r="C52" s="41">
        <f>'總表'!K40</f>
        <v/>
      </c>
      <c r="D52" s="8" t="n">
        <v>63.89</v>
      </c>
      <c r="E52" s="53">
        <f>D52/C52-1</f>
        <v/>
      </c>
    </row>
    <row r="53">
      <c r="A53" s="5" t="inlineStr">
        <is>
          <t>NGVC</t>
        </is>
      </c>
      <c r="B53" s="5">
        <f>'總表'!B41</f>
        <v/>
      </c>
      <c r="C53" s="41">
        <f>'總表'!K41</f>
        <v/>
      </c>
      <c r="D53" s="8" t="n">
        <v>30.46</v>
      </c>
      <c r="E53" s="53">
        <f>D53/C53-1</f>
        <v/>
      </c>
    </row>
    <row r="54">
      <c r="A54" s="5" t="inlineStr">
        <is>
          <t>PI</t>
        </is>
      </c>
      <c r="B54" s="5">
        <f>'總表'!B42</f>
        <v/>
      </c>
      <c r="C54" s="41">
        <f>'總表'!K42</f>
        <v/>
      </c>
      <c r="D54" s="8" t="n">
        <v>179.29</v>
      </c>
      <c r="E54" s="53">
        <f>D54/C54-1</f>
        <v/>
      </c>
    </row>
    <row r="55">
      <c r="A55" s="5" t="inlineStr">
        <is>
          <t>CRWD</t>
        </is>
      </c>
      <c r="B55" s="5">
        <f>'總表'!B43</f>
        <v/>
      </c>
      <c r="C55" s="41">
        <f>'總表'!K43</f>
        <v/>
      </c>
      <c r="D55" s="8" t="n">
        <v>264.75</v>
      </c>
      <c r="E55" s="53">
        <f>D55/C55-1</f>
        <v/>
      </c>
    </row>
    <row r="56">
      <c r="A56" s="5" t="inlineStr">
        <is>
          <t>NVDA</t>
        </is>
      </c>
      <c r="B56" s="5">
        <f>'總表'!B44</f>
        <v/>
      </c>
      <c r="C56" s="41">
        <f>'總表'!K44</f>
        <v/>
      </c>
      <c r="D56" s="8" t="n">
        <v>228.38</v>
      </c>
      <c r="E56" s="53">
        <f>D56/C56-1</f>
        <v/>
      </c>
    </row>
    <row r="57">
      <c r="A57" s="5" t="inlineStr">
        <is>
          <t>FTRE</t>
        </is>
      </c>
      <c r="B57" s="5">
        <f>'總表'!B45</f>
        <v/>
      </c>
      <c r="C57" s="41">
        <f>'總表'!K45</f>
        <v/>
      </c>
      <c r="D57" s="8" t="n">
        <v>19.95</v>
      </c>
      <c r="E57" s="53">
        <f>D57/C57-1</f>
        <v/>
      </c>
    </row>
    <row r="58">
      <c r="A58" s="5" t="inlineStr">
        <is>
          <t>LQDT</t>
        </is>
      </c>
      <c r="B58" s="5">
        <f>'總表'!B46</f>
        <v/>
      </c>
      <c r="C58" s="41">
        <f>'總表'!K46</f>
        <v/>
      </c>
      <c r="D58" s="8" t="n">
        <v>42.83</v>
      </c>
      <c r="E58" s="53">
        <f>D58/C58-1</f>
        <v/>
      </c>
    </row>
    <row r="59">
      <c r="A59" s="5" t="inlineStr">
        <is>
          <t>AMN</t>
        </is>
      </c>
      <c r="B59" s="5">
        <f>'總表'!B47</f>
        <v/>
      </c>
      <c r="C59" s="41">
        <f>'總表'!K47</f>
        <v/>
      </c>
      <c r="D59" s="8" t="n">
        <v>35.87</v>
      </c>
      <c r="E59" s="53">
        <f>D59/C59-1</f>
        <v/>
      </c>
    </row>
    <row r="60">
      <c r="A60" s="5" t="inlineStr">
        <is>
          <t>CNXN</t>
        </is>
      </c>
      <c r="B60" s="5">
        <f>'總表'!B48</f>
        <v/>
      </c>
      <c r="C60" s="41">
        <f>'總表'!K48</f>
        <v/>
      </c>
      <c r="D60" s="8" t="n">
        <v>90.23</v>
      </c>
      <c r="E60" s="53">
        <f>D60/C60-1</f>
        <v/>
      </c>
    </row>
    <row r="61">
      <c r="A61" s="5" t="inlineStr">
        <is>
          <t>GNE</t>
        </is>
      </c>
      <c r="B61" s="5">
        <f>'總表'!B49</f>
        <v/>
      </c>
      <c r="C61" s="41">
        <f>'總表'!K49</f>
        <v/>
      </c>
      <c r="D61" s="8" t="n">
        <v>15.98</v>
      </c>
      <c r="E61" s="53">
        <f>D61/C61-1</f>
        <v/>
      </c>
    </row>
    <row r="62">
      <c r="A62" s="5" t="inlineStr">
        <is>
          <t>CRUS</t>
        </is>
      </c>
      <c r="B62" s="5">
        <f>'總表'!B50</f>
        <v/>
      </c>
      <c r="C62" s="41">
        <f>'總表'!K50</f>
        <v/>
      </c>
      <c r="D62" s="8" t="n">
        <v>119.97</v>
      </c>
      <c r="E62" s="53">
        <f>D62/C62-1</f>
        <v/>
      </c>
    </row>
    <row r="63">
      <c r="A63" s="5" t="inlineStr">
        <is>
          <t>MAZE</t>
        </is>
      </c>
      <c r="B63" s="5">
        <f>'總表'!B51</f>
        <v/>
      </c>
      <c r="C63" s="41">
        <f>'總表'!K51</f>
        <v/>
      </c>
      <c r="D63" s="8" t="n">
        <v>27.18</v>
      </c>
      <c r="E63" s="53">
        <f>D63/C63-1</f>
        <v/>
      </c>
    </row>
    <row r="64">
      <c r="A64" s="5" t="inlineStr">
        <is>
          <t>KODK</t>
        </is>
      </c>
      <c r="B64" s="5">
        <f>'總表'!B52</f>
        <v/>
      </c>
      <c r="C64" s="41">
        <f>'總表'!K52</f>
        <v/>
      </c>
      <c r="D64" s="8" t="n">
        <v>9.56</v>
      </c>
      <c r="E64" s="53">
        <f>D64/C64-1</f>
        <v/>
      </c>
    </row>
    <row r="65">
      <c r="A65" s="5" t="inlineStr">
        <is>
          <t>NEU</t>
        </is>
      </c>
      <c r="B65" s="5">
        <f>'總表'!B53</f>
        <v/>
      </c>
      <c r="C65" s="41">
        <f>'總表'!K53</f>
        <v/>
      </c>
      <c r="D65" s="8" t="n">
        <v>897.52</v>
      </c>
      <c r="E65" s="53">
        <f>D65/C65-1</f>
        <v/>
      </c>
    </row>
    <row r="66">
      <c r="A66" s="5" t="inlineStr">
        <is>
          <t>EXEL</t>
        </is>
      </c>
      <c r="B66" s="5">
        <f>'總表'!B54</f>
        <v/>
      </c>
      <c r="C66" s="41">
        <f>'總表'!K54</f>
        <v/>
      </c>
      <c r="D66" s="8" t="n">
        <v>58.41</v>
      </c>
      <c r="E66" s="53">
        <f>D66/C66-1</f>
        <v/>
      </c>
    </row>
    <row r="67">
      <c r="A67" s="5" t="inlineStr">
        <is>
          <t>AZTA</t>
        </is>
      </c>
      <c r="B67" s="5">
        <f>'總表'!B55</f>
        <v/>
      </c>
      <c r="C67" s="41">
        <f>'總表'!K55</f>
        <v/>
      </c>
      <c r="D67" s="8" t="n">
        <v>34.89</v>
      </c>
      <c r="E67" s="53">
        <f>D67/C67-1</f>
        <v/>
      </c>
    </row>
    <row r="68">
      <c r="A68" s="5" t="inlineStr">
        <is>
          <t>SWBI</t>
        </is>
      </c>
      <c r="B68" s="5">
        <f>'總表'!B56</f>
        <v/>
      </c>
      <c r="C68" s="41">
        <f>'總表'!K56</f>
        <v/>
      </c>
      <c r="D68" s="8" t="n">
        <v>14.06</v>
      </c>
      <c r="E68" s="53">
        <f>D68/C68-1</f>
        <v/>
      </c>
    </row>
    <row r="69">
      <c r="A69" s="5" t="inlineStr">
        <is>
          <t>CSTL</t>
        </is>
      </c>
      <c r="B69" s="5">
        <f>'總表'!B57</f>
        <v/>
      </c>
      <c r="C69" s="41">
        <f>'總表'!K57</f>
        <v/>
      </c>
      <c r="D69" s="8" t="n">
        <v>35.53</v>
      </c>
      <c r="E69" s="53">
        <f>D69/C69-1</f>
        <v/>
      </c>
    </row>
    <row r="70">
      <c r="A70" s="5" t="inlineStr">
        <is>
          <t>PBYI</t>
        </is>
      </c>
      <c r="B70" s="5">
        <f>'總表'!B58</f>
        <v/>
      </c>
      <c r="C70" s="41">
        <f>'總表'!K58</f>
        <v/>
      </c>
      <c r="D70" s="8" t="n">
        <v>9.93</v>
      </c>
      <c r="E70" s="53">
        <f>D70/C70-1</f>
        <v/>
      </c>
    </row>
    <row r="71">
      <c r="A71" s="5" t="inlineStr">
        <is>
          <t>HWKN</t>
        </is>
      </c>
      <c r="B71" s="5">
        <f>'總表'!B59</f>
        <v/>
      </c>
      <c r="C71" s="41">
        <f>'總表'!K59</f>
        <v/>
      </c>
      <c r="D71" s="8" t="n">
        <v>126</v>
      </c>
      <c r="E71" s="53">
        <f>D71/C71-1</f>
        <v/>
      </c>
    </row>
    <row r="72">
      <c r="A72" s="5" t="inlineStr">
        <is>
          <t>S</t>
        </is>
      </c>
      <c r="B72" s="5">
        <f>'總表'!B60</f>
        <v/>
      </c>
      <c r="C72" s="41">
        <f>'總表'!K60</f>
        <v/>
      </c>
      <c r="D72" s="8" t="n">
        <v>23.76</v>
      </c>
      <c r="E72" s="53">
        <f>D72/C72-1</f>
        <v/>
      </c>
    </row>
    <row r="73">
      <c r="A73" s="5" t="inlineStr">
        <is>
          <t>BRKR</t>
        </is>
      </c>
      <c r="B73" s="5">
        <f>'總表'!B61</f>
        <v/>
      </c>
      <c r="C73" s="41">
        <f>'總表'!K61</f>
        <v/>
      </c>
      <c r="D73" s="8" t="n">
        <v>64.75</v>
      </c>
      <c r="E73" s="53">
        <f>D73/C73-1</f>
        <v/>
      </c>
    </row>
    <row r="74">
      <c r="A74" s="5" t="inlineStr">
        <is>
          <t>BTGO</t>
        </is>
      </c>
      <c r="B74" s="5">
        <f>'總表'!B62</f>
        <v/>
      </c>
      <c r="C74" s="41">
        <f>'總表'!K62</f>
        <v/>
      </c>
      <c r="D74" s="8" t="n">
        <v>7.4</v>
      </c>
      <c r="E74" s="53">
        <f>D74/C74-1</f>
        <v/>
      </c>
    </row>
    <row r="75">
      <c r="A75" s="5" t="inlineStr">
        <is>
          <t>GFS</t>
        </is>
      </c>
      <c r="B75" s="5">
        <f>'總表'!B63</f>
        <v/>
      </c>
      <c r="C75" s="41">
        <f>'總表'!K63</f>
        <v/>
      </c>
      <c r="D75" s="8" t="n">
        <v>47.92</v>
      </c>
      <c r="E75" s="53">
        <f>D75/C75-1</f>
        <v/>
      </c>
    </row>
    <row r="76">
      <c r="A76" s="5" t="inlineStr">
        <is>
          <t>EGBN</t>
        </is>
      </c>
      <c r="B76" s="5">
        <f>'總表'!B64</f>
        <v/>
      </c>
      <c r="C76" s="41">
        <f>'總表'!K64</f>
        <v/>
      </c>
      <c r="D76" s="8" t="n">
        <v>27.79</v>
      </c>
      <c r="E76" s="53">
        <f>D76/C76-1</f>
        <v/>
      </c>
    </row>
    <row r="77">
      <c r="A77" s="5" t="inlineStr">
        <is>
          <t>DJCO</t>
        </is>
      </c>
      <c r="B77" s="5">
        <f>'總表'!B65</f>
        <v/>
      </c>
      <c r="C77" s="41">
        <f>'總表'!K65</f>
        <v/>
      </c>
      <c r="D77" s="8" t="n">
        <v>646.22</v>
      </c>
      <c r="E77" s="53">
        <f>D77/C77-1</f>
        <v/>
      </c>
    </row>
    <row r="78">
      <c r="A78" s="5" t="inlineStr">
        <is>
          <t>XMTR</t>
        </is>
      </c>
      <c r="B78" s="5">
        <f>'總表'!B66</f>
        <v/>
      </c>
      <c r="C78" s="41">
        <f>'總表'!K66</f>
        <v/>
      </c>
      <c r="D78" s="8" t="n">
        <v>102.85</v>
      </c>
      <c r="E78" s="53">
        <f>D78/C78-1</f>
        <v/>
      </c>
    </row>
    <row r="79">
      <c r="A79" s="5" t="inlineStr">
        <is>
          <t>QLYS</t>
        </is>
      </c>
      <c r="B79" s="5">
        <f>'總表'!B67</f>
        <v/>
      </c>
      <c r="C79" s="41">
        <f>'總表'!K67</f>
        <v/>
      </c>
      <c r="D79" s="8" t="n">
        <v>187.2</v>
      </c>
      <c r="E79" s="53">
        <f>D79/C79-1</f>
        <v/>
      </c>
    </row>
    <row r="80">
      <c r="A80" s="5" t="inlineStr">
        <is>
          <t>BWIN</t>
        </is>
      </c>
      <c r="B80" s="5">
        <f>'總表'!B68</f>
        <v/>
      </c>
      <c r="C80" s="41">
        <f>'總表'!K68</f>
        <v/>
      </c>
      <c r="D80" s="8" t="n">
        <v>31.79</v>
      </c>
      <c r="E80" s="53">
        <f>D80/C80-1</f>
        <v/>
      </c>
    </row>
    <row r="81">
      <c r="A81" s="5" t="inlineStr">
        <is>
          <t>CAT</t>
        </is>
      </c>
      <c r="B81" s="5">
        <f>'總表'!B69</f>
        <v/>
      </c>
      <c r="C81" s="41">
        <f>'總表'!K69</f>
        <v/>
      </c>
      <c r="D81" s="8" t="n">
        <v>810.79</v>
      </c>
      <c r="E81" s="53">
        <f>D81/C81-1</f>
        <v/>
      </c>
    </row>
    <row r="82">
      <c r="A82" s="5" t="inlineStr">
        <is>
          <t>CRVL</t>
        </is>
      </c>
      <c r="B82" s="5">
        <f>'總表'!B70</f>
        <v/>
      </c>
      <c r="C82" s="41">
        <f>'總表'!K70</f>
        <v/>
      </c>
      <c r="D82" s="8" t="n">
        <v>74.55</v>
      </c>
      <c r="E82" s="53">
        <f>D82/C82-1</f>
        <v/>
      </c>
    </row>
    <row r="83">
      <c r="A83" s="5" t="inlineStr">
        <is>
          <t>UTMD</t>
        </is>
      </c>
      <c r="B83" s="5">
        <f>'總表'!B71</f>
        <v/>
      </c>
      <c r="C83" s="41">
        <f>'總表'!K71</f>
        <v/>
      </c>
      <c r="D83" s="8" t="n">
        <v>74.05</v>
      </c>
      <c r="E83" s="53">
        <f>D83/C83-1</f>
        <v/>
      </c>
    </row>
    <row r="84">
      <c r="A84" s="5" t="inlineStr">
        <is>
          <t>WAT</t>
        </is>
      </c>
      <c r="B84" s="5">
        <f>'總表'!B72</f>
        <v/>
      </c>
      <c r="C84" s="41">
        <f>'總表'!K72</f>
        <v/>
      </c>
      <c r="D84" s="8" t="n">
        <v>439.39</v>
      </c>
      <c r="E84" s="53">
        <f>D84/C84-1</f>
        <v/>
      </c>
    </row>
    <row r="85">
      <c r="A85" s="5" t="inlineStr">
        <is>
          <t>PWR</t>
        </is>
      </c>
      <c r="B85" s="5">
        <f>'總表'!B73</f>
        <v/>
      </c>
      <c r="C85" s="41">
        <f>'總表'!K73</f>
        <v/>
      </c>
      <c r="D85" s="8" t="n">
        <v>642.51</v>
      </c>
      <c r="E85" s="53">
        <f>D85/C85-1</f>
        <v/>
      </c>
    </row>
    <row r="86">
      <c r="A86" s="5" t="inlineStr">
        <is>
          <t>M</t>
        </is>
      </c>
      <c r="B86" s="5">
        <f>'總表'!B74</f>
        <v/>
      </c>
      <c r="C86" s="41">
        <f>'總表'!K74</f>
        <v/>
      </c>
      <c r="D86" s="8" t="n">
        <v>22.77</v>
      </c>
      <c r="E86" s="53">
        <f>D86/C86-1</f>
        <v/>
      </c>
    </row>
    <row r="87">
      <c r="A87" s="5" t="inlineStr">
        <is>
          <t>ITGR</t>
        </is>
      </c>
      <c r="B87" s="5">
        <f>'總表'!B75</f>
        <v/>
      </c>
      <c r="C87" s="41">
        <f>'總表'!K75</f>
        <v/>
      </c>
      <c r="D87" s="8" t="n">
        <v>126.35</v>
      </c>
      <c r="E87" s="53">
        <f>D87/C87-1</f>
        <v/>
      </c>
    </row>
    <row r="88">
      <c r="A88" s="5" t="inlineStr">
        <is>
          <t>GSAT</t>
        </is>
      </c>
      <c r="B88" s="5">
        <f>'總表'!B76</f>
        <v/>
      </c>
      <c r="C88" s="41">
        <f>'總表'!K76</f>
        <v/>
      </c>
      <c r="D88" s="8" t="n">
        <v>82.89</v>
      </c>
      <c r="E88" s="53">
        <f>D88/C88-1</f>
        <v/>
      </c>
    </row>
    <row r="89">
      <c r="A89" s="5" t="inlineStr">
        <is>
          <t>TH</t>
        </is>
      </c>
      <c r="B89" s="5">
        <f>'總表'!B77</f>
        <v/>
      </c>
      <c r="C89" s="41">
        <f>'總表'!K77</f>
        <v/>
      </c>
      <c r="D89" s="8" t="n">
        <v>19.72</v>
      </c>
      <c r="E89" s="53">
        <f>D89/C89-1</f>
        <v/>
      </c>
    </row>
    <row r="90">
      <c r="A90" s="5" t="inlineStr">
        <is>
          <t>CLDT</t>
        </is>
      </c>
      <c r="B90" s="5">
        <f>'總表'!B78</f>
        <v/>
      </c>
      <c r="C90" s="41">
        <f>'總表'!K78</f>
        <v/>
      </c>
      <c r="D90" s="8" t="n">
        <v>13.38</v>
      </c>
      <c r="E90" s="53">
        <f>D90/C90-1</f>
        <v/>
      </c>
    </row>
    <row r="91">
      <c r="A91" s="5" t="inlineStr">
        <is>
          <t>AMBA</t>
        </is>
      </c>
      <c r="B91" s="5">
        <f>'總表'!B79</f>
        <v/>
      </c>
      <c r="C91" s="41">
        <f>'總表'!K79</f>
        <v/>
      </c>
      <c r="D91" s="8" t="n">
        <v>69.51000000000001</v>
      </c>
      <c r="E91" s="53">
        <f>D91/C91-1</f>
        <v/>
      </c>
    </row>
    <row r="92">
      <c r="A92" s="5" t="inlineStr">
        <is>
          <t>SMTI</t>
        </is>
      </c>
      <c r="B92" s="5">
        <f>'總表'!B80</f>
        <v/>
      </c>
      <c r="C92" s="41">
        <f>'總表'!K80</f>
        <v/>
      </c>
      <c r="D92" s="8" t="n">
        <v>35.14</v>
      </c>
      <c r="E92" s="53">
        <f>D92/C92-1</f>
        <v/>
      </c>
    </row>
    <row r="93">
      <c r="A93" s="5" t="inlineStr">
        <is>
          <t>FAST</t>
        </is>
      </c>
      <c r="B93" s="5">
        <f>'總表'!B81</f>
        <v/>
      </c>
      <c r="C93" s="41">
        <f>'總表'!K81</f>
        <v/>
      </c>
      <c r="D93" s="8" t="n">
        <v>49.53</v>
      </c>
      <c r="E93" s="53">
        <f>D93/C93-1</f>
        <v/>
      </c>
    </row>
    <row r="94">
      <c r="A94" s="5" t="inlineStr">
        <is>
          <t>BPRN</t>
        </is>
      </c>
      <c r="B94" s="5">
        <f>'總表'!B82</f>
        <v/>
      </c>
      <c r="C94" s="41">
        <f>'總表'!K82</f>
        <v/>
      </c>
      <c r="D94" s="8" t="n">
        <v>42.92</v>
      </c>
      <c r="E94" s="53">
        <f>D94/C94-1</f>
        <v/>
      </c>
    </row>
    <row r="95">
      <c r="A95" s="5" t="inlineStr">
        <is>
          <t>PKOH</t>
        </is>
      </c>
      <c r="B95" s="5">
        <f>'總表'!B83</f>
        <v/>
      </c>
      <c r="C95" s="41">
        <f>'總表'!K83</f>
        <v/>
      </c>
      <c r="D95" s="8" t="n">
        <v>46.2</v>
      </c>
      <c r="E95" s="53">
        <f>D95/C95-1</f>
        <v/>
      </c>
    </row>
    <row r="96">
      <c r="A96" s="5" t="inlineStr">
        <is>
          <t>SLAB</t>
        </is>
      </c>
      <c r="B96" s="5">
        <f>'總表'!B84</f>
        <v/>
      </c>
      <c r="C96" s="41">
        <f>'總表'!K84</f>
        <v/>
      </c>
      <c r="D96" s="8" t="n">
        <v>221.58</v>
      </c>
      <c r="E96" s="53">
        <f>D96/C96-1</f>
        <v/>
      </c>
    </row>
    <row r="97">
      <c r="A97" s="5" t="inlineStr">
        <is>
          <t>ETN</t>
        </is>
      </c>
      <c r="B97" s="5">
        <f>'總表'!B85</f>
        <v/>
      </c>
      <c r="C97" s="41">
        <f>'總表'!K85</f>
        <v/>
      </c>
      <c r="D97" s="8" t="n">
        <v>429.71</v>
      </c>
      <c r="E97" s="53">
        <f>D97/C97-1</f>
        <v/>
      </c>
    </row>
    <row r="98">
      <c r="A98" s="5" t="inlineStr">
        <is>
          <t>AIP</t>
        </is>
      </c>
      <c r="B98" s="5">
        <f>'總表'!B86</f>
        <v/>
      </c>
      <c r="C98" s="41">
        <f>'總表'!K86</f>
        <v/>
      </c>
      <c r="D98" s="8" t="n">
        <v>23.64</v>
      </c>
      <c r="E98" s="53">
        <f>D98/C98-1</f>
        <v/>
      </c>
    </row>
    <row r="99">
      <c r="A99" s="5" t="inlineStr">
        <is>
          <t>FSBW</t>
        </is>
      </c>
      <c r="B99" s="5">
        <f>'總表'!B87</f>
        <v/>
      </c>
      <c r="C99" s="41">
        <f>'總表'!K87</f>
        <v/>
      </c>
      <c r="D99" s="8" t="n">
        <v>43.29</v>
      </c>
      <c r="E99" s="53">
        <f>D99/C99-1</f>
        <v/>
      </c>
    </row>
    <row r="100">
      <c r="A100" s="5" t="inlineStr">
        <is>
          <t>AMG</t>
        </is>
      </c>
      <c r="B100" s="5">
        <f>'總表'!B88</f>
        <v/>
      </c>
      <c r="C100" s="41">
        <f>'總表'!K88</f>
        <v/>
      </c>
      <c r="D100" s="8" t="n">
        <v>365.61</v>
      </c>
      <c r="E100" s="53">
        <f>D100/C100-1</f>
        <v/>
      </c>
    </row>
    <row r="101">
      <c r="A101" s="5" t="inlineStr">
        <is>
          <t>FNRN</t>
        </is>
      </c>
      <c r="B101" s="5">
        <f>'總表'!B89</f>
        <v/>
      </c>
      <c r="C101" s="41">
        <f>'總表'!K89</f>
        <v/>
      </c>
      <c r="D101" s="8" t="n">
        <v>17.28</v>
      </c>
      <c r="E101" s="53">
        <f>D101/C101-1</f>
        <v/>
      </c>
    </row>
    <row r="102">
      <c r="A102" s="5" t="inlineStr">
        <is>
          <t>WAY</t>
        </is>
      </c>
      <c r="B102" s="5">
        <f>'總表'!B90</f>
        <v/>
      </c>
      <c r="C102" s="41">
        <f>'總表'!K90</f>
        <v/>
      </c>
      <c r="D102" s="8" t="n">
        <v>25.34</v>
      </c>
      <c r="E102" s="53">
        <f>D102/C102-1</f>
        <v/>
      </c>
    </row>
    <row r="103">
      <c r="A103" s="5" t="inlineStr">
        <is>
          <t>TXNM</t>
        </is>
      </c>
      <c r="B103" s="5">
        <f>'總表'!B91</f>
        <v/>
      </c>
      <c r="C103" s="41">
        <f>'總表'!K91</f>
        <v/>
      </c>
      <c r="D103" s="8" t="n">
        <v>58.32</v>
      </c>
      <c r="E103" s="53">
        <f>D103/C103-1</f>
        <v/>
      </c>
    </row>
    <row r="104">
      <c r="A104" s="5" t="inlineStr">
        <is>
          <t>VSTS</t>
        </is>
      </c>
      <c r="B104" s="5">
        <f>'總表'!B92</f>
        <v/>
      </c>
      <c r="C104" s="41">
        <f>'總表'!K92</f>
        <v/>
      </c>
      <c r="D104" s="8" t="n">
        <v>13.36</v>
      </c>
      <c r="E104" s="53">
        <f>D104/C104-1</f>
        <v/>
      </c>
    </row>
    <row r="105">
      <c r="A105" s="5" t="inlineStr">
        <is>
          <t>MKTX</t>
        </is>
      </c>
      <c r="B105" s="5">
        <f>'總表'!B93</f>
        <v/>
      </c>
      <c r="C105" s="41">
        <f>'總表'!K93</f>
        <v/>
      </c>
      <c r="D105" s="8" t="n">
        <v>163.92</v>
      </c>
      <c r="E105" s="53">
        <f>D105/C105-1</f>
        <v/>
      </c>
    </row>
    <row r="106">
      <c r="A106" s="5" t="inlineStr">
        <is>
          <t>PSX</t>
        </is>
      </c>
      <c r="B106" s="5">
        <f>'總表'!B94</f>
        <v/>
      </c>
      <c r="C106" s="41">
        <f>'總表'!K94</f>
        <v/>
      </c>
      <c r="D106" s="8" t="n">
        <v>255.31</v>
      </c>
      <c r="E106" s="53">
        <f>D106/C106-1</f>
        <v/>
      </c>
    </row>
    <row r="107">
      <c r="A107" s="5" t="inlineStr">
        <is>
          <t>ATKR</t>
        </is>
      </c>
      <c r="B107" s="5">
        <f>'總表'!B95</f>
        <v/>
      </c>
      <c r="C107" s="41">
        <f>'總表'!K95</f>
        <v/>
      </c>
      <c r="D107" s="8" t="n">
        <v>94.75</v>
      </c>
      <c r="E107" s="53">
        <f>D107/C107-1</f>
        <v/>
      </c>
    </row>
    <row r="108">
      <c r="A108" s="5" t="inlineStr">
        <is>
          <t>COLM</t>
        </is>
      </c>
      <c r="B108" s="5">
        <f>'總表'!B96</f>
        <v/>
      </c>
      <c r="C108" s="41">
        <f>'總表'!K96</f>
        <v/>
      </c>
      <c r="D108" s="8" t="n">
        <v>57.41</v>
      </c>
      <c r="E108" s="53">
        <f>D108/C108-1</f>
        <v/>
      </c>
    </row>
    <row r="109">
      <c r="A109" s="5" t="inlineStr">
        <is>
          <t>BIIB</t>
        </is>
      </c>
      <c r="B109" s="5">
        <f>'總表'!B97</f>
        <v/>
      </c>
      <c r="C109" s="41">
        <f>'總表'!K97</f>
        <v/>
      </c>
      <c r="D109" s="8" t="n">
        <v>225.88</v>
      </c>
      <c r="E109" s="53">
        <f>D109/C109-1</f>
        <v/>
      </c>
    </row>
    <row r="110">
      <c r="A110" s="5" t="inlineStr">
        <is>
          <t>SAFT</t>
        </is>
      </c>
      <c r="B110" s="5">
        <f>'總表'!B98</f>
        <v/>
      </c>
      <c r="C110" s="41">
        <f>'總表'!K98</f>
        <v/>
      </c>
      <c r="D110" s="8" t="n">
        <v>103.58</v>
      </c>
      <c r="E110" s="53">
        <f>D110/C110-1</f>
        <v/>
      </c>
    </row>
    <row r="111">
      <c r="A111" s="5" t="inlineStr">
        <is>
          <t>TRNS</t>
        </is>
      </c>
      <c r="B111" s="5">
        <f>'總表'!B99</f>
        <v/>
      </c>
      <c r="C111" s="41">
        <f>'總表'!K99</f>
        <v/>
      </c>
      <c r="D111" s="8" t="n">
        <v>88.42</v>
      </c>
      <c r="E111" s="53">
        <f>D111/C111-1</f>
        <v/>
      </c>
    </row>
    <row r="112">
      <c r="A112" s="5" t="inlineStr">
        <is>
          <t>APXT</t>
        </is>
      </c>
      <c r="B112" s="5">
        <f>'總表'!B100</f>
        <v/>
      </c>
      <c r="C112" s="41">
        <f>'總表'!K100</f>
        <v/>
      </c>
      <c r="D112" s="8" t="n">
        <v>10.13</v>
      </c>
      <c r="E112" s="53">
        <f>D112/C112-1</f>
        <v/>
      </c>
    </row>
    <row r="113">
      <c r="A113" s="5" t="inlineStr">
        <is>
          <t>OPY</t>
        </is>
      </c>
      <c r="B113" s="5">
        <f>'總表'!B101</f>
        <v/>
      </c>
      <c r="C113" s="41">
        <f>'總表'!K101</f>
        <v/>
      </c>
      <c r="D113" s="8" t="n">
        <v>117.96</v>
      </c>
      <c r="E113" s="53">
        <f>D113/C113-1</f>
        <v/>
      </c>
    </row>
    <row r="114">
      <c r="A114" s="5" t="inlineStr">
        <is>
          <t>FAC</t>
        </is>
      </c>
      <c r="B114" s="5">
        <f>'總表'!B102</f>
        <v/>
      </c>
      <c r="C114" s="41">
        <f>'總表'!K102</f>
        <v/>
      </c>
      <c r="D114" s="8" t="n">
        <v>6.34</v>
      </c>
      <c r="E114" s="53">
        <f>D114/C114-1</f>
        <v/>
      </c>
    </row>
    <row r="115">
      <c r="A115" s="5" t="inlineStr">
        <is>
          <t>META</t>
        </is>
      </c>
      <c r="B115" s="5">
        <f>'總表'!B103</f>
        <v/>
      </c>
      <c r="C115" s="41">
        <f>'總表'!K103</f>
        <v/>
      </c>
      <c r="D115" s="8" t="n">
        <v>725.1799999999999</v>
      </c>
      <c r="E115" s="53">
        <f>D115/C115-1</f>
        <v/>
      </c>
    </row>
    <row r="116">
      <c r="A116" s="5" t="inlineStr">
        <is>
          <t>PSIX</t>
        </is>
      </c>
      <c r="B116" s="5">
        <f>'總表'!B104</f>
        <v/>
      </c>
      <c r="C116" s="41">
        <f>'總表'!K104</f>
        <v/>
      </c>
      <c r="D116" s="8" t="n">
        <v>45.97</v>
      </c>
      <c r="E116" s="53">
        <f>D116/C116-1</f>
        <v/>
      </c>
    </row>
    <row r="117">
      <c r="A117" s="5" t="inlineStr">
        <is>
          <t>SNDK</t>
        </is>
      </c>
      <c r="B117" s="5">
        <f>'總表'!B105</f>
        <v/>
      </c>
      <c r="C117" s="41">
        <f>'總表'!K105</f>
        <v/>
      </c>
      <c r="D117" s="8" t="n">
        <v>1739.89</v>
      </c>
      <c r="E117" s="53">
        <f>D117/C117-1</f>
        <v/>
      </c>
    </row>
    <row r="118">
      <c r="A118" s="5" t="inlineStr">
        <is>
          <t>FEIM</t>
        </is>
      </c>
      <c r="B118" s="5">
        <f>'總表'!B106</f>
        <v/>
      </c>
      <c r="C118" s="41">
        <f>'總表'!K106</f>
        <v/>
      </c>
      <c r="D118" s="8" t="n">
        <v>84.53</v>
      </c>
      <c r="E118" s="53">
        <f>D118/C118-1</f>
        <v/>
      </c>
    </row>
    <row r="119">
      <c r="A119" s="5" t="inlineStr">
        <is>
          <t>LUV</t>
        </is>
      </c>
      <c r="B119" s="5">
        <f>'總表'!B107</f>
        <v/>
      </c>
      <c r="C119" s="41">
        <f>'總表'!K107</f>
        <v/>
      </c>
      <c r="D119" s="8" t="n">
        <v>41.64</v>
      </c>
      <c r="E119" s="53">
        <f>D119/C119-1</f>
        <v/>
      </c>
    </row>
    <row r="120">
      <c r="A120" s="5" t="inlineStr">
        <is>
          <t>GIC</t>
        </is>
      </c>
      <c r="B120" s="5">
        <f>'總表'!B108</f>
        <v/>
      </c>
      <c r="C120" s="41">
        <f>'總表'!K108</f>
        <v/>
      </c>
      <c r="D120" s="8" t="n">
        <v>41.94</v>
      </c>
      <c r="E120" s="53">
        <f>D120/C120-1</f>
        <v/>
      </c>
    </row>
    <row r="121">
      <c r="A121" s="5" t="inlineStr">
        <is>
          <t>WBTN</t>
        </is>
      </c>
      <c r="B121" s="5">
        <f>'總表'!B109</f>
        <v/>
      </c>
      <c r="C121" s="41">
        <f>'總表'!K109</f>
        <v/>
      </c>
      <c r="D121" s="8" t="n">
        <v>10.79</v>
      </c>
      <c r="E121" s="53">
        <f>D121/C121-1</f>
        <v/>
      </c>
    </row>
    <row r="122">
      <c r="A122" s="5" t="inlineStr">
        <is>
          <t>SMTC</t>
        </is>
      </c>
      <c r="B122" s="5">
        <f>'總表'!B110</f>
        <v/>
      </c>
      <c r="C122" s="41">
        <f>'總表'!K110</f>
        <v/>
      </c>
      <c r="D122" s="8" t="n">
        <v>178.35</v>
      </c>
      <c r="E122" s="53">
        <f>D122/C122-1</f>
        <v/>
      </c>
    </row>
    <row r="123">
      <c r="A123" s="5" t="inlineStr">
        <is>
          <t>FPI</t>
        </is>
      </c>
      <c r="B123" s="5">
        <f>'總表'!B111</f>
        <v/>
      </c>
      <c r="C123" s="41">
        <f>'總表'!K111</f>
        <v/>
      </c>
      <c r="D123" s="8" t="n">
        <v>11.35</v>
      </c>
      <c r="E123" s="53">
        <f>D123/C123-1</f>
        <v/>
      </c>
    </row>
    <row r="124">
      <c r="A124" s="5" t="inlineStr">
        <is>
          <t>GME</t>
        </is>
      </c>
      <c r="B124" s="5">
        <f>'總表'!B112</f>
        <v/>
      </c>
      <c r="C124" s="41">
        <f>'總表'!K112</f>
        <v/>
      </c>
      <c r="D124" s="8" t="n">
        <v>24.65</v>
      </c>
      <c r="E124" s="53">
        <f>D124/C124-1</f>
        <v/>
      </c>
    </row>
    <row r="125">
      <c r="A125" s="5" t="inlineStr">
        <is>
          <t>VSTM</t>
        </is>
      </c>
      <c r="B125" s="5">
        <f>'總表'!B113</f>
        <v/>
      </c>
      <c r="C125" s="41">
        <f>'總表'!K113</f>
        <v/>
      </c>
      <c r="D125" s="8" t="n">
        <v>8.050000000000001</v>
      </c>
      <c r="E125" s="53">
        <f>D125/C125-1</f>
        <v/>
      </c>
    </row>
    <row r="126">
      <c r="A126" s="5" t="inlineStr">
        <is>
          <t>HYLN</t>
        </is>
      </c>
      <c r="B126" s="5">
        <f>'總表'!B114</f>
        <v/>
      </c>
      <c r="C126" s="41">
        <f>'總表'!K114</f>
        <v/>
      </c>
      <c r="D126" s="8" t="n">
        <v>4.17</v>
      </c>
      <c r="E126" s="53">
        <f>D126/C126-1</f>
        <v/>
      </c>
    </row>
    <row r="127">
      <c r="A127" s="5" t="inlineStr">
        <is>
          <t>RVTY</t>
        </is>
      </c>
      <c r="B127" s="5">
        <f>'總表'!B115</f>
        <v/>
      </c>
      <c r="C127" s="41">
        <f>'總表'!K115</f>
        <v/>
      </c>
      <c r="D127" s="8" t="n">
        <v>152.89</v>
      </c>
      <c r="E127" s="53">
        <f>D127/C127-1</f>
        <v/>
      </c>
    </row>
    <row r="128">
      <c r="A128" s="5" t="inlineStr">
        <is>
          <t>AXTI</t>
        </is>
      </c>
      <c r="B128" s="5">
        <f>'總表'!B116</f>
        <v/>
      </c>
      <c r="C128" s="41">
        <f>'總表'!K116</f>
        <v/>
      </c>
      <c r="D128" s="8" t="n">
        <v>77.41</v>
      </c>
      <c r="E128" s="53">
        <f>D128/C128-1</f>
        <v/>
      </c>
    </row>
    <row r="129">
      <c r="A129" s="5" t="inlineStr">
        <is>
          <t>EMBC</t>
        </is>
      </c>
      <c r="B129" s="5">
        <f>'總表'!B117</f>
        <v/>
      </c>
      <c r="C129" s="41">
        <f>'總表'!K117</f>
        <v/>
      </c>
      <c r="D129" s="8" t="n">
        <v>5.66</v>
      </c>
      <c r="E129" s="53">
        <f>D129/C129-1</f>
        <v/>
      </c>
    </row>
    <row r="130">
      <c r="A130" s="5" t="inlineStr">
        <is>
          <t>FTK</t>
        </is>
      </c>
      <c r="B130" s="5">
        <f>'總表'!B118</f>
        <v/>
      </c>
      <c r="C130" s="41">
        <f>'總表'!K118</f>
        <v/>
      </c>
      <c r="D130" s="8" t="n">
        <v>29.32</v>
      </c>
      <c r="E130" s="53">
        <f>D130/C130-1</f>
        <v/>
      </c>
    </row>
    <row r="131">
      <c r="A131" s="5" t="inlineStr">
        <is>
          <t>ALNT</t>
        </is>
      </c>
      <c r="B131" s="5">
        <f>'總表'!B119</f>
        <v/>
      </c>
      <c r="C131" s="41">
        <f>'總表'!K119</f>
        <v/>
      </c>
      <c r="D131" s="8" t="n">
        <v>111.6</v>
      </c>
      <c r="E131" s="53">
        <f>D131/C131-1</f>
        <v/>
      </c>
    </row>
    <row r="132">
      <c r="A132" s="5" t="inlineStr">
        <is>
          <t>NTSK</t>
        </is>
      </c>
      <c r="B132" s="5">
        <f>'總表'!B120</f>
        <v/>
      </c>
      <c r="C132" s="41">
        <f>'總表'!K120</f>
        <v/>
      </c>
      <c r="D132" s="8" t="n">
        <v>17.44</v>
      </c>
      <c r="E132" s="53">
        <f>D132/C132-1</f>
        <v/>
      </c>
    </row>
    <row r="133">
      <c r="A133" s="5" t="inlineStr">
        <is>
          <t>SANM</t>
        </is>
      </c>
      <c r="B133" s="5">
        <f>'總表'!B121</f>
        <v/>
      </c>
      <c r="C133" s="41">
        <f>'總表'!K121</f>
        <v/>
      </c>
      <c r="D133" s="8" t="n">
        <v>214.91</v>
      </c>
      <c r="E133" s="53">
        <f>D133/C133-1</f>
        <v/>
      </c>
    </row>
    <row r="134">
      <c r="A134" s="5" t="inlineStr">
        <is>
          <t>DHX</t>
        </is>
      </c>
      <c r="B134" s="5">
        <f>'總表'!B122</f>
        <v/>
      </c>
      <c r="C134" s="41">
        <f>'總表'!K122</f>
        <v/>
      </c>
      <c r="D134" s="8" t="n">
        <v>4.7</v>
      </c>
      <c r="E134" s="53">
        <f>D134/C134-1</f>
        <v/>
      </c>
    </row>
    <row r="135">
      <c r="A135" s="5" t="inlineStr">
        <is>
          <t>SMCI</t>
        </is>
      </c>
      <c r="B135" s="5">
        <f>'總表'!B123</f>
        <v/>
      </c>
      <c r="C135" s="41">
        <f>'總表'!K123</f>
        <v/>
      </c>
      <c r="D135" s="8" t="n">
        <v>41.07</v>
      </c>
      <c r="E135" s="53">
        <f>D135/C135-1</f>
        <v/>
      </c>
    </row>
    <row r="136">
      <c r="A136" s="5" t="inlineStr">
        <is>
          <t>COHU</t>
        </is>
      </c>
      <c r="B136" s="5">
        <f>'總表'!B124</f>
        <v/>
      </c>
      <c r="C136" s="41">
        <f>'總表'!K124</f>
        <v/>
      </c>
      <c r="D136" s="8" t="n">
        <v>68.14</v>
      </c>
      <c r="E136" s="53">
        <f>D136/C136-1</f>
        <v/>
      </c>
    </row>
    <row r="137">
      <c r="A137" s="5" t="inlineStr">
        <is>
          <t>VLGEA</t>
        </is>
      </c>
      <c r="B137" s="5">
        <f>'總表'!B125</f>
        <v/>
      </c>
      <c r="C137" s="41">
        <f>'總表'!K125</f>
        <v/>
      </c>
      <c r="D137" s="8" t="n">
        <v>45.42</v>
      </c>
      <c r="E137" s="53">
        <f>D137/C137-1</f>
        <v/>
      </c>
    </row>
    <row r="138">
      <c r="A138" s="5" t="inlineStr">
        <is>
          <t>AEHR</t>
        </is>
      </c>
      <c r="B138" s="5">
        <f>'總表'!B126</f>
        <v/>
      </c>
      <c r="C138" s="41">
        <f>'總表'!K126</f>
        <v/>
      </c>
      <c r="D138" s="8" t="n">
        <v>99.62</v>
      </c>
      <c r="E138" s="53">
        <f>D138/C138-1</f>
        <v/>
      </c>
    </row>
    <row r="139">
      <c r="A139" s="5" t="inlineStr">
        <is>
          <t>SITM</t>
        </is>
      </c>
      <c r="B139" s="5">
        <f>'總表'!B127</f>
        <v/>
      </c>
      <c r="C139" s="41">
        <f>'總表'!K127</f>
        <v/>
      </c>
      <c r="D139" s="8" t="n">
        <v>652.03</v>
      </c>
      <c r="E139" s="53">
        <f>D139/C139-1</f>
        <v/>
      </c>
    </row>
    <row r="140">
      <c r="A140" s="5" t="inlineStr">
        <is>
          <t>TWLO</t>
        </is>
      </c>
      <c r="B140" s="5">
        <f>'總表'!B128</f>
        <v/>
      </c>
      <c r="C140" s="41">
        <f>'總表'!K128</f>
        <v/>
      </c>
      <c r="D140" s="8" t="n">
        <v>292.46</v>
      </c>
      <c r="E140" s="53">
        <f>D140/C140-1</f>
        <v/>
      </c>
    </row>
    <row r="141">
      <c r="A141" s="5" t="inlineStr">
        <is>
          <t>GH</t>
        </is>
      </c>
      <c r="B141" s="5">
        <f>'總表'!B129</f>
        <v/>
      </c>
      <c r="C141" s="41">
        <f>'總表'!K129</f>
        <v/>
      </c>
      <c r="D141" s="8" t="n">
        <v>178.36</v>
      </c>
      <c r="E141" s="53">
        <f>D141/C141-1</f>
        <v/>
      </c>
    </row>
    <row r="142">
      <c r="A142" s="5" t="inlineStr">
        <is>
          <t>TBCH</t>
        </is>
      </c>
      <c r="B142" s="5">
        <f>'總表'!B130</f>
        <v/>
      </c>
      <c r="C142" s="41">
        <f>'總表'!K130</f>
        <v/>
      </c>
      <c r="D142" s="8" t="n">
        <v>12.77</v>
      </c>
      <c r="E142" s="53">
        <f>D142/C142-1</f>
        <v/>
      </c>
    </row>
    <row r="143">
      <c r="A143" s="5" t="inlineStr">
        <is>
          <t>ALMR</t>
        </is>
      </c>
      <c r="B143" s="5">
        <f>'總表'!B131</f>
        <v/>
      </c>
      <c r="C143" s="41">
        <f>'總表'!K131</f>
        <v/>
      </c>
      <c r="D143" s="8" t="n">
        <v>34.07</v>
      </c>
      <c r="E143" s="53">
        <f>D143/C143-1</f>
        <v/>
      </c>
    </row>
    <row r="144">
      <c r="A144" s="5" t="inlineStr">
        <is>
          <t>MSTR</t>
        </is>
      </c>
      <c r="B144" s="5">
        <f>'總表'!B132</f>
        <v/>
      </c>
      <c r="C144" s="41">
        <f>'總表'!K132</f>
        <v/>
      </c>
      <c r="D144" s="8" t="n">
        <v>153.09</v>
      </c>
      <c r="E144" s="53">
        <f>D144/C144-1</f>
        <v/>
      </c>
    </row>
    <row r="145">
      <c r="A145" s="5" t="inlineStr">
        <is>
          <t>TWST</t>
        </is>
      </c>
      <c r="B145" s="5">
        <f>'總表'!B133</f>
        <v/>
      </c>
      <c r="C145" s="41">
        <f>'總表'!K133</f>
        <v/>
      </c>
      <c r="D145" s="8" t="n">
        <v>193.24</v>
      </c>
      <c r="E145" s="53">
        <f>D145/C145-1</f>
        <v/>
      </c>
    </row>
    <row r="146">
      <c r="A146" s="5" t="inlineStr">
        <is>
          <t>GEV</t>
        </is>
      </c>
      <c r="B146" s="5">
        <f>'總表'!B134</f>
        <v/>
      </c>
      <c r="C146" s="41">
        <f>'總表'!K134</f>
        <v/>
      </c>
      <c r="D146" s="8" t="n">
        <v>950.49</v>
      </c>
      <c r="E146" s="53">
        <f>D146/C146-1</f>
        <v/>
      </c>
    </row>
    <row r="147">
      <c r="A147" s="5" t="inlineStr">
        <is>
          <t>OKTA</t>
        </is>
      </c>
      <c r="B147" s="5">
        <f>'總表'!B135</f>
        <v/>
      </c>
      <c r="C147" s="41">
        <f>'總表'!K135</f>
        <v/>
      </c>
      <c r="D147" s="8" t="n">
        <v>209.11</v>
      </c>
      <c r="E147" s="53">
        <f>D147/C147-1</f>
        <v/>
      </c>
    </row>
    <row r="148">
      <c r="A148" s="5" t="inlineStr">
        <is>
          <t>CVI</t>
        </is>
      </c>
      <c r="B148" s="5">
        <f>'總表'!B136</f>
        <v/>
      </c>
      <c r="C148" s="41">
        <f>'總表'!K136</f>
        <v/>
      </c>
      <c r="D148" s="8" t="n">
        <v>50.99</v>
      </c>
      <c r="E148" s="53">
        <f>D148/C148-1</f>
        <v/>
      </c>
    </row>
    <row r="149">
      <c r="A149" s="5" t="inlineStr">
        <is>
          <t>AMBQ</t>
        </is>
      </c>
      <c r="B149" s="5">
        <f>'總表'!B137</f>
        <v/>
      </c>
      <c r="C149" s="41">
        <f>'總表'!K137</f>
        <v/>
      </c>
      <c r="D149" s="8" t="n">
        <v>68.17</v>
      </c>
      <c r="E149" s="53">
        <f>D149/C149-1</f>
        <v/>
      </c>
    </row>
    <row r="150">
      <c r="A150" s="5" t="inlineStr">
        <is>
          <t>ALAB</t>
        </is>
      </c>
      <c r="B150" s="5">
        <f>'總表'!B138</f>
        <v/>
      </c>
      <c r="C150" s="41">
        <f>'總表'!K138</f>
        <v/>
      </c>
      <c r="D150" s="8" t="n">
        <v>355.97</v>
      </c>
      <c r="E150" s="53">
        <f>D150/C150-1</f>
        <v/>
      </c>
    </row>
    <row r="151">
      <c r="A151" s="5" t="inlineStr">
        <is>
          <t>EVCM</t>
        </is>
      </c>
      <c r="B151" s="5">
        <f>'總表'!B139</f>
        <v/>
      </c>
      <c r="C151" s="41">
        <f>'總表'!K139</f>
        <v/>
      </c>
      <c r="D151" s="8" t="n">
        <v>8.66</v>
      </c>
      <c r="E151" s="53">
        <f>D151/C151-1</f>
        <v/>
      </c>
    </row>
    <row r="152">
      <c r="A152" s="5" t="inlineStr">
        <is>
          <t>FBLA</t>
        </is>
      </c>
      <c r="B152" s="5">
        <f>'總表'!B140</f>
        <v/>
      </c>
      <c r="C152" s="41">
        <f>'總表'!K140</f>
        <v/>
      </c>
      <c r="D152" s="8" t="n">
        <v>16.48</v>
      </c>
      <c r="E152" s="53">
        <f>D152/C152-1</f>
        <v/>
      </c>
    </row>
    <row r="153">
      <c r="A153" s="5" t="inlineStr">
        <is>
          <t>CURI</t>
        </is>
      </c>
      <c r="B153" s="5">
        <f>'總表'!B141</f>
        <v/>
      </c>
      <c r="C153" s="41">
        <f>'總表'!K141</f>
        <v/>
      </c>
      <c r="D153" s="8" t="n">
        <v>2.91</v>
      </c>
      <c r="E153" s="53">
        <f>D153/C153-1</f>
        <v/>
      </c>
    </row>
    <row r="154">
      <c r="A154" s="5" t="inlineStr">
        <is>
          <t>RXRX</t>
        </is>
      </c>
      <c r="B154" s="5">
        <f>'總表'!B142</f>
        <v/>
      </c>
      <c r="C154" s="41">
        <f>'總表'!K142</f>
        <v/>
      </c>
      <c r="D154" s="8" t="n">
        <v>4.13</v>
      </c>
      <c r="E154" s="53">
        <f>D154/C154-1</f>
        <v/>
      </c>
    </row>
    <row r="155">
      <c r="A155" s="5" t="inlineStr">
        <is>
          <t>A</t>
        </is>
      </c>
      <c r="B155" s="5">
        <f>'總表'!B143</f>
        <v/>
      </c>
      <c r="C155" s="41">
        <f>'總表'!K143</f>
        <v/>
      </c>
      <c r="D155" s="8" t="n">
        <v>172.31</v>
      </c>
      <c r="E155" s="53">
        <f>D155/C155-1</f>
        <v/>
      </c>
    </row>
    <row r="156">
      <c r="A156" s="5" t="inlineStr">
        <is>
          <t>RNG</t>
        </is>
      </c>
      <c r="B156" s="5">
        <f>'總表'!B144</f>
        <v/>
      </c>
      <c r="C156" s="41">
        <f>'總表'!K144</f>
        <v/>
      </c>
      <c r="D156" s="8" t="n">
        <v>74.7</v>
      </c>
      <c r="E156" s="53">
        <f>D156/C156-1</f>
        <v/>
      </c>
    </row>
    <row r="157">
      <c r="A157" s="5" t="inlineStr">
        <is>
          <t>DOCS</t>
        </is>
      </c>
      <c r="B157" s="5">
        <f>'總表'!B145</f>
        <v/>
      </c>
      <c r="C157" s="41">
        <f>'總表'!K145</f>
        <v/>
      </c>
      <c r="D157" s="8" t="n">
        <v>28.34</v>
      </c>
      <c r="E157" s="53">
        <f>D157/C157-1</f>
        <v/>
      </c>
    </row>
    <row r="158">
      <c r="A158" s="5" t="inlineStr">
        <is>
          <t>MAR</t>
        </is>
      </c>
      <c r="B158" s="5">
        <f>'總表'!B146</f>
        <v/>
      </c>
      <c r="C158" s="41">
        <f>'總表'!K146</f>
        <v/>
      </c>
      <c r="D158" s="8" t="n">
        <v>355.67</v>
      </c>
      <c r="E158" s="53">
        <f>D158/C158-1</f>
        <v/>
      </c>
    </row>
    <row r="159">
      <c r="A159" s="5" t="inlineStr">
        <is>
          <t>DIOD</t>
        </is>
      </c>
      <c r="B159" s="5">
        <f>'總表'!B147</f>
        <v/>
      </c>
      <c r="C159" s="41">
        <f>'總表'!K147</f>
        <v/>
      </c>
      <c r="D159" s="8" t="n">
        <v>96.79000000000001</v>
      </c>
      <c r="E159" s="53">
        <f>D159/C159-1</f>
        <v/>
      </c>
    </row>
    <row r="160">
      <c r="A160" s="5" t="inlineStr">
        <is>
          <t>FIX</t>
        </is>
      </c>
      <c r="B160" s="5">
        <f>'總表'!B148</f>
        <v/>
      </c>
      <c r="C160" s="41">
        <f>'總表'!K148</f>
        <v/>
      </c>
      <c r="D160" s="8" t="n">
        <v>1654.09</v>
      </c>
      <c r="E160" s="53">
        <f>D160/C160-1</f>
        <v/>
      </c>
    </row>
    <row r="161">
      <c r="A161" s="5" t="inlineStr">
        <is>
          <t>DOCN</t>
        </is>
      </c>
      <c r="B161" s="5">
        <f>'總表'!B149</f>
        <v/>
      </c>
      <c r="C161" s="41">
        <f>'總表'!K149</f>
        <v/>
      </c>
      <c r="D161" s="8" t="n">
        <v>133.39</v>
      </c>
      <c r="E161" s="53">
        <f>D161/C161-1</f>
        <v/>
      </c>
    </row>
    <row r="162">
      <c r="A162" s="5" t="inlineStr">
        <is>
          <t>NXDR</t>
        </is>
      </c>
      <c r="B162" s="5">
        <f>'總表'!B150</f>
        <v/>
      </c>
      <c r="C162" s="41">
        <f>'總表'!K150</f>
        <v/>
      </c>
      <c r="D162" s="8" t="n">
        <v>2.43</v>
      </c>
      <c r="E162" s="53">
        <f>D162/C162-1</f>
        <v/>
      </c>
    </row>
    <row r="163">
      <c r="A163" s="5" t="inlineStr">
        <is>
          <t>BAND</t>
        </is>
      </c>
      <c r="B163" s="5">
        <f>'總表'!B151</f>
        <v/>
      </c>
      <c r="C163" s="41">
        <f>'總表'!K151</f>
        <v/>
      </c>
      <c r="D163" s="8" t="n">
        <v>60.71</v>
      </c>
      <c r="E163" s="53">
        <f>D163/C163-1</f>
        <v/>
      </c>
    </row>
    <row r="164">
      <c r="A164" s="5" t="inlineStr">
        <is>
          <t>PRLB</t>
        </is>
      </c>
      <c r="B164" s="5">
        <f>'總表'!B152</f>
        <v/>
      </c>
      <c r="C164" s="41">
        <f>'總表'!K152</f>
        <v/>
      </c>
      <c r="D164" s="8" t="n">
        <v>94.84999999999999</v>
      </c>
      <c r="E164" s="53">
        <f>D164/C164-1</f>
        <v/>
      </c>
    </row>
    <row r="165">
      <c r="A165" s="5" t="inlineStr">
        <is>
          <t>ABSI</t>
        </is>
      </c>
      <c r="B165" s="5">
        <f>'總表'!B153</f>
        <v/>
      </c>
      <c r="C165" s="41">
        <f>'總表'!K153</f>
        <v/>
      </c>
      <c r="D165" s="8" t="n">
        <v>10.77</v>
      </c>
      <c r="E165" s="53">
        <f>D165/C165-1</f>
        <v/>
      </c>
    </row>
    <row r="166">
      <c r="A166" s="5" t="inlineStr">
        <is>
          <t>TSSI</t>
        </is>
      </c>
      <c r="B166" s="5">
        <f>'總表'!B154</f>
        <v/>
      </c>
      <c r="C166" s="41">
        <f>'總表'!K154</f>
        <v/>
      </c>
      <c r="D166" s="8" t="n">
        <v>9.73</v>
      </c>
      <c r="E166" s="53">
        <f>D166/C166-1</f>
        <v/>
      </c>
    </row>
    <row r="167">
      <c r="A167" s="5" t="inlineStr">
        <is>
          <t>TEM</t>
        </is>
      </c>
      <c r="B167" s="5">
        <f>'總表'!B155</f>
        <v/>
      </c>
      <c r="C167" s="41">
        <f>'總表'!K155</f>
        <v/>
      </c>
      <c r="D167" s="8" t="n">
        <v>81.90000000000001</v>
      </c>
      <c r="E167" s="53">
        <f>D167/C167-1</f>
        <v/>
      </c>
    </row>
    <row r="168">
      <c r="A168" s="5" t="inlineStr">
        <is>
          <t>ATII</t>
        </is>
      </c>
      <c r="B168" s="5">
        <f>'總表'!B156</f>
        <v/>
      </c>
      <c r="C168" s="41">
        <f>'總表'!K156</f>
        <v/>
      </c>
      <c r="D168" s="8" t="n">
        <v>10.68</v>
      </c>
      <c r="E168" s="53">
        <f>D168/C168-1</f>
        <v/>
      </c>
    </row>
    <row r="169">
      <c r="A169" s="5" t="inlineStr">
        <is>
          <t>RXT</t>
        </is>
      </c>
      <c r="B169" s="5">
        <f>'總表'!B157</f>
        <v/>
      </c>
      <c r="C169" s="41">
        <f>'總表'!K157</f>
        <v/>
      </c>
      <c r="D169" s="8" t="n">
        <v>3.725</v>
      </c>
      <c r="E169" s="53">
        <f>D169/C169-1</f>
        <v/>
      </c>
    </row>
    <row r="170">
      <c r="A170" s="5" t="inlineStr">
        <is>
          <t>VIA</t>
        </is>
      </c>
      <c r="B170" s="5">
        <f>'總表'!B158</f>
        <v/>
      </c>
      <c r="C170" s="41">
        <f>'總表'!K158</f>
        <v/>
      </c>
      <c r="D170" s="8" t="n">
        <v>30.25</v>
      </c>
      <c r="E170" s="53">
        <f>D170/C170-1</f>
        <v/>
      </c>
    </row>
    <row r="171">
      <c r="A171" s="5" t="inlineStr">
        <is>
          <t>GEMI</t>
        </is>
      </c>
      <c r="B171" s="5">
        <f>'總表'!B159</f>
        <v/>
      </c>
      <c r="C171" s="41">
        <f>'總表'!K159</f>
        <v/>
      </c>
      <c r="D171" s="8" t="n">
        <v>5.16</v>
      </c>
      <c r="E171" s="53">
        <f>D171/C171-1</f>
        <v/>
      </c>
    </row>
    <row r="172">
      <c r="A172" s="5" t="inlineStr">
        <is>
          <t>RBRK</t>
        </is>
      </c>
      <c r="B172" s="5">
        <f>'總表'!B160</f>
        <v/>
      </c>
      <c r="C172" s="41">
        <f>'總表'!K160</f>
        <v/>
      </c>
      <c r="D172" s="8" t="n">
        <v>114.47</v>
      </c>
      <c r="E172" s="53">
        <f>D172/C172-1</f>
        <v/>
      </c>
    </row>
    <row r="173">
      <c r="A173" s="5" t="inlineStr">
        <is>
          <t>KN</t>
        </is>
      </c>
      <c r="B173" s="5">
        <f>'總表'!B161</f>
        <v/>
      </c>
      <c r="C173" s="41">
        <f>'總表'!K161</f>
        <v/>
      </c>
      <c r="D173" s="8" t="n">
        <v>37.15</v>
      </c>
      <c r="E173" s="53">
        <f>D173/C173-1</f>
        <v/>
      </c>
    </row>
    <row r="174">
      <c r="A174" s="5" t="inlineStr">
        <is>
          <t>ZS</t>
        </is>
      </c>
      <c r="B174" s="5">
        <f>'總表'!B162</f>
        <v/>
      </c>
      <c r="C174" s="41">
        <f>'總表'!K162</f>
        <v/>
      </c>
      <c r="D174" s="8" t="n">
        <v>199.42</v>
      </c>
      <c r="E174" s="53">
        <f>D174/C174-1</f>
        <v/>
      </c>
    </row>
    <row r="175">
      <c r="A175" s="5" t="inlineStr">
        <is>
          <t>CLMB</t>
        </is>
      </c>
      <c r="B175" s="5">
        <f>'總表'!B163</f>
        <v/>
      </c>
      <c r="C175" s="41">
        <f>'總表'!K163</f>
        <v/>
      </c>
      <c r="D175" s="8" t="n">
        <v>32.125</v>
      </c>
      <c r="E175" s="53">
        <f>D175/C175-1</f>
        <v/>
      </c>
    </row>
    <row r="176">
      <c r="A176" s="5" t="inlineStr">
        <is>
          <t>BHE</t>
        </is>
      </c>
      <c r="B176" s="5">
        <f>'總表'!B164</f>
        <v/>
      </c>
      <c r="C176" s="41">
        <f>'總表'!K164</f>
        <v/>
      </c>
      <c r="D176" s="8" t="n">
        <v>82.91</v>
      </c>
      <c r="E176" s="53">
        <f>D176/C176-1</f>
        <v/>
      </c>
    </row>
    <row r="177">
      <c r="A177" s="5" t="inlineStr">
        <is>
          <t>SGHT</t>
        </is>
      </c>
      <c r="B177" s="5">
        <f>'總表'!B165</f>
        <v/>
      </c>
      <c r="C177" s="41">
        <f>'總表'!K165</f>
        <v/>
      </c>
      <c r="D177" s="8" t="n">
        <v>9.359999999999999</v>
      </c>
      <c r="E177" s="53">
        <f>D177/C177-1</f>
        <v/>
      </c>
    </row>
    <row r="178">
      <c r="A178" s="5" t="inlineStr">
        <is>
          <t>VSH</t>
        </is>
      </c>
      <c r="B178" s="5">
        <f>'總表'!B166</f>
        <v/>
      </c>
      <c r="C178" s="41">
        <f>'總表'!K166</f>
        <v/>
      </c>
      <c r="D178" s="8" t="n">
        <v>32.55</v>
      </c>
      <c r="E178" s="53">
        <f>D178/C178-1</f>
        <v/>
      </c>
    </row>
    <row r="179">
      <c r="A179" s="5" t="inlineStr">
        <is>
          <t>SIGA</t>
        </is>
      </c>
      <c r="B179" s="5">
        <f>'總表'!B167</f>
        <v/>
      </c>
      <c r="C179" s="41">
        <f>'總表'!K167</f>
        <v/>
      </c>
      <c r="D179" s="8" t="n">
        <v>3.4</v>
      </c>
      <c r="E179" s="53">
        <f>D179/C179-1</f>
        <v/>
      </c>
    </row>
    <row r="180">
      <c r="A180" s="5" t="inlineStr">
        <is>
          <t>AVTR</t>
        </is>
      </c>
      <c r="B180" s="5">
        <f>'總表'!B168</f>
        <v/>
      </c>
      <c r="C180" s="41">
        <f>'總表'!K168</f>
        <v/>
      </c>
      <c r="D180" s="8" t="n">
        <v>15.05</v>
      </c>
      <c r="E180" s="53">
        <f>D180/C180-1</f>
        <v/>
      </c>
    </row>
    <row r="181">
      <c r="A181" s="5" t="inlineStr">
        <is>
          <t>CEVA</t>
        </is>
      </c>
      <c r="B181" s="5">
        <f>'總表'!B169</f>
        <v/>
      </c>
      <c r="C181" s="41">
        <f>'總表'!K169</f>
        <v/>
      </c>
      <c r="D181" s="8" t="n">
        <v>35.33</v>
      </c>
      <c r="E181" s="53">
        <f>D181/C181-1</f>
        <v/>
      </c>
    </row>
    <row r="182">
      <c r="A182" s="5" t="inlineStr">
        <is>
          <t>MSFT</t>
        </is>
      </c>
      <c r="B182" s="5">
        <f>'總表'!B170</f>
        <v/>
      </c>
      <c r="C182" s="41">
        <f>'總表'!K170</f>
        <v/>
      </c>
      <c r="D182" s="8" t="n">
        <v>512.9</v>
      </c>
      <c r="E182" s="53">
        <f>D182/C182-1</f>
        <v/>
      </c>
    </row>
    <row r="183">
      <c r="A183" s="5" t="inlineStr">
        <is>
          <t>LYTS</t>
        </is>
      </c>
      <c r="B183" s="5">
        <f>'總表'!B171</f>
        <v/>
      </c>
      <c r="C183" s="41">
        <f>'總表'!K171</f>
        <v/>
      </c>
      <c r="D183" s="8" t="n">
        <v>20.75</v>
      </c>
      <c r="E183" s="53">
        <f>D183/C183-1</f>
        <v/>
      </c>
    </row>
    <row r="184">
      <c r="A184" s="5" t="inlineStr">
        <is>
          <t>LPG</t>
        </is>
      </c>
      <c r="B184" s="5">
        <f>'總表'!B172</f>
        <v/>
      </c>
      <c r="C184" s="41">
        <f>'總表'!K172</f>
        <v/>
      </c>
      <c r="D184" s="8" t="n">
        <v>55.06</v>
      </c>
      <c r="E184" s="53">
        <f>D184/C184-1</f>
        <v/>
      </c>
    </row>
    <row r="185">
      <c r="A185" s="5" t="inlineStr">
        <is>
          <t>PLXS</t>
        </is>
      </c>
      <c r="B185" s="5">
        <f>'總表'!B173</f>
        <v/>
      </c>
      <c r="C185" s="41">
        <f>'總表'!K173</f>
        <v/>
      </c>
      <c r="D185" s="8" t="n">
        <v>260.95</v>
      </c>
      <c r="E185" s="53">
        <f>D185/C185-1</f>
        <v/>
      </c>
    </row>
    <row r="186">
      <c r="A186" s="5" t="inlineStr">
        <is>
          <t>VFC</t>
        </is>
      </c>
      <c r="B186" s="5">
        <f>'總表'!B174</f>
        <v/>
      </c>
      <c r="C186" s="41">
        <f>'總表'!K174</f>
        <v/>
      </c>
      <c r="D186" s="8" t="n">
        <v>14.06</v>
      </c>
      <c r="E186" s="53">
        <f>D186/C186-1</f>
        <v/>
      </c>
    </row>
    <row r="187">
      <c r="A187" s="5" t="inlineStr">
        <is>
          <t>AMKR</t>
        </is>
      </c>
      <c r="B187" s="5">
        <f>'總表'!B175</f>
        <v/>
      </c>
      <c r="C187" s="41">
        <f>'總表'!K175</f>
        <v/>
      </c>
      <c r="D187" s="8" t="n">
        <v>52.38</v>
      </c>
      <c r="E187" s="53">
        <f>D187/C187-1</f>
        <v/>
      </c>
    </row>
    <row r="188">
      <c r="A188" s="5" t="inlineStr">
        <is>
          <t>SLP</t>
        </is>
      </c>
      <c r="B188" s="5">
        <f>'總表'!B176</f>
        <v/>
      </c>
      <c r="C188" s="41">
        <f>'總表'!K176</f>
        <v/>
      </c>
      <c r="D188" s="8" t="n">
        <v>18.43</v>
      </c>
      <c r="E188" s="53">
        <f>D188/C188-1</f>
        <v/>
      </c>
    </row>
    <row r="189">
      <c r="A189" s="5" t="inlineStr">
        <is>
          <t>SHLS</t>
        </is>
      </c>
      <c r="B189" s="5">
        <f>'總表'!B177</f>
        <v/>
      </c>
      <c r="C189" s="41">
        <f>'總表'!K177</f>
        <v/>
      </c>
      <c r="D189" s="8" t="n">
        <v>8.1</v>
      </c>
      <c r="E189" s="53">
        <f>D189/C189-1</f>
        <v/>
      </c>
    </row>
    <row r="190">
      <c r="A190" s="5" t="inlineStr">
        <is>
          <t>DSGR</t>
        </is>
      </c>
      <c r="B190" s="5">
        <f>'總表'!B178</f>
        <v/>
      </c>
      <c r="C190" s="41">
        <f>'總表'!K178</f>
        <v/>
      </c>
      <c r="D190" s="8" t="n">
        <v>34.9</v>
      </c>
      <c r="E190" s="53">
        <f>D190/C190-1</f>
        <v/>
      </c>
    </row>
    <row r="191">
      <c r="A191" s="5" t="inlineStr">
        <is>
          <t>PAYO</t>
        </is>
      </c>
      <c r="B191" s="5">
        <f>'總表'!B179</f>
        <v/>
      </c>
      <c r="C191" s="41">
        <f>'總表'!K179</f>
        <v/>
      </c>
      <c r="D191" s="8" t="n">
        <v>7.14</v>
      </c>
      <c r="E191" s="53">
        <f>D191/C191-1</f>
        <v/>
      </c>
    </row>
    <row r="192">
      <c r="A192" s="5" t="inlineStr">
        <is>
          <t>MSGE</t>
        </is>
      </c>
      <c r="B192" s="5">
        <f>'總表'!B180</f>
        <v/>
      </c>
      <c r="C192" s="41">
        <f>'總表'!K180</f>
        <v/>
      </c>
      <c r="D192" s="8" t="n">
        <v>80.11</v>
      </c>
      <c r="E192" s="53">
        <f>D192/C192-1</f>
        <v/>
      </c>
    </row>
    <row r="193">
      <c r="A193" s="5" t="inlineStr">
        <is>
          <t>FFIV</t>
        </is>
      </c>
      <c r="B193" s="5">
        <f>'總表'!B181</f>
        <v/>
      </c>
      <c r="C193" s="41">
        <f>'總表'!K181</f>
        <v/>
      </c>
      <c r="D193" s="8" t="n">
        <v>445.18</v>
      </c>
      <c r="E193" s="53">
        <f>D193/C193-1</f>
        <v/>
      </c>
    </row>
    <row r="194">
      <c r="A194" s="5" t="inlineStr">
        <is>
          <t>EME</t>
        </is>
      </c>
      <c r="B194" s="5">
        <f>'總表'!B182</f>
        <v/>
      </c>
      <c r="C194" s="41">
        <f>'總表'!K182</f>
        <v/>
      </c>
      <c r="D194" s="8" t="n">
        <v>754.49</v>
      </c>
      <c r="E194" s="53">
        <f>D194/C194-1</f>
        <v/>
      </c>
    </row>
    <row r="195">
      <c r="A195" s="5" t="inlineStr">
        <is>
          <t>CON</t>
        </is>
      </c>
      <c r="B195" s="5">
        <f>'總表'!B183</f>
        <v/>
      </c>
      <c r="C195" s="41">
        <f>'總表'!K183</f>
        <v/>
      </c>
      <c r="D195" s="8" t="n">
        <v>34.42</v>
      </c>
      <c r="E195" s="53">
        <f>D195/C195-1</f>
        <v/>
      </c>
    </row>
    <row r="196">
      <c r="A196" s="5" t="inlineStr">
        <is>
          <t>FLEX</t>
        </is>
      </c>
      <c r="B196" s="5">
        <f>'總表'!B184</f>
        <v/>
      </c>
      <c r="C196" s="41">
        <f>'總表'!K184</f>
        <v/>
      </c>
      <c r="D196" s="8" t="n">
        <v>109.99</v>
      </c>
      <c r="E196" s="53">
        <f>D196/C196-1</f>
        <v/>
      </c>
    </row>
    <row r="197">
      <c r="A197" s="5" t="inlineStr">
        <is>
          <t>PEB</t>
        </is>
      </c>
      <c r="B197" s="5">
        <f>'總表'!B185</f>
        <v/>
      </c>
      <c r="C197" s="41">
        <f>'總表'!K185</f>
        <v/>
      </c>
      <c r="D197" s="8" t="n">
        <v>18.76</v>
      </c>
      <c r="E197" s="53">
        <f>D197/C197-1</f>
        <v/>
      </c>
    </row>
    <row r="198">
      <c r="A198" s="5" t="inlineStr">
        <is>
          <t>CTKB</t>
        </is>
      </c>
      <c r="B198" s="5">
        <f>'總表'!B186</f>
        <v/>
      </c>
      <c r="C198" s="41">
        <f>'總表'!K186</f>
        <v/>
      </c>
      <c r="D198" s="8" t="n">
        <v>5.96</v>
      </c>
      <c r="E198" s="53">
        <f>D198/C198-1</f>
        <v/>
      </c>
    </row>
    <row r="199">
      <c r="A199" s="5" t="inlineStr">
        <is>
          <t>WMK</t>
        </is>
      </c>
      <c r="B199" s="5">
        <f>'總表'!B187</f>
        <v/>
      </c>
      <c r="C199" s="41">
        <f>'總表'!K187</f>
        <v/>
      </c>
      <c r="D199" s="8" t="n">
        <v>72.98</v>
      </c>
      <c r="E199" s="53">
        <f>D199/C199-1</f>
        <v/>
      </c>
    </row>
    <row r="200">
      <c r="A200" s="5" t="inlineStr">
        <is>
          <t>NTGR</t>
        </is>
      </c>
      <c r="B200" s="5">
        <f>'總表'!B188</f>
        <v/>
      </c>
      <c r="C200" s="41">
        <f>'總表'!K188</f>
        <v/>
      </c>
      <c r="D200" s="8" t="n">
        <v>22.21</v>
      </c>
      <c r="E200" s="53">
        <f>D200/C200-1</f>
        <v/>
      </c>
    </row>
    <row r="201">
      <c r="A201" s="5" t="inlineStr">
        <is>
          <t>IMKTA</t>
        </is>
      </c>
      <c r="B201" s="5">
        <f>'總表'!B189</f>
        <v/>
      </c>
      <c r="C201" s="41">
        <f>'總表'!K189</f>
        <v/>
      </c>
      <c r="D201" s="8" t="n">
        <v>84.81999999999999</v>
      </c>
      <c r="E201" s="53">
        <f>D201/C201-1</f>
        <v/>
      </c>
    </row>
    <row r="202">
      <c r="A202" s="5" t="inlineStr">
        <is>
          <t>EBF</t>
        </is>
      </c>
      <c r="B202" s="5">
        <f>'總表'!B190</f>
        <v/>
      </c>
      <c r="C202" s="41">
        <f>'總表'!K190</f>
        <v/>
      </c>
      <c r="D202" s="8" t="n">
        <v>22.51</v>
      </c>
      <c r="E202" s="53">
        <f>D202/C202-1</f>
        <v/>
      </c>
    </row>
    <row r="203">
      <c r="A203" s="5" t="inlineStr">
        <is>
          <t>AES</t>
        </is>
      </c>
      <c r="B203" s="5">
        <f>'總表'!B191</f>
        <v/>
      </c>
      <c r="C203" s="41">
        <f>'總表'!K191</f>
        <v/>
      </c>
      <c r="D203" s="8" t="n">
        <v>14.9</v>
      </c>
      <c r="E203" s="53">
        <f>D203/C203-1</f>
        <v/>
      </c>
    </row>
    <row r="204">
      <c r="A204" s="5" t="inlineStr">
        <is>
          <t>JAKK</t>
        </is>
      </c>
      <c r="B204" s="5">
        <f>'總表'!B192</f>
        <v/>
      </c>
      <c r="C204" s="41">
        <f>'總表'!K192</f>
        <v/>
      </c>
      <c r="D204" s="8" t="n">
        <v>25.13</v>
      </c>
      <c r="E204" s="53">
        <f>D204/C204-1</f>
        <v/>
      </c>
    </row>
    <row r="205">
      <c r="A205" s="5" t="inlineStr">
        <is>
          <t>HSTM</t>
        </is>
      </c>
      <c r="B205" s="5">
        <f>'總表'!B193</f>
        <v/>
      </c>
      <c r="C205" s="41">
        <f>'總表'!K193</f>
        <v/>
      </c>
      <c r="D205" s="8" t="n">
        <v>29.71</v>
      </c>
      <c r="E205" s="53">
        <f>D205/C205-1</f>
        <v/>
      </c>
    </row>
    <row r="206">
      <c r="A206" s="5" t="inlineStr">
        <is>
          <t>WCC</t>
        </is>
      </c>
      <c r="B206" s="5">
        <f>'總表'!B194</f>
        <v/>
      </c>
      <c r="C206" s="41">
        <f>'總表'!K194</f>
        <v/>
      </c>
      <c r="D206" s="8" t="n">
        <v>359.59</v>
      </c>
      <c r="E206" s="53">
        <f>D206/C206-1</f>
        <v/>
      </c>
    </row>
    <row r="207">
      <c r="A207" s="5" t="inlineStr">
        <is>
          <t>RLGT</t>
        </is>
      </c>
      <c r="B207" s="5">
        <f>'總表'!B195</f>
        <v/>
      </c>
      <c r="C207" s="41">
        <f>'總表'!K195</f>
        <v/>
      </c>
      <c r="D207" s="8" t="n">
        <v>8.69</v>
      </c>
      <c r="E207" s="53">
        <f>D207/C207-1</f>
        <v/>
      </c>
    </row>
    <row r="208">
      <c r="A208" s="5" t="inlineStr">
        <is>
          <t>IT</t>
        </is>
      </c>
      <c r="B208" s="5">
        <f>'總表'!B196</f>
        <v/>
      </c>
      <c r="C208" s="41">
        <f>'總表'!K196</f>
        <v/>
      </c>
      <c r="D208" s="8" t="n">
        <v>186.54</v>
      </c>
      <c r="E208" s="53">
        <f>D208/C208-1</f>
        <v/>
      </c>
    </row>
    <row r="209">
      <c r="A209" s="5" t="inlineStr">
        <is>
          <t>KR</t>
        </is>
      </c>
      <c r="B209" s="5">
        <f>'總表'!B197</f>
        <v/>
      </c>
      <c r="C209" s="41">
        <f>'總表'!K197</f>
        <v/>
      </c>
      <c r="D209" s="8" t="n">
        <v>58.62</v>
      </c>
      <c r="E209" s="53">
        <f>D209/C209-1</f>
        <v/>
      </c>
    </row>
    <row r="210">
      <c r="A210" s="5" t="inlineStr">
        <is>
          <t>MGNI</t>
        </is>
      </c>
      <c r="B210" s="5">
        <f>'總表'!B198</f>
        <v/>
      </c>
      <c r="C210" s="41">
        <f>'總表'!K198</f>
        <v/>
      </c>
      <c r="D210" s="8" t="n">
        <v>25.26</v>
      </c>
      <c r="E210" s="53">
        <f>D210/C210-1</f>
        <v/>
      </c>
    </row>
    <row r="211">
      <c r="A211" s="5" t="inlineStr">
        <is>
          <t>CVCO</t>
        </is>
      </c>
      <c r="B211" s="5">
        <f>'總表'!B199</f>
        <v/>
      </c>
      <c r="C211" s="41">
        <f>'總表'!K199</f>
        <v/>
      </c>
      <c r="D211" s="8" t="n">
        <v>560.26</v>
      </c>
      <c r="E211" s="53">
        <f>D211/C211-1</f>
        <v/>
      </c>
    </row>
    <row r="212">
      <c r="A212" s="5" t="inlineStr">
        <is>
          <t>BJ</t>
        </is>
      </c>
      <c r="B212" s="5">
        <f>'總表'!B200</f>
        <v/>
      </c>
      <c r="C212" s="41">
        <f>'總表'!K200</f>
        <v/>
      </c>
      <c r="D212" s="8" t="n">
        <v>92</v>
      </c>
      <c r="E212" s="53">
        <f>D212/C212-1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2026-10-02T08:58:31Z</dcterms:created>
  <dcterms:modified xsi:type="dcterms:W3CDTF">2026-10-02T08:58:33Z</dcterms:modified>
</cp:coreProperties>
</file>