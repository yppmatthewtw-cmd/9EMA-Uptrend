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版更新" sheetId="1" state="visible" r:id="rId1"/>
    <sheet name="總表" sheetId="2" state="visible" r:id="rId2"/>
    <sheet name="a 剛黃金交叉" sheetId="3" state="visible" r:id="rId3"/>
    <sheet name="b 回到21EMA" sheetId="4" state="visible" r:id="rId4"/>
    <sheet name="c 回到9EMA" sheetId="5" state="visible" r:id="rId5"/>
    <sheet name="大型股" sheetId="6" state="visible" r:id="rId6"/>
    <sheet name="中型股" sheetId="7" state="visible" r:id="rId7"/>
    <sheet name="小型股" sheetId="8" state="visible" r:id="rId8"/>
    <sheet name="差一項" sheetId="9" state="visible" r:id="rId9"/>
    <sheet name="樞軸底頂" sheetId="10" state="visible" r:id="rId10"/>
    <sheet name="篩選規則" sheetId="11" state="visible" r:id="rId11"/>
    <sheet name="市況" sheetId="12" state="visible" r:id="rId12"/>
    <sheet name="數據核對" sheetId="13" state="visible" r:id="rId13"/>
  </sheets>
  <definedNames>
    <definedName name="_xlnm._FilterDatabase" localSheetId="1" hidden="1">'總表'!$A$1:$BX$1</definedName>
    <definedName name="_xlnm._FilterDatabase" localSheetId="2" hidden="1">'a 剛黃金交叉'!$A$1:$AM$1</definedName>
    <definedName name="_xlnm._FilterDatabase" localSheetId="3" hidden="1">'b 回到21EMA'!$A$1:$AM$1</definedName>
    <definedName name="_xlnm._FilterDatabase" localSheetId="4" hidden="1">'c 回到9EMA'!$A$1:$AM$1</definedName>
    <definedName name="_xlnm._FilterDatabase" localSheetId="5" hidden="1">'大型股'!$A$1:$AK$1</definedName>
    <definedName name="_xlnm._FilterDatabase" localSheetId="6" hidden="1">'中型股'!$A$1:$AK$1</definedName>
    <definedName name="_xlnm._FilterDatabase" localSheetId="7" hidden="1">'小型股'!$A$1:$AK$1</definedName>
    <definedName name="_xlnm._FilterDatabase" localSheetId="8" hidden="1">'差一項'!$A$1:$J$1</definedName>
    <definedName name="_xlnm._FilterDatabase" localSheetId="9" hidden="1">'樞軸底頂'!$A$1:$O$1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##"/>
    <numFmt numFmtId="165" formatCode="0.000"/>
    <numFmt numFmtId="166" formatCode="0.0"/>
    <numFmt numFmtId="167" formatCode="0.00%;[Red](0.00%);-"/>
    <numFmt numFmtId="168" formatCode="0.0%;[Red](0.0%);-"/>
    <numFmt numFmtId="169" formatCode="+0.000;[Red]-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563C1"/>
      <sz val="10"/>
      <u val="single"/>
    </font>
    <font>
      <name val="Arial"/>
      <b val="1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167" fontId="2" fillId="0" borderId="1" pivotButton="0" quotePrefix="0" xfId="0"/>
    <xf numFmtId="3" fontId="3" fillId="0" borderId="1" pivotButton="0" quotePrefix="0" xfId="0"/>
    <xf numFmtId="2" fontId="2" fillId="0" borderId="1" pivotButton="0" quotePrefix="0" xfId="0"/>
    <xf numFmtId="9" fontId="3" fillId="0" borderId="1" pivotButton="0" quotePrefix="0" xfId="0"/>
    <xf numFmtId="168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9" fontId="2" fillId="0" borderId="1" pivotButton="0" quotePrefix="0" xfId="0"/>
    <xf numFmtId="2" fontId="3" fillId="0" borderId="1" pivotButton="0" quotePrefix="0" xfId="0"/>
    <xf numFmtId="166" fontId="3" fillId="0" borderId="1" pivotButton="0" quotePrefix="0" xfId="0"/>
    <xf numFmtId="166" fontId="2" fillId="0" borderId="1" pivotButton="0" quotePrefix="0" xfId="0"/>
    <xf numFmtId="166" fontId="5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4" borderId="1" pivotButton="0" quotePrefix="0" xfId="0"/>
    <xf numFmtId="4" fontId="3" fillId="4" borderId="1" pivotButton="0" quotePrefix="0" xfId="0"/>
    <xf numFmtId="164" fontId="3" fillId="4" borderId="1" pivotButton="0" quotePrefix="0" xfId="0"/>
    <xf numFmtId="167" fontId="2" fillId="4" borderId="1" pivotButton="0" quotePrefix="0" xfId="0"/>
    <xf numFmtId="3" fontId="3" fillId="4" borderId="1" pivotButton="0" quotePrefix="0" xfId="0"/>
    <xf numFmtId="2" fontId="2" fillId="4" borderId="1" pivotButton="0" quotePrefix="0" xfId="0"/>
    <xf numFmtId="9" fontId="3" fillId="4" borderId="1" pivotButton="0" quotePrefix="0" xfId="0"/>
    <xf numFmtId="168" fontId="2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169" fontId="2" fillId="4" borderId="1" pivotButton="0" quotePrefix="0" xfId="0"/>
    <xf numFmtId="2" fontId="3" fillId="4" borderId="1" pivotButton="0" quotePrefix="0" xfId="0"/>
    <xf numFmtId="166" fontId="3" fillId="4" borderId="1" pivotButton="0" quotePrefix="0" xfId="0"/>
    <xf numFmtId="166" fontId="2" fillId="4" borderId="1" pivotButton="0" quotePrefix="0" xfId="0"/>
    <xf numFmtId="166" fontId="5" fillId="4" borderId="1" pivotButton="0" quotePrefix="0" xfId="0"/>
    <xf numFmtId="0" fontId="2" fillId="5" borderId="1" pivotButton="0" quotePrefix="0" xfId="0"/>
    <xf numFmtId="0" fontId="4" fillId="5" borderId="1" pivotButton="0" quotePrefix="0" xfId="0"/>
    <xf numFmtId="4" fontId="3" fillId="5" borderId="1" pivotButton="0" quotePrefix="0" xfId="0"/>
    <xf numFmtId="164" fontId="3" fillId="5" borderId="1" pivotButton="0" quotePrefix="0" xfId="0"/>
    <xf numFmtId="167" fontId="2" fillId="5" borderId="1" pivotButton="0" quotePrefix="0" xfId="0"/>
    <xf numFmtId="3" fontId="3" fillId="5" borderId="1" pivotButton="0" quotePrefix="0" xfId="0"/>
    <xf numFmtId="2" fontId="2" fillId="5" borderId="1" pivotButton="0" quotePrefix="0" xfId="0"/>
    <xf numFmtId="9" fontId="3" fillId="5" borderId="1" pivotButton="0" quotePrefix="0" xfId="0"/>
    <xf numFmtId="168" fontId="2" fillId="5" borderId="1" pivotButton="0" quotePrefix="0" xfId="0"/>
    <xf numFmtId="0" fontId="3" fillId="5" borderId="1" pivotButton="0" quotePrefix="0" xfId="0"/>
    <xf numFmtId="165" fontId="3" fillId="5" borderId="1" pivotButton="0" quotePrefix="0" xfId="0"/>
    <xf numFmtId="169" fontId="2" fillId="5" borderId="1" pivotButton="0" quotePrefix="0" xfId="0"/>
    <xf numFmtId="2" fontId="3" fillId="5" borderId="1" pivotButton="0" quotePrefix="0" xfId="0"/>
    <xf numFmtId="166" fontId="3" fillId="5" borderId="1" pivotButton="0" quotePrefix="0" xfId="0"/>
    <xf numFmtId="166" fontId="2" fillId="5" borderId="1" pivotButton="0" quotePrefix="0" xfId="0"/>
    <xf numFmtId="166" fontId="5" fillId="5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5" fillId="6" borderId="1" pivotButton="0" quotePrefix="0" xfId="0"/>
    <xf numFmtId="167" fontId="5" fillId="6" borderId="1" pivotButton="0" quotePrefix="0" xfId="0"/>
    <xf numFmtId="166" fontId="5" fillId="6" borderId="1" pivotButton="0" quotePrefix="0" xfId="0"/>
    <xf numFmtId="0" fontId="7" fillId="0" borderId="0" applyAlignment="1" pivotButton="0" quotePrefix="0" xfId="0">
      <alignment/>
    </xf>
    <xf numFmtId="4" fontId="2" fillId="0" borderId="1" pivotButton="0" quotePrefix="0" xfId="0"/>
    <xf numFmtId="164" fontId="2" fillId="0" borderId="1" pivotButton="0" quotePrefix="0" xfId="0"/>
    <xf numFmtId="4" fontId="2" fillId="4" borderId="1" pivotButton="0" quotePrefix="0" xfId="0"/>
    <xf numFmtId="164" fontId="2" fillId="4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7" fillId="0" borderId="0" pivotButton="0" quotePrefix="0" xfId="0"/>
    <xf numFmtId="165" fontId="2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9" fillId="0" borderId="0" pivotButton="0" quotePrefix="0" xfId="0"/>
    <xf numFmtId="167" fontId="3" fillId="0" borderId="1" pivotButton="0" quotePrefix="0" xfId="0"/>
    <xf numFmtId="3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9EMA scan</author>
  </authors>
  <commentList>
    <comment ref="BW28" authorId="0" shapeId="0">
      <text>
        <t>重心 0.47（要 ≥0.5）、高位斜率 +0.05%/日（要 -0.10 至 +1.00）、低位斜率 +0.38%/日（要 &gt;0）</t>
      </text>
    </comment>
    <comment ref="BW29" authorId="0" shapeId="0">
      <text>
        <t>重心 0.52（要 ≥0.5）、高位斜率 +1.30%/日（要 -0.10 至 +1.00）、低位斜率 +0.82%/日（要 &gt;0）</t>
      </text>
    </comment>
    <comment ref="BW30" authorId="0" shapeId="0">
      <text>
        <t>重心 0.50（要 ≥0.5）、高位斜率 +0.58%/日（要 -0.10 至 +1.00）、低位斜率 +0.39%/日（要 &gt;0）</t>
      </text>
    </comment>
    <comment ref="BW31" authorId="0" shapeId="0">
      <text>
        <t>重心 0.50（要 ≥0.5）、高位斜率 -0.14%/日（要 -0.10 至 +1.00）、低位斜率 +0.46%/日（要 &gt;0）</t>
      </text>
    </comment>
    <comment ref="BW32" authorId="0" shapeId="0">
      <text>
        <t>重心 0.47（要 ≥0.5）、高位斜率 +0.55%/日（要 -0.10 至 +1.00）、低位斜率 +0.46%/日（要 &gt;0）</t>
      </text>
    </comment>
    <comment ref="BW33" authorId="0" shapeId="0">
      <text>
        <t>重心 0.47（要 ≥0.5）、高位斜率 +1.10%/日（要 -0.10 至 +1.00）、低位斜率 +1.43%/日（要 &gt;0）</t>
      </text>
    </comment>
    <comment ref="BW34" authorId="0" shapeId="0">
      <text>
        <t>重心 0.45（要 ≥0.5）、高位斜率 +1.00%/日（要 -0.10 至 +1.00）、低位斜率 +0.45%/日（要 &gt;0）</t>
      </text>
    </comment>
    <comment ref="BW35" authorId="0" shapeId="0">
      <text>
        <t>重心 0.50（要 ≥0.5）、高位斜率 +0.93%/日（要 -0.10 至 +1.00）、低位斜率 +1.68%/日（要 &gt;0）</t>
      </text>
    </comment>
    <comment ref="BW36" authorId="0" shapeId="0">
      <text>
        <t>重心 0.48（要 ≥0.5）、高位斜率 +0.11%/日（要 -0.10 至 +1.00）、低位斜率 +0.78%/日（要 &gt;0）</t>
      </text>
    </comment>
    <comment ref="BW37" authorId="0" shapeId="0">
      <text>
        <t>重心 0.61（要 ≥0.5）、高位斜率 +1.13%/日（要 -0.10 至 +1.00）、低位斜率 +1.74%/日（要 &gt;0）</t>
      </text>
    </comment>
    <comment ref="BW38" authorId="0" shapeId="0">
      <text>
        <t>重心 0.47（要 ≥0.5）、高位斜率 +0.94%/日（要 -0.10 至 +1.00）、低位斜率 +0.70%/日（要 &gt;0）</t>
      </text>
    </comment>
    <comment ref="BW39" authorId="0" shapeId="0">
      <text>
        <t>重心 0.48（要 ≥0.5）、高位斜率 +1.39%/日（要 -0.10 至 +1.00）、低位斜率 +0.13%/日（要 &gt;0）</t>
      </text>
    </comment>
    <comment ref="BW40" authorId="0" shapeId="0">
      <text>
        <t>重心 0.45（要 ≥0.5）、高位斜率 +0.58%/日（要 -0.10 至 +1.00）、低位斜率 +0.49%/日（要 &gt;0）</t>
      </text>
    </comment>
    <comment ref="BW41" authorId="0" shapeId="0">
      <text>
        <t>重心 0.49（要 ≥0.5）、高位斜率 +0.89%/日（要 -0.10 至 +1.00）、低位斜率 +0.49%/日（要 &gt;0）</t>
      </text>
    </comment>
    <comment ref="BW42" authorId="0" shapeId="0">
      <text>
        <t>重心 0.47（要 ≥0.5）、高位斜率 +0.21%/日（要 -0.10 至 +1.00）、低位斜率 +0.12%/日（要 &gt;0）</t>
      </text>
    </comment>
    <comment ref="BW43" authorId="0" shapeId="0">
      <text>
        <t>重心 0.49（要 ≥0.5）、高位斜率 +0.32%/日（要 -0.10 至 +1.00）、低位斜率 +0.38%/日（要 &gt;0）</t>
      </text>
    </comment>
    <comment ref="BW44" authorId="0" shapeId="0">
      <text>
        <t>重心 0.56（要 ≥0.5）、高位斜率 +1.02%/日（要 -0.10 至 +1.00）、低位斜率 +0.53%/日（要 &gt;0）</t>
      </text>
    </comment>
    <comment ref="BW45" authorId="0" shapeId="0">
      <text>
        <t>重心 0.49（要 ≥0.5）、高位斜率 +1.14%/日（要 -0.10 至 +1.00）、低位斜率 +0.48%/日（要 &gt;0）</t>
      </text>
    </comment>
    <comment ref="BW46" authorId="0" shapeId="0">
      <text>
        <t>重心 0.50（要 ≥0.5）、高位斜率 +0.23%/日（要 -0.10 至 +1.00）、低位斜率 +0.59%/日（要 &gt;0）</t>
      </text>
    </comment>
    <comment ref="BW47" authorId="0" shapeId="0">
      <text>
        <t>重心 0.47（要 ≥0.5）、高位斜率 +0.45%/日（要 -0.10 至 +1.00）、低位斜率 +0.61%/日（要 &gt;0）</t>
      </text>
    </comment>
    <comment ref="BW48" authorId="0" shapeId="0">
      <text>
        <t>重心 0.46（要 ≥0.5）、高位斜率 +0.21%/日（要 -0.10 至 +1.00）、低位斜率 +0.34%/日（要 &gt;0）</t>
      </text>
    </comment>
    <comment ref="BW49" authorId="0" shapeId="0">
      <text>
        <t>重心 0.49（要 ≥0.5）、高位斜率 +0.09%/日（要 -0.10 至 +1.00）、低位斜率 +0.16%/日（要 &gt;0）</t>
      </text>
    </comment>
    <comment ref="BW50" authorId="0" shapeId="0">
      <text>
        <t>重心 0.46（要 ≥0.5）、高位斜率 +0.30%/日（要 -0.10 至 +1.00）、低位斜率 +0.24%/日（要 &gt;0）</t>
      </text>
    </comment>
    <comment ref="BW51" authorId="0" shapeId="0">
      <text>
        <t>重心 0.48（要 ≥0.5）、高位斜率 +0.62%/日（要 -0.10 至 +1.00）、低位斜率 +0.08%/日（要 &gt;0）</t>
      </text>
    </comment>
    <comment ref="BW52" authorId="0" shapeId="0">
      <text>
        <t>重心 0.49（要 ≥0.5）、高位斜率 +0.46%/日（要 -0.10 至 +1.00）、低位斜率 +0.60%/日（要 &gt;0）</t>
      </text>
    </comment>
    <comment ref="BW53" authorId="0" shapeId="0">
      <text>
        <t>重心 0.46（要 ≥0.5）、高位斜率 +0.12%/日（要 -0.10 至 +1.00）、低位斜率 +0.14%/日（要 &gt;0）</t>
      </text>
    </comment>
    <comment ref="BW54" authorId="0" shapeId="0">
      <text>
        <t>重心 0.47（要 ≥0.5）、高位斜率 -0.03%/日（要 -0.10 至 +1.00）、低位斜率 +0.17%/日（要 &gt;0）</t>
      </text>
    </comment>
    <comment ref="BW55" authorId="0" shapeId="0">
      <text>
        <t>重心 0.46（要 ≥0.5）、高位斜率 -0.18%/日（要 -0.10 至 +1.00）、低位斜率 +0.22%/日（要 &gt;0）</t>
      </text>
    </comment>
    <comment ref="BW56" authorId="0" shapeId="0">
      <text>
        <t>重心 0.46（要 ≥0.5）、高位斜率 -0.09%/日（要 -0.10 至 +1.00）、低位斜率 +0.24%/日（要 &gt;0）</t>
      </text>
    </comment>
    <comment ref="BW57" authorId="0" shapeId="0">
      <text>
        <t>重心 0.52（要 ≥0.5）、高位斜率 -0.19%/日（要 -0.10 至 +1.00）、低位斜率 +0.33%/日（要 &gt;0）</t>
      </text>
    </comment>
    <comment ref="BW58" authorId="0" shapeId="0">
      <text>
        <t>重心 0.45（要 ≥0.5）、高位斜率 +0.26%/日（要 -0.10 至 +1.00）、低位斜率 +0.16%/日（要 &gt;0）</t>
      </text>
    </comment>
    <comment ref="BW59" authorId="0" shapeId="0">
      <text>
        <t>重心 0.46（要 ≥0.5）、高位斜率 +0.42%/日（要 -0.10 至 +1.00）、低位斜率 +0.38%/日（要 &gt;0）</t>
      </text>
    </comment>
    <comment ref="BW60" authorId="0" shapeId="0">
      <text>
        <t>重心 0.47（要 ≥0.5）、高位斜率 +0.16%/日（要 -0.10 至 +1.00）、低位斜率 +0.05%/日（要 &gt;0）</t>
      </text>
    </comment>
    <comment ref="BW61" authorId="0" shapeId="0">
      <text>
        <t>重心 0.48（要 ≥0.5）、高位斜率 +0.27%/日（要 -0.10 至 +1.00）、低位斜率 +0.23%/日（要 &gt;0）</t>
      </text>
    </comment>
    <comment ref="BW62" authorId="0" shapeId="0">
      <text>
        <t>重心 0.45（要 ≥0.5）、高位斜率 +0.26%/日（要 -0.10 至 +1.00）、低位斜率 +0.39%/日（要 &gt;0）</t>
      </text>
    </comment>
    <comment ref="BW63" authorId="0" shapeId="0">
      <text>
        <t>MACD 慢線 4.652 → 4.624（要升）
柱 +0.087 → -0.012 → -0.113（淺綠 淺綠 淺綠 淺綠 淺綠 淺綠 深紅 深紅）；轉勢 —（要 ≤3 日內出現第一根淺紅／深綠，其後每根都升）</t>
      </text>
    </comment>
    <comment ref="BW64" authorId="0" shapeId="0">
      <text>
        <t>MACD 慢線 1.284 → 1.264（要升）</t>
      </text>
    </comment>
    <comment ref="BW65" authorId="0" shapeId="0">
      <text>
        <t>MACD 慢線 1.047 → 1.044（要升）</t>
      </text>
    </comment>
    <comment ref="BW66" authorId="0" shapeId="0">
      <text>
        <t>MACD 慢線 14.842 → 14.841（要升）
柱 +1.318 → +0.686 → -0.004（淺綠 深綠 淺綠 淺綠 淺綠 淺綠 淺綠 深紅）；轉勢 —（要 ≤3 日內出現第一根淺紅／深綠，其後每根都升）</t>
      </text>
    </comment>
    <comment ref="BW67" authorId="0" shapeId="0">
      <text>
        <t>MACD 慢線 0.610 → 0.587（要升）</t>
      </text>
    </comment>
    <comment ref="BW68" authorId="0" shapeId="0">
      <text>
        <t>MACD 慢線 0.439 → 0.435（要升）
柱 +0.038 → +0.013 → -0.017（深綠 淺綠 淺綠 深綠 淺綠 淺綠 淺綠 深紅）；轉勢 —（要 ≤3 日內出現第一根淺紅／深綠，其後每根都升）</t>
      </text>
    </comment>
    <comment ref="BW69" authorId="0" shapeId="0">
      <text>
        <t>MACD 慢線 7.411 → 7.283（要升）</t>
      </text>
    </comment>
    <comment ref="BW70" authorId="0" shapeId="0">
      <text>
        <t>MACD 慢線 0.538 → 0.501（要升）</t>
      </text>
    </comment>
    <comment ref="BW71" authorId="0" shapeId="0">
      <text>
        <t>MACD 慢線 0.581 → 0.569（要升）
柱 +0.059 → -0.012 → -0.050（淺綠 淺綠 深綠 深綠 淺綠 淺綠 深紅 深紅）；轉勢 —（要 ≤3 日內出現第一根淺紅／深綠，其後每根都升）</t>
      </text>
    </comment>
    <comment ref="BW72" authorId="0" shapeId="0">
      <text>
        <t>柱 -0.501 → +0.216 → +0.230（淺紅 深紅 深紅 深紅 深紅 深紅 深綠 深綠）；轉勢 —（要 ≤3 日內出現第一根淺紅／深綠，其後每根都升）</t>
      </text>
    </comment>
    <comment ref="BW73" authorId="0" shapeId="0">
      <text>
        <t>MACD 慢線 0.757 → 0.738（要升）
柱 +0.032 → -0.034 → -0.079（深綠 深綠 深綠 淺綠 淺綠 淺綠 深紅 深紅）；轉勢 —（要 ≤3 日內出現第一根淺紅／深綠，其後每根都升）</t>
      </text>
    </comment>
    <comment ref="BW74" authorId="0" shapeId="0">
      <text>
        <t>柱 +0.247 → +0.221 → +0.061（深綠 深綠 淺綠 淺綠 淺綠 淺綠 淺綠 淺綠）；轉勢 —（要 ≤3 日內出現第一根淺紅／深綠，其後每根都升）</t>
      </text>
    </comment>
    <comment ref="BW75" authorId="0" shapeId="0">
      <text>
        <t>MACD 慢線 0.749 → 0.739（要升）
柱 +0.016 → -0.012 → -0.036（淺綠 淺綠 淺綠 淺綠 淺綠 淺綠 深紅 深紅）；轉勢 —（要 ≤3 日內出現第一根淺紅／深綠，其後每根都升）</t>
      </text>
    </comment>
    <comment ref="BW76" authorId="0" shapeId="0">
      <text>
        <t>柱 +0.035 → +0.026 → +0.023（深紅 深綠 深綠 深綠 深綠 淺綠 淺綠 淺綠）；轉勢 —（要 ≤3 日內出現第一根淺紅／深綠，其後每根都升）</t>
      </text>
    </comment>
    <comment ref="BW77" authorId="0" shapeId="0">
      <text>
        <t>MACD 慢線 0.315 → 0.307（要升）
柱 -0.025 → -0.013 → -0.033（淺綠 深紅 深紅 深紅 淺紅 淺紅 淺紅 深紅）；轉勢 —（要 ≤3 日內出現第一根淺紅／深綠，其後每根都升）</t>
      </text>
    </comment>
    <comment ref="BW78" authorId="0" shapeId="0">
      <text>
        <t>MACD 慢線 2.274 → 2.237（要升）
柱 +0.156 → +0.005 → -0.146（淺綠 淺綠 淺綠 淺綠 淺綠 淺綠 淺綠 深紅）；轉勢 —（要 ≤3 日內出現第一根淺紅／深綠，其後每根都升）</t>
      </text>
    </comment>
    <comment ref="BW79" authorId="0" shapeId="0">
      <text>
        <t>柱 +0.079 → +0.104 → +0.098（深綠 深綠 淺綠 淺綠 淺綠 淺綠 深綠 淺綠）；轉勢 —（要 ≤3 日內出現第一根淺紅／深綠，其後每根都升）</t>
      </text>
    </comment>
    <comment ref="BW80" authorId="0" shapeId="0">
      <text>
        <t>MACD 慢線 1.038 → 1.004（要升）
柱 -0.115 → -0.132 → -0.137（淺綠 淺綠 深紅 淺紅 深紅 深紅 深紅 深紅）；轉勢 —（要 ≤3 日內出現第一根淺紅／深綠，其後每根都升）</t>
      </text>
    </comment>
    <comment ref="BW81" authorId="0" shapeId="0">
      <text>
        <t>MACD 慢線 0.644 → 0.620（要升）</t>
      </text>
    </comment>
    <comment ref="BW82" authorId="0" shapeId="0">
      <text>
        <t>柱 +0.145 → -0.306 → +0.051（淺綠 淺綠 深綠 深紅 深綠 淺綠 深紅 深綠）；轉勢 —（要 ≤3 日內出現第一根淺紅／深綠，其後每根都升）</t>
      </text>
    </comment>
    <comment ref="BW83" authorId="0" shapeId="0">
      <text>
        <t>MACD 慢線 0.474 → 0.468（要升）</t>
      </text>
    </comment>
    <comment ref="BW84" authorId="0" shapeId="0">
      <text>
        <t>MACD 慢線 0.492 → 0.479（要升）
柱 -0.018 → -0.034 → -0.051（淺紅 深綠 淺綠 深紅 深紅 淺紅 深紅 深紅）；轉勢 —（要 ≤3 日內出現第一根淺紅／深綠，其後每根都升）</t>
      </text>
    </comment>
    <comment ref="BW85" authorId="0" shapeId="0">
      <text>
        <t>MACD 慢線 55.835 → 54.819（要升）
柱 -0.699 → +0.207 → -4.066（深綠 淺綠 淺綠 淺綠 淺綠 深紅 深綠 深紅）；轉勢 —（要 ≤3 日內出現第一根淺紅／深綠，其後每根都升）</t>
      </text>
    </comment>
    <comment ref="BW86" authorId="0" shapeId="0">
      <text>
        <t>柱 +0.624 → +0.428 → +0.417（深綠 淺綠 淺綠 淺綠 淺綠 淺綠 淺綠 淺綠）；轉勢 —（要 ≤3 日內出現第一根淺紅／深綠，其後每根都升）</t>
      </text>
    </comment>
    <comment ref="BW87" authorId="0" shapeId="0">
      <text>
        <t>MACD 慢線 0.141 → 0.136（要升）</t>
      </text>
    </comment>
    <comment ref="BW88" authorId="0" shapeId="0">
      <text>
        <t>柱 +0.420 → +0.361 → +0.348（淺綠 淺綠 深綠 淺綠 淺綠 淺綠 淺綠 淺綠）；轉勢 —（要 ≤3 日內出現第一根淺紅／深綠，其後每根都升）</t>
      </text>
    </comment>
    <comment ref="BW89" authorId="0" shapeId="0">
      <text>
        <t>MACD 慢線 0.511 → 0.505（要升）
柱 -0.021 → -0.003 → -0.022（淺綠 深綠 深綠 淺綠 淺綠 深紅 淺紅 深紅）；轉勢 —（要 ≤3 日內出現第一根淺紅／深綠，其後每根都升）</t>
      </text>
    </comment>
    <comment ref="BW90" authorId="0" shapeId="0">
      <text>
        <t>MACD 慢線 0.762 → 0.744（要升）
柱 -0.057 → -0.026 → -0.070（淺綠 深紅 深紅 深紅 淺紅 淺紅 淺紅 深紅）；轉勢 —（要 ≤3 日內出現第一根淺紅／深綠，其後每根都升）</t>
      </text>
    </comment>
    <comment ref="BW91" authorId="0" shapeId="0">
      <text>
        <t>MACD 慢線 0.971 → 0.955（要升）</t>
      </text>
    </comment>
    <comment ref="BW92" authorId="0" shapeId="0">
      <text>
        <t>MACD 慢線 22.842 → 21.799（要升）</t>
      </text>
    </comment>
    <comment ref="BW93" authorId="0" shapeId="0">
      <text>
        <t>MACD 慢線 0.743 → 0.731（要升）
柱 -0.006 → -0.045 → -0.046（深紅 淺紅 淺紅 淺紅 淺紅 深紅 深紅 深紅）；轉勢 —（要 ≤3 日內出現第一根淺紅／深綠，其後每根都升）</t>
      </text>
    </comment>
    <comment ref="BW94" authorId="0" shapeId="0">
      <text>
        <t>柱 +0.003 → +0.001 → +0.001（深綠 淺綠 淺綠 淺綠 淺綠 淺綠 淺綠 淺綠）；轉勢 —（要 ≤3 日內出現第一根淺紅／深綠，其後每根都升）</t>
      </text>
    </comment>
    <comment ref="BW95" authorId="0" shapeId="0">
      <text>
        <t>MACD 慢線 1.127 → 1.092（要升）</t>
      </text>
    </comment>
    <comment ref="BW96" authorId="0" shapeId="0">
      <text>
        <t>柱 +0.666 → +0.422 → +0.319（淺綠 深綠 深綠 淺綠 淺綠 淺綠 淺綠 淺綠）；轉勢 —（要 ≤3 日內出現第一根淺紅／深綠，其後每根都升）</t>
      </text>
    </comment>
    <comment ref="BW97" authorId="0" shapeId="0">
      <text>
        <t>MACD 慢線 0.206 → 0.198（要升）
柱 -0.001 → -0.023 → -0.033（深綠 深綠 淺綠 淺綠 淺綠 深紅 深紅 深紅）；轉勢 —（要 ≤3 日內出現第一根淺紅／深綠，其後每根都升）</t>
      </text>
    </comment>
    <comment ref="BW98" authorId="0" shapeId="0">
      <text>
        <t>柱 +0.180 → +0.153 → +0.134（淺綠 淺綠 淺綠 深綠 淺綠 淺綠 淺綠 淺綠）；轉勢 —（要 ≤3 日內出現第一根淺紅／深綠，其後每根都升）</t>
      </text>
    </comment>
    <comment ref="BW99" authorId="0" shapeId="0">
      <text>
        <t>MACD 慢線 0.578 → 0.535（要升）
柱 -0.158 → -0.166 → -0.169（淺紅 淺紅 淺紅 淺紅 淺紅 淺紅 深紅 深紅）；轉勢 —（要 ≤3 日內出現第一根淺紅／深綠，其後每根都升）</t>
      </text>
    </comment>
    <comment ref="BW100" authorId="0" shapeId="0">
      <text>
        <t>柱 +0.390 → +0.346 → +0.290（深綠 深綠 淺綠 深綠 深綠 深綠 淺綠 淺綠）；轉勢 —（要 ≤3 日內出現第一根淺紅／深綠，其後每根都升）</t>
      </text>
    </comment>
    <comment ref="BW101" authorId="0" shapeId="0">
      <text>
        <t>柱 +0.141 → +0.109 → +0.109（淺綠 深綠 淺綠 深綠 淺綠 淺綠 淺綠 淺綠）；轉勢 —（要 ≤3 日內出現第一根淺紅／深綠，其後每根都升）</t>
      </text>
    </comment>
    <comment ref="BW102" authorId="0" shapeId="0">
      <text>
        <t>MACD 慢線 0.189 → 0.181（要升）
柱 +0.015 → -0.017 → -0.030（淺綠 淺綠 淺綠 淺綠 淺綠 淺綠 深紅 深紅）；轉勢 —（要 ≤3 日內出現第一根淺紅／深綠，其後每根都升）</t>
      </text>
    </comment>
    <comment ref="BW103" authorId="0" shapeId="0">
      <text>
        <t>MACD 慢線 0.568 → 0.548（要升）
柱 -0.058 → -0.070 → -0.080（淺綠 淺綠 深紅 深紅 深紅 深紅 深紅 深紅）；轉勢 —（要 ≤3 日內出現第一根淺紅／深綠，其後每根都升）</t>
      </text>
    </comment>
    <comment ref="BW104" authorId="0" shapeId="0">
      <text>
        <t>MACD 慢線 5.390 → 4.956（要升）</t>
      </text>
    </comment>
    <comment ref="BW105" authorId="0" shapeId="0">
      <text>
        <t>MACD 慢線 13.470 → 12.624（要升）</t>
      </text>
    </comment>
    <comment ref="BW106" authorId="0" shapeId="0">
      <text>
        <t>MACD 慢線 3.449 → 3.376（要升）</t>
      </text>
    </comment>
    <comment ref="BW107" authorId="0" shapeId="0">
      <text>
        <t>柱 +0.178 → +0.157 → +0.135（淺綠 深綠 深綠 深綠 深綠 淺綠 淺綠 淺綠）；轉勢 —（要 ≤3 日內出現第一根淺紅／深綠，其後每根都升）</t>
      </text>
    </comment>
    <comment ref="BW108" authorId="0" shapeId="0">
      <text>
        <t>MACD 慢線 7.341 → 7.300（要升）
柱 +1.905 → +0.709 → -0.165（淺綠 深綠 深綠 深綠 深綠 淺綠 淺綠 深紅）；轉勢 —（要 ≤3 日內出現第一根淺紅／深綠，其後每根都升）</t>
      </text>
    </comment>
    <comment ref="BW109" authorId="0" shapeId="0">
      <text>
        <t>MACD 慢線 13.908 → 12.907（要升）</t>
      </text>
    </comment>
    <comment ref="BW110" authorId="0" shapeId="0">
      <text>
        <t>柱 +0.004 → +0.003 → +0.002（淺綠 淺綠 淺綠 淺綠 淺綠 淺綠 淺綠 淺綠）；轉勢 —（要 ≤3 日內出現第一根淺紅／深綠，其後每根都升）</t>
      </text>
    </comment>
    <comment ref="BW111" authorId="0" shapeId="0">
      <text>
        <t>MACD 慢線 0.302 → 0.300（要升）</t>
      </text>
    </comment>
    <comment ref="BW112" authorId="0" shapeId="0">
      <text>
        <t>柱 +0.751 → +0.650 → +0.619（淺綠 淺綠 淺綠 淺綠 淺綠 淺綠 淺綠 淺綠）；轉勢 —（要 ≤3 日內出現第一根淺紅／深綠，其後每根都升）</t>
      </text>
    </comment>
    <comment ref="BW113" authorId="0" shapeId="0">
      <text>
        <t>MACD 慢線 0.317 → 0.316（要升）</t>
      </text>
    </comment>
    <comment ref="BW114" authorId="0" shapeId="0">
      <text>
        <t>MACD 慢線 3.243 → 3.009（要升）
柱 -0.580 → -0.925 → -0.937（深紅 淺紅 深紅 深紅 深紅 深紅 深紅 深紅）；轉勢 —（要 ≤3 日內出現第一根淺紅／深綠，其後每根都升）</t>
      </text>
    </comment>
    <comment ref="BW115" authorId="0" shapeId="0">
      <text>
        <t>MACD 慢線 5.073 → 4.820（要升）
柱 -0.601 → -0.990 → -1.013（淺綠 淺綠 淺綠 淺綠 深紅 深紅 深紅 深紅）；轉勢 —（要 ≤3 日內出現第一根淺紅／深綠，其後每根都升）</t>
      </text>
    </comment>
    <comment ref="BW116" authorId="0" shapeId="0">
      <text>
        <t>MACD 慢線 0.034 → 0.034（要升）</t>
      </text>
    </comment>
    <comment ref="BW117" authorId="0" shapeId="0">
      <text>
        <t>MACD 慢線 0.337 → 0.312（要升）</t>
      </text>
    </comment>
    <comment ref="BW118" authorId="0" shapeId="0">
      <text>
        <t>柱 +0.099 → +0.126 → +0.113（深綠 淺綠 淺綠 淺綠 淺綠 深綠 深綠 淺綠）；轉勢 —（要 ≤3 日內出現第一根淺紅／深綠，其後每根都升）</t>
      </text>
    </comment>
    <comment ref="BW119" authorId="0" shapeId="0">
      <text>
        <t>MACD 慢線 5.170 → 4.906（要升）
柱 -0.333 → -0.907 → -1.056（深綠 淺綠 深綠 淺綠 淺綠 深紅 深紅 深紅）；轉勢 —（要 ≤3 日內出現第一根淺紅／深綠，其後每根都升）</t>
      </text>
    </comment>
    <comment ref="BW120" authorId="0" shapeId="0">
      <text>
        <t>MACD 慢線 1.140 → 1.088（要升）</t>
      </text>
    </comment>
    <comment ref="BW121" authorId="0" shapeId="0">
      <text>
        <t>MACD 慢線 0.930 → 0.919（要升）
柱 +0.065 → +0.011 → -0.045（淺綠 淺綠 淺綠 淺綠 淺綠 淺綠 淺綠 深紅）；轉勢 —（要 ≤3 日內出現第一根淺紅／深綠，其後每根都升）</t>
      </text>
    </comment>
    <comment ref="BW122" authorId="0" shapeId="0">
      <text>
        <t>MACD 慢線 1.883 → 1.785（要升）</t>
      </text>
    </comment>
    <comment ref="BW123" authorId="0" shapeId="0">
      <text>
        <t>MACD 慢線 1.653 → 1.550（要升）
柱 -0.469 → -0.440 → -0.411（淺紅 淺紅 淺紅 淺紅 淺紅 淺紅 淺紅 淺紅）；轉勢 —（要 ≤3 日內出現第一根淺紅／深綠，其後每根都升）</t>
      </text>
    </comment>
    <comment ref="BW124" authorId="0" shapeId="0">
      <text>
        <t>MACD 慢線 1.221 → 1.154（要升）
柱 -0.291 → -0.274 → -0.269（淺紅 淺紅 淺紅 淺紅 淺紅 淺紅 淺紅 淺紅）；轉勢 —（要 ≤3 日內出現第一根淺紅／深綠，其後每根都升）</t>
      </text>
    </comment>
    <comment ref="BW125" authorId="0" shapeId="0">
      <text>
        <t>柱 +1.535 → +1.583 → +1.490（深綠 深綠 深綠 淺綠 淺綠 淺綠 深綠 淺綠）；轉勢 —（要 ≤3 日內出現第一根淺紅／深綠，其後每根都升）</t>
      </text>
    </comment>
    <comment ref="BW126" authorId="0" shapeId="0">
      <text>
        <t>MACD 慢線 0.069 → 0.067（要升）</t>
      </text>
    </comment>
    <comment ref="BW127" authorId="0" shapeId="0">
      <text>
        <t>MACD 慢線 0.615 → 0.604（要升）</t>
      </text>
    </comment>
    <comment ref="BW128" authorId="0" shapeId="0">
      <text>
        <t>MACD 慢線 0.197 → 0.194（要升）
柱 -0.009 → -0.005 → -0.011（淺綠 淺綠 深綠 淺綠 深綠 深紅 淺紅 深紅）；轉勢 —（要 ≤3 日內出現第一根淺紅／深綠，其後每根都升）</t>
      </text>
    </comment>
    <comment ref="BW129" authorId="0" shapeId="0">
      <text>
        <t>MACD 慢線 0.200 → 0.190（要升）</t>
      </text>
    </comment>
    <comment ref="BW130" authorId="0" shapeId="0">
      <text>
        <t>MACD 慢線 0.226 → 0.224（要升）</t>
      </text>
    </comment>
    <comment ref="BW131" authorId="0" shapeId="0">
      <text>
        <t>柱 +0.005 → +0.007 → +0.007（淺綠 深綠 深綠 深綠 淺綠 深綠 深綠 淺綠）；轉勢 —（要 ≤3 日內出現第一根淺紅／深綠，其後每根都升）</t>
      </text>
    </comment>
    <comment ref="BW132" authorId="0" shapeId="0">
      <text>
        <t>MACD 慢線 0.368 → 0.352（要升）</t>
      </text>
    </comment>
    <comment ref="BW133" authorId="0" shapeId="0">
      <text>
        <t>MACD 慢線 0.822 → 0.796（要升）
柱 -0.388 → -0.224 → -0.105（淺紅 淺紅 淺紅 淺紅 淺紅 淺紅 淺紅 淺紅）；轉勢 深紅→淺紅 7 日前（要 ≤3 日內出現第一根淺紅／深綠，其後每根都升）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amn" TargetMode="External" Id="rId1" /><Relationship Type="http://schemas.openxmlformats.org/officeDocument/2006/relationships/hyperlink" Target="https://www.tradingview.com/chart/Q1c5VWwD/?symbol=nyse%3Asei" TargetMode="External" Id="rId2" /><Relationship Type="http://schemas.openxmlformats.org/officeDocument/2006/relationships/hyperlink" Target="https://www.tradingview.com/chart/Q1c5VWwD/?symbol=nyse%3Addd" TargetMode="External" Id="rId3" /><Relationship Type="http://schemas.openxmlformats.org/officeDocument/2006/relationships/hyperlink" Target="https://www.tradingview.com/chart/Q1c5VWwD/?symbol=nasdaq%3Affiv" TargetMode="External" Id="rId4" /><Relationship Type="http://schemas.openxmlformats.org/officeDocument/2006/relationships/hyperlink" Target="https://www.tradingview.com/chart/Q1c5VWwD/?symbol=nyse%3Aanet" TargetMode="External" Id="rId5" /><Relationship Type="http://schemas.openxmlformats.org/officeDocument/2006/relationships/hyperlink" Target="https://www.tradingview.com/chart/Q1c5VWwD/?symbol=nasdaq%3Aftnt" TargetMode="External" Id="rId6" /><Relationship Type="http://schemas.openxmlformats.org/officeDocument/2006/relationships/hyperlink" Target="https://www.tradingview.com/chart/Q1c5VWwD/?symbol=nasdaq%3Apanw" TargetMode="External" Id="rId7" /><Relationship Type="http://schemas.openxmlformats.org/officeDocument/2006/relationships/hyperlink" Target="https://www.tradingview.com/chart/Q1c5VWwD/?symbol=nyse%3Aneu" TargetMode="External" Id="rId8" /><Relationship Type="http://schemas.openxmlformats.org/officeDocument/2006/relationships/hyperlink" Target="https://www.tradingview.com/chart/Q1c5VWwD/?symbol=nyse%3Ahnge" TargetMode="External" Id="rId9" /><Relationship Type="http://schemas.openxmlformats.org/officeDocument/2006/relationships/hyperlink" Target="https://www.tradingview.com/chart/Q1c5VWwD/?symbol=nasdaq%3Aqlys" TargetMode="External" Id="rId10" /><Relationship Type="http://schemas.openxmlformats.org/officeDocument/2006/relationships/hyperlink" Target="https://www.tradingview.com/chart/Q1c5VWwD/?symbol=nasdaq%3Acnxn" TargetMode="External" Id="rId11" /><Relationship Type="http://schemas.openxmlformats.org/officeDocument/2006/relationships/hyperlink" Target="https://www.tradingview.com/chart/Q1c5VWwD/?symbol=nasdaq%3Acrvl" TargetMode="External" Id="rId12" /><Relationship Type="http://schemas.openxmlformats.org/officeDocument/2006/relationships/hyperlink" Target="https://www.tradingview.com/chart/Q1c5VWwD/?symbol=nasdaq%3Anvda" TargetMode="External" Id="rId13" /><Relationship Type="http://schemas.openxmlformats.org/officeDocument/2006/relationships/hyperlink" Target="https://www.tradingview.com/chart/Q1c5VWwD/?symbol=nasdaq%3Alegh" TargetMode="External" Id="rId14" /><Relationship Type="http://schemas.openxmlformats.org/officeDocument/2006/relationships/hyperlink" Target="https://www.tradingview.com/chart/Q1c5VWwD/?symbol=nasdaq%3Atenb" TargetMode="External" Id="rId15" /><Relationship Type="http://schemas.openxmlformats.org/officeDocument/2006/relationships/hyperlink" Target="https://www.tradingview.com/chart/Q1c5VWwD/?symbol=amex%3Anhc" TargetMode="External" Id="rId16" /><Relationship Type="http://schemas.openxmlformats.org/officeDocument/2006/relationships/hyperlink" Target="https://www.tradingview.com/chart/Q1c5VWwD/?symbol=nasdaq%3Aslab" TargetMode="External" Id="rId17" /><Relationship Type="http://schemas.openxmlformats.org/officeDocument/2006/relationships/hyperlink" Target="https://www.tradingview.com/chart/Q1c5VWwD/?symbol=nasdaq%3Afast" TargetMode="External" Id="rId18" /><Relationship Type="http://schemas.openxmlformats.org/officeDocument/2006/relationships/hyperlink" Target="https://www.tradingview.com/chart/Q1c5VWwD/?symbol=nasdaq%3Astrl" TargetMode="External" Id="rId19" /><Relationship Type="http://schemas.openxmlformats.org/officeDocument/2006/relationships/hyperlink" Target="https://www.tradingview.com/chart/Q1c5VWwD/?symbol=nyse%3Avsts" TargetMode="External" Id="rId20" /><Relationship Type="http://schemas.openxmlformats.org/officeDocument/2006/relationships/hyperlink" Target="https://www.tradingview.com/chart/Q1c5VWwD/?symbol=nasdaq%3Agsat" TargetMode="External" Id="rId21" /><Relationship Type="http://schemas.openxmlformats.org/officeDocument/2006/relationships/hyperlink" Target="https://www.tradingview.com/chart/Q1c5VWwD/?symbol=nasdaq%3Aegbn" TargetMode="External" Id="rId22" /><Relationship Type="http://schemas.openxmlformats.org/officeDocument/2006/relationships/hyperlink" Target="https://www.tradingview.com/chart/Q1c5VWwD/?symbol=nasdaq%3Aapxt" TargetMode="External" Id="rId23" /><Relationship Type="http://schemas.openxmlformats.org/officeDocument/2006/relationships/hyperlink" Target="https://www.tradingview.com/chart/Q1c5VWwD/?symbol=nyse%3Aopy" TargetMode="External" Id="rId24" /><Relationship Type="http://schemas.openxmlformats.org/officeDocument/2006/relationships/hyperlink" Target="https://www.tradingview.com/chart/Q1c5VWwD/?symbol=nasdaq%3Atrns" TargetMode="External" Id="rId25" /><Relationship Type="http://schemas.openxmlformats.org/officeDocument/2006/relationships/hyperlink" Target="https://www.tradingview.com/chart/Q1c5VWwD/?symbol=nyse%3Abj" TargetMode="External" Id="rId26" /><Relationship Type="http://schemas.openxmlformats.org/officeDocument/2006/relationships/hyperlink" Target="https://www.tradingview.com/chart/Q1c5VWwD/?symbol=nyse%3Adocs" TargetMode="External" Id="rId27" /><Relationship Type="http://schemas.openxmlformats.org/officeDocument/2006/relationships/hyperlink" Target="https://www.tradingview.com/chart/Q1c5VWwD/?symbol=amex%3Ahyln" TargetMode="External" Id="rId28" /><Relationship Type="http://schemas.openxmlformats.org/officeDocument/2006/relationships/hyperlink" Target="https://www.tradingview.com/chart/Q1c5VWwD/?symbol=nasdaq%3Asanm" TargetMode="External" Id="rId29" /><Relationship Type="http://schemas.openxmlformats.org/officeDocument/2006/relationships/hyperlink" Target="https://www.tradingview.com/chart/Q1c5VWwD/?symbol=nasdaq%3Attmi" TargetMode="External" Id="rId30" /><Relationship Type="http://schemas.openxmlformats.org/officeDocument/2006/relationships/hyperlink" Target="https://www.tradingview.com/chart/Q1c5VWwD/?symbol=nasdaq%3Aalmr" TargetMode="External" Id="rId31" /><Relationship Type="http://schemas.openxmlformats.org/officeDocument/2006/relationships/hyperlink" Target="https://www.tradingview.com/chart/Q1c5VWwD/?symbol=nasdaq%3Aaxti" TargetMode="External" Id="rId32" /><Relationship Type="http://schemas.openxmlformats.org/officeDocument/2006/relationships/hyperlink" Target="https://www.tradingview.com/chart/Q1c5VWwD/?symbol=nasdaq%3Apgen" TargetMode="External" Id="rId33" /><Relationship Type="http://schemas.openxmlformats.org/officeDocument/2006/relationships/hyperlink" Target="https://www.tradingview.com/chart/Q1c5VWwD/?symbol=nyse%3Ahpe" TargetMode="External" Id="rId34" /><Relationship Type="http://schemas.openxmlformats.org/officeDocument/2006/relationships/hyperlink" Target="https://www.tradingview.com/chart/Q1c5VWwD/?symbol=nyse%3As" TargetMode="External" Id="rId35" /><Relationship Type="http://schemas.openxmlformats.org/officeDocument/2006/relationships/hyperlink" Target="https://www.tradingview.com/chart/Q1c5VWwD/?symbol=nyse%3Aftk" TargetMode="External" Id="rId36" /><Relationship Type="http://schemas.openxmlformats.org/officeDocument/2006/relationships/hyperlink" Target="https://www.tradingview.com/chart/Q1c5VWwD/?symbol=nasdaq%3Aaehr" TargetMode="External" Id="rId37" /><Relationship Type="http://schemas.openxmlformats.org/officeDocument/2006/relationships/hyperlink" Target="https://www.tradingview.com/chart/Q1c5VWwD/?symbol=nasdaq%3Aqmco" TargetMode="External" Id="rId38" /><Relationship Type="http://schemas.openxmlformats.org/officeDocument/2006/relationships/hyperlink" Target="https://www.tradingview.com/chart/Q1c5VWwD/?symbol=nasdaq%3Aavt" TargetMode="External" Id="rId39" /><Relationship Type="http://schemas.openxmlformats.org/officeDocument/2006/relationships/hyperlink" Target="https://www.tradingview.com/chart/Q1c5VWwD/?symbol=nasdaq%3Aabsi" TargetMode="External" Id="rId40" /><Relationship Type="http://schemas.openxmlformats.org/officeDocument/2006/relationships/hyperlink" Target="https://www.tradingview.com/chart/Q1c5VWwD/?symbol=nyse%3Aprlb" TargetMode="External" Id="rId41" /><Relationship Type="http://schemas.openxmlformats.org/officeDocument/2006/relationships/hyperlink" Target="https://www.tradingview.com/chart/Q1c5VWwD/?symbol=nyse%3Akodk" TargetMode="External" Id="rId42" /><Relationship Type="http://schemas.openxmlformats.org/officeDocument/2006/relationships/hyperlink" Target="https://www.tradingview.com/chart/Q1c5VWwD/?symbol=nasdaq%3Apwrl" TargetMode="External" Id="rId43" /><Relationship Type="http://schemas.openxmlformats.org/officeDocument/2006/relationships/hyperlink" Target="https://www.tradingview.com/chart/Q1c5VWwD/?symbol=nasdaq%3Atssi" TargetMode="External" Id="rId44" /><Relationship Type="http://schemas.openxmlformats.org/officeDocument/2006/relationships/hyperlink" Target="https://www.tradingview.com/chart/Q1c5VWwD/?symbol=nasdaq%3Api" TargetMode="External" Id="rId45" /><Relationship Type="http://schemas.openxmlformats.org/officeDocument/2006/relationships/hyperlink" Target="https://www.tradingview.com/chart/Q1c5VWwD/?symbol=nasdaq%3Aswbi" TargetMode="External" Id="rId46" /><Relationship Type="http://schemas.openxmlformats.org/officeDocument/2006/relationships/hyperlink" Target="https://www.tradingview.com/chart/Q1c5VWwD/?symbol=amex%3Arlgt" TargetMode="External" Id="rId47" /><Relationship Type="http://schemas.openxmlformats.org/officeDocument/2006/relationships/hyperlink" Target="https://www.tradingview.com/chart/Q1c5VWwD/?symbol=nyse%3Acldt" TargetMode="External" Id="rId48" /><Relationship Type="http://schemas.openxmlformats.org/officeDocument/2006/relationships/hyperlink" Target="https://www.tradingview.com/chart/Q1c5VWwD/?symbol=nyse%3Awmk" TargetMode="External" Id="rId49" /><Relationship Type="http://schemas.openxmlformats.org/officeDocument/2006/relationships/hyperlink" Target="https://www.tradingview.com/chart/Q1c5VWwD/?symbol=nasdaq%3Amrvi" TargetMode="External" Id="rId50" /><Relationship Type="http://schemas.openxmlformats.org/officeDocument/2006/relationships/hyperlink" Target="https://www.tradingview.com/chart/Q1c5VWwD/?symbol=nasdaq%3Aaip" TargetMode="External" Id="rId51" /><Relationship Type="http://schemas.openxmlformats.org/officeDocument/2006/relationships/hyperlink" Target="https://www.tradingview.com/chart/Q1c5VWwD/?symbol=nasdaq%3Awest" TargetMode="External" Id="rId52" /><Relationship Type="http://schemas.openxmlformats.org/officeDocument/2006/relationships/hyperlink" Target="https://www.tradingview.com/chart/Q1c5VWwD/?symbol=nasdaq%3Ahwkn" TargetMode="External" Id="rId53" /><Relationship Type="http://schemas.openxmlformats.org/officeDocument/2006/relationships/hyperlink" Target="https://www.tradingview.com/chart/Q1c5VWwD/?symbol=nyse%3Afix" TargetMode="External" Id="rId54" /><Relationship Type="http://schemas.openxmlformats.org/officeDocument/2006/relationships/hyperlink" Target="https://www.tradingview.com/chart/Q1c5VWwD/?symbol=nasdaq%3Anvts" TargetMode="External" Id="rId55" /><Relationship Type="http://schemas.openxmlformats.org/officeDocument/2006/relationships/hyperlink" Target="https://www.tradingview.com/chart/Q1c5VWwD/?symbol=nasdaq%3Apcrx" TargetMode="External" Id="rId56" /><Relationship Type="http://schemas.openxmlformats.org/officeDocument/2006/relationships/hyperlink" Target="https://www.tradingview.com/chart/Q1c5VWwD/?symbol=nasdaq%3Afbla" TargetMode="External" Id="rId57" /><Relationship Type="http://schemas.openxmlformats.org/officeDocument/2006/relationships/hyperlink" Target="https://www.tradingview.com/chart/Q1c5VWwD/?symbol=nasdaq%3Agfs" TargetMode="External" Id="rId58" /><Relationship Type="http://schemas.openxmlformats.org/officeDocument/2006/relationships/hyperlink" Target="https://www.tradingview.com/chart/Q1c5VWwD/?symbol=nasdaq%3Antnx" TargetMode="External" Id="rId59" /><Relationship Type="http://schemas.openxmlformats.org/officeDocument/2006/relationships/hyperlink" Target="https://www.tradingview.com/chart/Q1c5VWwD/?symbol=nasdaq%3Alyts" TargetMode="External" Id="rId60" /><Relationship Type="http://schemas.openxmlformats.org/officeDocument/2006/relationships/hyperlink" Target="https://www.tradingview.com/chart/Q1c5VWwD/?symbol=nasdaq%3Aflex" TargetMode="External" Id="rId61" /><Relationship Type="http://schemas.openxmlformats.org/officeDocument/2006/relationships/hyperlink" Target="https://www.tradingview.com/chart/Q1c5VWwD/?symbol=nasdaq%3Afeim" TargetMode="External" Id="rId62" /><Relationship Type="http://schemas.openxmlformats.org/officeDocument/2006/relationships/hyperlink" Target="https://www.tradingview.com/chart/Q1c5VWwD/?symbol=nyse%3Ajill" TargetMode="External" Id="rId63" /><Relationship Type="http://schemas.openxmlformats.org/officeDocument/2006/relationships/hyperlink" Target="https://www.tradingview.com/chart/Q1c5VWwD/?symbol=nasdaq%3Appih" TargetMode="External" Id="rId64" /><Relationship Type="http://schemas.openxmlformats.org/officeDocument/2006/relationships/hyperlink" Target="https://www.tradingview.com/chart/Q1c5VWwD/?symbol=nyse%3Anet" TargetMode="External" Id="rId65" /><Relationship Type="http://schemas.openxmlformats.org/officeDocument/2006/relationships/hyperlink" Target="https://www.tradingview.com/chart/Q1c5VWwD/?symbol=nyse%3Altc" TargetMode="External" Id="rId66" /><Relationship Type="http://schemas.openxmlformats.org/officeDocument/2006/relationships/hyperlink" Target="https://www.tradingview.com/chart/Q1c5VWwD/?symbol=nasdaq%3Anvax" TargetMode="External" Id="rId67" /><Relationship Type="http://schemas.openxmlformats.org/officeDocument/2006/relationships/hyperlink" Target="https://www.tradingview.com/chart/Q1c5VWwD/?symbol=nasdaq%3Anutx" TargetMode="External" Id="rId68" /><Relationship Type="http://schemas.openxmlformats.org/officeDocument/2006/relationships/hyperlink" Target="https://www.tradingview.com/chart/Q1c5VWwD/?symbol=nasdaq%3Asmmt" TargetMode="External" Id="rId69" /><Relationship Type="http://schemas.openxmlformats.org/officeDocument/2006/relationships/hyperlink" Target="https://www.tradingview.com/chart/Q1c5VWwD/?symbol=nasdaq%3Aflgt" TargetMode="External" Id="rId70" /><Relationship Type="http://schemas.openxmlformats.org/officeDocument/2006/relationships/hyperlink" Target="https://www.tradingview.com/chart/Q1c5VWwD/?symbol=nasdaq%3Ahurn" TargetMode="External" Id="rId71" /><Relationship Type="http://schemas.openxmlformats.org/officeDocument/2006/relationships/hyperlink" Target="https://www.tradingview.com/chart/Q1c5VWwD/?symbol=nyse%3Amg" TargetMode="External" Id="rId72" /><Relationship Type="http://schemas.openxmlformats.org/officeDocument/2006/relationships/hyperlink" Target="https://www.tradingview.com/chart/Q1c5VWwD/?symbol=nasdaq%3Apltr" TargetMode="External" Id="rId73" /><Relationship Type="http://schemas.openxmlformats.org/officeDocument/2006/relationships/hyperlink" Target="https://www.tradingview.com/chart/Q1c5VWwD/?symbol=nyse%3Aacva" TargetMode="External" Id="rId74" /><Relationship Type="http://schemas.openxmlformats.org/officeDocument/2006/relationships/hyperlink" Target="https://www.tradingview.com/chart/Q1c5VWwD/?symbol=nasdaq%3Amntk" TargetMode="External" Id="rId75" /><Relationship Type="http://schemas.openxmlformats.org/officeDocument/2006/relationships/hyperlink" Target="https://www.tradingview.com/chart/Q1c5VWwD/?symbol=nasdaq%3Aobio" TargetMode="External" Id="rId76" /><Relationship Type="http://schemas.openxmlformats.org/officeDocument/2006/relationships/hyperlink" Target="https://www.tradingview.com/chart/Q1c5VWwD/?symbol=nasdaq%3Apsix" TargetMode="External" Id="rId77" /><Relationship Type="http://schemas.openxmlformats.org/officeDocument/2006/relationships/hyperlink" Target="https://www.tradingview.com/chart/Q1c5VWwD/?symbol=nyse%3Adt" TargetMode="External" Id="rId78" /><Relationship Type="http://schemas.openxmlformats.org/officeDocument/2006/relationships/hyperlink" Target="https://www.tradingview.com/chart/Q1c5VWwD/?symbol=nasdaq%3Avrns" TargetMode="External" Id="rId79" /><Relationship Type="http://schemas.openxmlformats.org/officeDocument/2006/relationships/hyperlink" Target="https://www.tradingview.com/chart/Q1c5VWwD/?symbol=nasdaq%3Aagpu" TargetMode="External" Id="rId80" /><Relationship Type="http://schemas.openxmlformats.org/officeDocument/2006/relationships/hyperlink" Target="https://www.tradingview.com/chart/Q1c5VWwD/?symbol=nyse%3Abe" TargetMode="External" Id="rId81" /><Relationship Type="http://schemas.openxmlformats.org/officeDocument/2006/relationships/hyperlink" Target="https://www.tradingview.com/chart/Q1c5VWwD/?symbol=nasdaq%3Acrsr" TargetMode="External" Id="rId82" /><Relationship Type="http://schemas.openxmlformats.org/officeDocument/2006/relationships/hyperlink" Target="https://www.tradingview.com/chart/Q1c5VWwD/?symbol=nasdaq%3Asens" TargetMode="External" Id="rId83" /><Relationship Type="http://schemas.openxmlformats.org/officeDocument/2006/relationships/hyperlink" Target="https://www.tradingview.com/chart/Q1c5VWwD/?symbol=nasdaq%3Asndk" TargetMode="External" Id="rId84" /><Relationship Type="http://schemas.openxmlformats.org/officeDocument/2006/relationships/hyperlink" Target="https://www.tradingview.com/chart/Q1c5VWwD/?symbol=nasdaq%3Acvlt" TargetMode="External" Id="rId85" /><Relationship Type="http://schemas.openxmlformats.org/officeDocument/2006/relationships/hyperlink" Target="https://www.tradingview.com/chart/Q1c5VWwD/?symbol=nyse%3Adhx" TargetMode="External" Id="rId86" /><Relationship Type="http://schemas.openxmlformats.org/officeDocument/2006/relationships/hyperlink" Target="https://www.tradingview.com/chart/Q1c5VWwD/?symbol=nyse%3Aluv" TargetMode="External" Id="rId87" /><Relationship Type="http://schemas.openxmlformats.org/officeDocument/2006/relationships/hyperlink" Target="https://www.tradingview.com/chart/Q1c5VWwD/?symbol=nasdaq%3Alqdt" TargetMode="External" Id="rId88" /><Relationship Type="http://schemas.openxmlformats.org/officeDocument/2006/relationships/hyperlink" Target="https://www.tradingview.com/chart/Q1c5VWwD/?symbol=nyse%3Achpt" TargetMode="External" Id="rId89" /><Relationship Type="http://schemas.openxmlformats.org/officeDocument/2006/relationships/hyperlink" Target="https://www.tradingview.com/chart/Q1c5VWwD/?symbol=nyse%3Amtw" TargetMode="External" Id="rId90" /><Relationship Type="http://schemas.openxmlformats.org/officeDocument/2006/relationships/hyperlink" Target="https://www.tradingview.com/chart/Q1c5VWwD/?symbol=nyse%3Adell" TargetMode="External" Id="rId91" /><Relationship Type="http://schemas.openxmlformats.org/officeDocument/2006/relationships/hyperlink" Target="https://www.tradingview.com/chart/Q1c5VWwD/?symbol=nasdaq%3Aexel" TargetMode="External" Id="rId92" /><Relationship Type="http://schemas.openxmlformats.org/officeDocument/2006/relationships/hyperlink" Target="https://www.tradingview.com/chart/Q1c5VWwD/?symbol=nasdaq%3Aospn" TargetMode="External" Id="rId93" /><Relationship Type="http://schemas.openxmlformats.org/officeDocument/2006/relationships/hyperlink" Target="https://www.tradingview.com/chart/Q1c5VWwD/?symbol=nasdaq%3Acstl" TargetMode="External" Id="rId94" /><Relationship Type="http://schemas.openxmlformats.org/officeDocument/2006/relationships/hyperlink" Target="https://www.tradingview.com/chart/Q1c5VWwD/?symbol=nasdaq%3Abrkr" TargetMode="External" Id="rId95" /><Relationship Type="http://schemas.openxmlformats.org/officeDocument/2006/relationships/hyperlink" Target="https://www.tradingview.com/chart/Q1c5VWwD/?symbol=nasdaq%3Ahypd" TargetMode="External" Id="rId96" /><Relationship Type="http://schemas.openxmlformats.org/officeDocument/2006/relationships/hyperlink" Target="https://www.tradingview.com/chart/Q1c5VWwD/?symbol=nyse%3Angvc" TargetMode="External" Id="rId97" /><Relationship Type="http://schemas.openxmlformats.org/officeDocument/2006/relationships/hyperlink" Target="https://www.tradingview.com/chart/Q1c5VWwD/?symbol=nasdaq%3Asmti" TargetMode="External" Id="rId98" /><Relationship Type="http://schemas.openxmlformats.org/officeDocument/2006/relationships/hyperlink" Target="https://www.tradingview.com/chart/Q1c5VWwD/?symbol=nasdaq%3Amaze" TargetMode="External" Id="rId99" /><Relationship Type="http://schemas.openxmlformats.org/officeDocument/2006/relationships/hyperlink" Target="https://www.tradingview.com/chart/Q1c5VWwD/?symbol=nasdaq%3Avlgea" TargetMode="External" Id="rId100" /><Relationship Type="http://schemas.openxmlformats.org/officeDocument/2006/relationships/hyperlink" Target="https://www.tradingview.com/chart/Q1c5VWwD/?symbol=nasdaq%3Agyre" TargetMode="External" Id="rId101" /><Relationship Type="http://schemas.openxmlformats.org/officeDocument/2006/relationships/hyperlink" Target="https://www.tradingview.com/chart/Q1c5VWwD/?symbol=nasdaq%3Abwin" TargetMode="External" Id="rId102" /><Relationship Type="http://schemas.openxmlformats.org/officeDocument/2006/relationships/hyperlink" Target="https://www.tradingview.com/chart/Q1c5VWwD/?symbol=nasdaq%3Aulta" TargetMode="External" Id="rId103" /><Relationship Type="http://schemas.openxmlformats.org/officeDocument/2006/relationships/hyperlink" Target="https://www.tradingview.com/chart/Q1c5VWwD/?symbol=nasdaq%3Adjco" TargetMode="External" Id="rId104" /><Relationship Type="http://schemas.openxmlformats.org/officeDocument/2006/relationships/hyperlink" Target="https://www.tradingview.com/chart/Q1c5VWwD/?symbol=nyse%3Acvi" TargetMode="External" Id="rId105" /><Relationship Type="http://schemas.openxmlformats.org/officeDocument/2006/relationships/hyperlink" Target="https://www.tradingview.com/chart/Q1c5VWwD/?symbol=nyse%3Am" TargetMode="External" Id="rId106" /><Relationship Type="http://schemas.openxmlformats.org/officeDocument/2006/relationships/hyperlink" Target="https://www.tradingview.com/chart/Q1c5VWwD/?symbol=nyse%3Awat" TargetMode="External" Id="rId107" /><Relationship Type="http://schemas.openxmlformats.org/officeDocument/2006/relationships/hyperlink" Target="https://www.tradingview.com/chart/Q1c5VWwD/?symbol=nyse%3Ade" TargetMode="External" Id="rId108" /><Relationship Type="http://schemas.openxmlformats.org/officeDocument/2006/relationships/hyperlink" Target="https://www.tradingview.com/chart/Q1c5VWwD/?symbol=nasdaq%3Aatii" TargetMode="External" Id="rId109" /><Relationship Type="http://schemas.openxmlformats.org/officeDocument/2006/relationships/hyperlink" Target="https://www.tradingview.com/chart/Q1c5VWwD/?symbol=nyse%3Agne" TargetMode="External" Id="rId110" /><Relationship Type="http://schemas.openxmlformats.org/officeDocument/2006/relationships/hyperlink" Target="https://www.tradingview.com/chart/Q1c5VWwD/?symbol=nasdaq%3Acrus" TargetMode="External" Id="rId111" /><Relationship Type="http://schemas.openxmlformats.org/officeDocument/2006/relationships/hyperlink" Target="https://www.tradingview.com/chart/Q1c5VWwD/?symbol=amex%3Ainfu" TargetMode="External" Id="rId112" /><Relationship Type="http://schemas.openxmlformats.org/officeDocument/2006/relationships/hyperlink" Target="https://www.tradingview.com/chart/Q1c5VWwD/?symbol=nasdaq%3Ahalo" TargetMode="External" Id="rId113" /><Relationship Type="http://schemas.openxmlformats.org/officeDocument/2006/relationships/hyperlink" Target="https://www.tradingview.com/chart/Q1c5VWwD/?symbol=nasdaq%3Aaapl" TargetMode="External" Id="rId114" /><Relationship Type="http://schemas.openxmlformats.org/officeDocument/2006/relationships/hyperlink" Target="https://www.tradingview.com/chart/Q1c5VWwD/?symbol=nasdaq%3Aslp" TargetMode="External" Id="rId115" /><Relationship Type="http://schemas.openxmlformats.org/officeDocument/2006/relationships/hyperlink" Target="https://www.tradingview.com/chart/Q1c5VWwD/?symbol=nyse%3Abtgo" TargetMode="External" Id="rId116" /><Relationship Type="http://schemas.openxmlformats.org/officeDocument/2006/relationships/hyperlink" Target="https://www.tradingview.com/chart/Q1c5VWwD/?symbol=nyse%3Arex" TargetMode="External" Id="rId117" /><Relationship Type="http://schemas.openxmlformats.org/officeDocument/2006/relationships/hyperlink" Target="https://www.tradingview.com/chart/Q1c5VWwD/?symbol=nyse%3Ahca" TargetMode="External" Id="rId118" /><Relationship Type="http://schemas.openxmlformats.org/officeDocument/2006/relationships/hyperlink" Target="https://www.tradingview.com/chart/Q1c5VWwD/?symbol=nasdaq%3Agct" TargetMode="External" Id="rId119" /><Relationship Type="http://schemas.openxmlformats.org/officeDocument/2006/relationships/hyperlink" Target="https://www.tradingview.com/chart/Q1c5VWwD/?symbol=nasdaq%3Autmd" TargetMode="External" Id="rId120" /><Relationship Type="http://schemas.openxmlformats.org/officeDocument/2006/relationships/hyperlink" Target="https://www.tradingview.com/chart/Q1c5VWwD/?symbol=nyse%3Afet" TargetMode="External" Id="rId121" /><Relationship Type="http://schemas.openxmlformats.org/officeDocument/2006/relationships/hyperlink" Target="https://www.tradingview.com/chart/Q1c5VWwD/?symbol=nyse%3Aitgr" TargetMode="External" Id="rId122" /><Relationship Type="http://schemas.openxmlformats.org/officeDocument/2006/relationships/hyperlink" Target="https://www.tradingview.com/chart/Q1c5VWwD/?symbol=nyse%3Aatkr" TargetMode="External" Id="rId123" /><Relationship Type="http://schemas.openxmlformats.org/officeDocument/2006/relationships/hyperlink" Target="https://www.tradingview.com/chart/Q1c5VWwD/?symbol=nyse%3Aamg" TargetMode="External" Id="rId124" /><Relationship Type="http://schemas.openxmlformats.org/officeDocument/2006/relationships/hyperlink" Target="https://www.tradingview.com/chart/Q1c5VWwD/?symbol=nasdaq%3Arbkb" TargetMode="External" Id="rId125" /><Relationship Type="http://schemas.openxmlformats.org/officeDocument/2006/relationships/hyperlink" Target="https://www.tradingview.com/chart/Q1c5VWwD/?symbol=nasdaq%3Apkoh" TargetMode="External" Id="rId126" /><Relationship Type="http://schemas.openxmlformats.org/officeDocument/2006/relationships/hyperlink" Target="https://www.tradingview.com/chart/Q1c5VWwD/?symbol=nyse%3Atxnm" TargetMode="External" Id="rId127" /><Relationship Type="http://schemas.openxmlformats.org/officeDocument/2006/relationships/hyperlink" Target="https://www.tradingview.com/chart/Q1c5VWwD/?symbol=nasdaq%3Adsgr" TargetMode="External" Id="rId128" /><Relationship Type="http://schemas.openxmlformats.org/officeDocument/2006/relationships/hyperlink" Target="https://www.tradingview.com/chart/Q1c5VWwD/?symbol=nasdaq%3Afsbw" TargetMode="External" Id="rId129" /><Relationship Type="http://schemas.openxmlformats.org/officeDocument/2006/relationships/hyperlink" Target="https://www.tradingview.com/chart/Q1c5VWwD/?symbol=nyse%3Aaes" TargetMode="External" Id="rId130" /><Relationship Type="http://schemas.openxmlformats.org/officeDocument/2006/relationships/hyperlink" Target="https://www.tradingview.com/chart/Q1c5VWwD/?symbol=nyse%3Acon" TargetMode="External" Id="rId131" /><Relationship Type="http://schemas.openxmlformats.org/officeDocument/2006/relationships/hyperlink" Target="https://www.tradingview.com/chart/Q1c5VWwD/?symbol=nyse%3Axom" TargetMode="External" Id="rId13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yse%3Aneu" TargetMode="External" Id="rId1" /><Relationship Type="http://schemas.openxmlformats.org/officeDocument/2006/relationships/hyperlink" Target="https://www.tradingview.com/chart/Q1c5VWwD/?symbol=nasdaq%3Atenb" TargetMode="External" Id="rId2" /><Relationship Type="http://schemas.openxmlformats.org/officeDocument/2006/relationships/hyperlink" Target="https://www.tradingview.com/chart/Q1c5VWwD/?symbol=amex%3Anhc" TargetMode="External" Id="rId3" /><Relationship Type="http://schemas.openxmlformats.org/officeDocument/2006/relationships/hyperlink" Target="https://www.tradingview.com/chart/Q1c5VWwD/?symbol=nasdaq%3Astrl" TargetMode="External" Id="rId4" /><Relationship Type="http://schemas.openxmlformats.org/officeDocument/2006/relationships/hyperlink" Target="https://www.tradingview.com/chart/Q1c5VWwD/?symbol=nyse%3Aopy" TargetMode="External" Id="rId5" /><Relationship Type="http://schemas.openxmlformats.org/officeDocument/2006/relationships/hyperlink" Target="https://www.tradingview.com/chart/Q1c5VWwD/?symbol=nyse%3Abj" TargetMode="External" Id="rId6" /><Relationship Type="http://schemas.openxmlformats.org/officeDocument/2006/relationships/hyperlink" Target="https://www.tradingview.com/chart/Q1c5VWwD/?symbol=nasdaq%3Aaip" TargetMode="External" Id="rId7" /><Relationship Type="http://schemas.openxmlformats.org/officeDocument/2006/relationships/hyperlink" Target="https://www.tradingview.com/chart/Q1c5VWwD/?symbol=nasdaq%3Ahwkn" TargetMode="External" Id="rId8" /><Relationship Type="http://schemas.openxmlformats.org/officeDocument/2006/relationships/hyperlink" Target="https://www.tradingview.com/chart/Q1c5VWwD/?symbol=nyse%3Afix" TargetMode="External" Id="rId9" /><Relationship Type="http://schemas.openxmlformats.org/officeDocument/2006/relationships/hyperlink" Target="https://www.tradingview.com/chart/Q1c5VWwD/?symbol=nasdaq%3Anvts" TargetMode="External" Id="rId10" /><Relationship Type="http://schemas.openxmlformats.org/officeDocument/2006/relationships/hyperlink" Target="https://www.tradingview.com/chart/Q1c5VWwD/?symbol=nasdaq%3Apcrx" TargetMode="External" Id="rId11" /><Relationship Type="http://schemas.openxmlformats.org/officeDocument/2006/relationships/hyperlink" Target="https://www.tradingview.com/chart/Q1c5VWwD/?symbol=nasdaq%3Agfs" TargetMode="External" Id="rId12" /><Relationship Type="http://schemas.openxmlformats.org/officeDocument/2006/relationships/hyperlink" Target="https://www.tradingview.com/chart/Q1c5VWwD/?symbol=nasdaq%3Alyts" TargetMode="External" Id="rId13" /><Relationship Type="http://schemas.openxmlformats.org/officeDocument/2006/relationships/hyperlink" Target="https://www.tradingview.com/chart/Q1c5VWwD/?symbol=nasdaq%3Aflex" TargetMode="External" Id="rId14" /><Relationship Type="http://schemas.openxmlformats.org/officeDocument/2006/relationships/hyperlink" Target="https://www.tradingview.com/chart/Q1c5VWwD/?symbol=nasdaq%3Amaze" TargetMode="External" Id="rId15" /><Relationship Type="http://schemas.openxmlformats.org/officeDocument/2006/relationships/hyperlink" Target="https://www.tradingview.com/chart/Q1c5VWwD/?symbol=nyse%3Am" TargetMode="External" Id="rId16" /><Relationship Type="http://schemas.openxmlformats.org/officeDocument/2006/relationships/hyperlink" Target="https://www.tradingview.com/chart/Q1c5VWwD/?symbol=nyse%3Axom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asdaq%3Ahypd" TargetMode="External" Id="rId1" /><Relationship Type="http://schemas.openxmlformats.org/officeDocument/2006/relationships/hyperlink" Target="https://www.tradingview.com/chart/Q1c5VWwD/?symbol=nasdaq%3Asmti" TargetMode="External" Id="rId2" /><Relationship Type="http://schemas.openxmlformats.org/officeDocument/2006/relationships/hyperlink" Target="https://www.tradingview.com/chart/Q1c5VWwD/?symbol=nasdaq%3Agyre" TargetMode="External" Id="rId3" /><Relationship Type="http://schemas.openxmlformats.org/officeDocument/2006/relationships/hyperlink" Target="https://www.tradingview.com/chart/Q1c5VWwD/?symbol=nasdaq%3Aulta" TargetMode="External" Id="rId4" /><Relationship Type="http://schemas.openxmlformats.org/officeDocument/2006/relationships/hyperlink" Target="https://www.tradingview.com/chart/Q1c5VWwD/?symbol=nyse%3Awat" TargetMode="External" Id="rId5" /><Relationship Type="http://schemas.openxmlformats.org/officeDocument/2006/relationships/hyperlink" Target="https://www.tradingview.com/chart/Q1c5VWwD/?symbol=nasdaq%3Ahalo" TargetMode="External" Id="rId6" /><Relationship Type="http://schemas.openxmlformats.org/officeDocument/2006/relationships/hyperlink" Target="https://www.tradingview.com/chart/Q1c5VWwD/?symbol=nyse%3Abtgo" TargetMode="External" Id="rId7" /><Relationship Type="http://schemas.openxmlformats.org/officeDocument/2006/relationships/hyperlink" Target="https://www.tradingview.com/chart/Q1c5VWwD/?symbol=nyse%3Ahca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nasdaq%3Affiv" TargetMode="External" Id="rId1" /><Relationship Type="http://schemas.openxmlformats.org/officeDocument/2006/relationships/hyperlink" Target="https://www.tradingview.com/chart/Q1c5VWwD/?symbol=nyse%3Aanet" TargetMode="External" Id="rId2" /><Relationship Type="http://schemas.openxmlformats.org/officeDocument/2006/relationships/hyperlink" Target="https://www.tradingview.com/chart/Q1c5VWwD/?symbol=nasdaq%3Aftnt" TargetMode="External" Id="rId3" /><Relationship Type="http://schemas.openxmlformats.org/officeDocument/2006/relationships/hyperlink" Target="https://www.tradingview.com/chart/Q1c5VWwD/?symbol=nyse%3Aneu" TargetMode="External" Id="rId4" /><Relationship Type="http://schemas.openxmlformats.org/officeDocument/2006/relationships/hyperlink" Target="https://www.tradingview.com/chart/Q1c5VWwD/?symbol=nyse%3Ahnge" TargetMode="External" Id="rId5" /><Relationship Type="http://schemas.openxmlformats.org/officeDocument/2006/relationships/hyperlink" Target="https://www.tradingview.com/chart/Q1c5VWwD/?symbol=nasdaq%3Acnxn" TargetMode="External" Id="rId6" /><Relationship Type="http://schemas.openxmlformats.org/officeDocument/2006/relationships/hyperlink" Target="https://www.tradingview.com/chart/Q1c5VWwD/?symbol=nasdaq%3Acrvl" TargetMode="External" Id="rId7" /><Relationship Type="http://schemas.openxmlformats.org/officeDocument/2006/relationships/hyperlink" Target="https://www.tradingview.com/chart/Q1c5VWwD/?symbol=nasdaq%3Alegh" TargetMode="External" Id="rId8" /><Relationship Type="http://schemas.openxmlformats.org/officeDocument/2006/relationships/hyperlink" Target="https://www.tradingview.com/chart/Q1c5VWwD/?symbol=amex%3Anhc" TargetMode="External" Id="rId9" /><Relationship Type="http://schemas.openxmlformats.org/officeDocument/2006/relationships/hyperlink" Target="https://www.tradingview.com/chart/Q1c5VWwD/?symbol=nasdaq%3Aslab" TargetMode="External" Id="rId10" /><Relationship Type="http://schemas.openxmlformats.org/officeDocument/2006/relationships/hyperlink" Target="https://www.tradingview.com/chart/Q1c5VWwD/?symbol=nasdaq%3Afast" TargetMode="External" Id="rId11" /><Relationship Type="http://schemas.openxmlformats.org/officeDocument/2006/relationships/hyperlink" Target="https://www.tradingview.com/chart/Q1c5VWwD/?symbol=nyse%3Avsts" TargetMode="External" Id="rId12" /><Relationship Type="http://schemas.openxmlformats.org/officeDocument/2006/relationships/hyperlink" Target="https://www.tradingview.com/chart/Q1c5VWwD/?symbol=nasdaq%3Agsat" TargetMode="External" Id="rId13" /><Relationship Type="http://schemas.openxmlformats.org/officeDocument/2006/relationships/hyperlink" Target="https://www.tradingview.com/chart/Q1c5VWwD/?symbol=nasdaq%3Aegbn" TargetMode="External" Id="rId14" /><Relationship Type="http://schemas.openxmlformats.org/officeDocument/2006/relationships/hyperlink" Target="https://www.tradingview.com/chart/Q1c5VWwD/?symbol=nasdaq%3Aapxt" TargetMode="External" Id="rId15" /><Relationship Type="http://schemas.openxmlformats.org/officeDocument/2006/relationships/hyperlink" Target="https://www.tradingview.com/chart/Q1c5VWwD/?symbol=nyse%3Aopy" TargetMode="External" Id="rId16" /><Relationship Type="http://schemas.openxmlformats.org/officeDocument/2006/relationships/hyperlink" Target="https://www.tradingview.com/chart/Q1c5VWwD/?symbol=nasdaq%3Atrns" TargetMode="External" Id="rId17" /><Relationship Type="http://schemas.openxmlformats.org/officeDocument/2006/relationships/hyperlink" Target="https://www.tradingview.com/chart/Q1c5VWwD/?symbol=nyse%3Abj" TargetMode="External" Id="rId18" /><Relationship Type="http://schemas.openxmlformats.org/officeDocument/2006/relationships/hyperlink" Target="https://www.tradingview.com/chart/Q1c5VWwD/?symbol=nyse%3Adocs" TargetMode="External" Id="rId19" /><Relationship Type="http://schemas.openxmlformats.org/officeDocument/2006/relationships/hyperlink" Target="https://www.tradingview.com/chart/Q1c5VWwD/?symbol=nyse%3Akodk" TargetMode="External" Id="rId20" /><Relationship Type="http://schemas.openxmlformats.org/officeDocument/2006/relationships/hyperlink" Target="https://www.tradingview.com/chart/Q1c5VWwD/?symbol=nasdaq%3Apwrl" TargetMode="External" Id="rId21" /><Relationship Type="http://schemas.openxmlformats.org/officeDocument/2006/relationships/hyperlink" Target="https://www.tradingview.com/chart/Q1c5VWwD/?symbol=nyse%3Acldt" TargetMode="External" Id="rId22" /><Relationship Type="http://schemas.openxmlformats.org/officeDocument/2006/relationships/hyperlink" Target="https://www.tradingview.com/chart/Q1c5VWwD/?symbol=nyse%3Awmk" TargetMode="External" Id="rId23" /><Relationship Type="http://schemas.openxmlformats.org/officeDocument/2006/relationships/hyperlink" Target="https://www.tradingview.com/chart/Q1c5VWwD/?symbol=nasdaq%3Awest" TargetMode="External" Id="rId24" /><Relationship Type="http://schemas.openxmlformats.org/officeDocument/2006/relationships/hyperlink" Target="https://www.tradingview.com/chart/Q1c5VWwD/?symbol=nasdaq%3Apcrx" TargetMode="External" Id="rId25" /><Relationship Type="http://schemas.openxmlformats.org/officeDocument/2006/relationships/hyperlink" Target="https://www.tradingview.com/chart/Q1c5VWwD/?symbol=nasdaq%3Afbla" TargetMode="External" Id="rId26" /><Relationship Type="http://schemas.openxmlformats.org/officeDocument/2006/relationships/hyperlink" Target="https://www.tradingview.com/chart/Q1c5VWwD/?symbol=nasdaq%3Antnx" TargetMode="External" Id="rId27" /><Relationship Type="http://schemas.openxmlformats.org/officeDocument/2006/relationships/hyperlink" Target="https://www.tradingview.com/chart/Q1c5VWwD/?symbol=nasdaq%3Alyts" TargetMode="External" Id="rId28" /><Relationship Type="http://schemas.openxmlformats.org/officeDocument/2006/relationships/hyperlink" Target="https://www.tradingview.com/chart/Q1c5VWwD/?symbol=nasdaq%3Afeim" TargetMode="External" Id="rId29" /><Relationship Type="http://schemas.openxmlformats.org/officeDocument/2006/relationships/hyperlink" Target="https://www.tradingview.com/chart/Q1c5VWwD/?symbol=nyse%3Ajill" TargetMode="External" Id="rId30" /><Relationship Type="http://schemas.openxmlformats.org/officeDocument/2006/relationships/hyperlink" Target="https://www.tradingview.com/chart/Q1c5VWwD/?symbol=nasdaq%3Appih" TargetMode="External" Id="rId31" /><Relationship Type="http://schemas.openxmlformats.org/officeDocument/2006/relationships/hyperlink" Target="https://www.tradingview.com/chart/Q1c5VWwD/?symbol=nyse%3Anet" TargetMode="External" Id="rId32" /><Relationship Type="http://schemas.openxmlformats.org/officeDocument/2006/relationships/hyperlink" Target="https://www.tradingview.com/chart/Q1c5VWwD/?symbol=nyse%3Altc" TargetMode="External" Id="rId33" /><Relationship Type="http://schemas.openxmlformats.org/officeDocument/2006/relationships/hyperlink" Target="https://www.tradingview.com/chart/Q1c5VWwD/?symbol=nasdaq%3Anvax" TargetMode="External" Id="rId34" /><Relationship Type="http://schemas.openxmlformats.org/officeDocument/2006/relationships/hyperlink" Target="https://www.tradingview.com/chart/Q1c5VWwD/?symbol=nasdaq%3Anutx" TargetMode="External" Id="rId35" /><Relationship Type="http://schemas.openxmlformats.org/officeDocument/2006/relationships/hyperlink" Target="https://www.tradingview.com/chart/Q1c5VWwD/?symbol=nasdaq%3Asmmt" TargetMode="External" Id="rId36" /><Relationship Type="http://schemas.openxmlformats.org/officeDocument/2006/relationships/hyperlink" Target="https://www.tradingview.com/chart/Q1c5VWwD/?symbol=nasdaq%3Aflgt" TargetMode="External" Id="rId37" /><Relationship Type="http://schemas.openxmlformats.org/officeDocument/2006/relationships/hyperlink" Target="https://www.tradingview.com/chart/Q1c5VWwD/?symbol=nasdaq%3Ahurn" TargetMode="External" Id="rId38" /><Relationship Type="http://schemas.openxmlformats.org/officeDocument/2006/relationships/hyperlink" Target="https://www.tradingview.com/chart/Q1c5VWwD/?symbol=nyse%3Amg" TargetMode="External" Id="rId39" /><Relationship Type="http://schemas.openxmlformats.org/officeDocument/2006/relationships/hyperlink" Target="https://www.tradingview.com/chart/Q1c5VWwD/?symbol=nasdaq%3Apltr" TargetMode="External" Id="rId40" /><Relationship Type="http://schemas.openxmlformats.org/officeDocument/2006/relationships/hyperlink" Target="https://www.tradingview.com/chart/Q1c5VWwD/?symbol=nyse%3Aacva" TargetMode="External" Id="rId41" /><Relationship Type="http://schemas.openxmlformats.org/officeDocument/2006/relationships/hyperlink" Target="https://www.tradingview.com/chart/Q1c5VWwD/?symbol=nasdaq%3Aobio" TargetMode="External" Id="rId42" /><Relationship Type="http://schemas.openxmlformats.org/officeDocument/2006/relationships/hyperlink" Target="https://www.tradingview.com/chart/Q1c5VWwD/?symbol=nasdaq%3Apsix" TargetMode="External" Id="rId43" /><Relationship Type="http://schemas.openxmlformats.org/officeDocument/2006/relationships/hyperlink" Target="https://www.tradingview.com/chart/Q1c5VWwD/?symbol=nasdaq%3Avrns" TargetMode="External" Id="rId44" /><Relationship Type="http://schemas.openxmlformats.org/officeDocument/2006/relationships/hyperlink" Target="https://www.tradingview.com/chart/Q1c5VWwD/?symbol=nasdaq%3Aagpu" TargetMode="External" Id="rId45" /><Relationship Type="http://schemas.openxmlformats.org/officeDocument/2006/relationships/hyperlink" Target="https://www.tradingview.com/chart/Q1c5VWwD/?symbol=nasdaq%3Acrsr" TargetMode="External" Id="rId46" /><Relationship Type="http://schemas.openxmlformats.org/officeDocument/2006/relationships/hyperlink" Target="https://www.tradingview.com/chart/Q1c5VWwD/?symbol=nasdaq%3Asens" TargetMode="External" Id="rId47" /><Relationship Type="http://schemas.openxmlformats.org/officeDocument/2006/relationships/hyperlink" Target="https://www.tradingview.com/chart/Q1c5VWwD/?symbol=nasdaq%3Asndk" TargetMode="External" Id="rId48" /><Relationship Type="http://schemas.openxmlformats.org/officeDocument/2006/relationships/hyperlink" Target="https://www.tradingview.com/chart/Q1c5VWwD/?symbol=nasdaq%3Acvlt" TargetMode="External" Id="rId49" /><Relationship Type="http://schemas.openxmlformats.org/officeDocument/2006/relationships/hyperlink" Target="https://www.tradingview.com/chart/Q1c5VWwD/?symbol=nyse%3Adhx" TargetMode="External" Id="rId50" /><Relationship Type="http://schemas.openxmlformats.org/officeDocument/2006/relationships/hyperlink" Target="https://www.tradingview.com/chart/Q1c5VWwD/?symbol=nyse%3Aluv" TargetMode="External" Id="rId51" /><Relationship Type="http://schemas.openxmlformats.org/officeDocument/2006/relationships/hyperlink" Target="https://www.tradingview.com/chart/Q1c5VWwD/?symbol=nasdaq%3Alqdt" TargetMode="External" Id="rId52" /><Relationship Type="http://schemas.openxmlformats.org/officeDocument/2006/relationships/hyperlink" Target="https://www.tradingview.com/chart/Q1c5VWwD/?symbol=nyse%3Achpt" TargetMode="External" Id="rId53" /><Relationship Type="http://schemas.openxmlformats.org/officeDocument/2006/relationships/hyperlink" Target="https://www.tradingview.com/chart/Q1c5VWwD/?symbol=nyse%3Adell" TargetMode="External" Id="rId54" /><Relationship Type="http://schemas.openxmlformats.org/officeDocument/2006/relationships/hyperlink" Target="https://www.tradingview.com/chart/Q1c5VWwD/?symbol=nasdaq%3Aexel" TargetMode="External" Id="rId55" /><Relationship Type="http://schemas.openxmlformats.org/officeDocument/2006/relationships/hyperlink" Target="https://www.tradingview.com/chart/Q1c5VWwD/?symbol=nasdaq%3Aospn" TargetMode="External" Id="rId56" /><Relationship Type="http://schemas.openxmlformats.org/officeDocument/2006/relationships/hyperlink" Target="https://www.tradingview.com/chart/Q1c5VWwD/?symbol=nasdaq%3Acstl" TargetMode="External" Id="rId57" /><Relationship Type="http://schemas.openxmlformats.org/officeDocument/2006/relationships/hyperlink" Target="https://www.tradingview.com/chart/Q1c5VWwD/?symbol=nasdaq%3Abrkr" TargetMode="External" Id="rId58" /><Relationship Type="http://schemas.openxmlformats.org/officeDocument/2006/relationships/hyperlink" Target="https://www.tradingview.com/chart/Q1c5VWwD/?symbol=nyse%3Angvc" TargetMode="External" Id="rId59" /><Relationship Type="http://schemas.openxmlformats.org/officeDocument/2006/relationships/hyperlink" Target="https://www.tradingview.com/chart/Q1c5VWwD/?symbol=nasdaq%3Amaze" TargetMode="External" Id="rId60" /><Relationship Type="http://schemas.openxmlformats.org/officeDocument/2006/relationships/hyperlink" Target="https://www.tradingview.com/chart/Q1c5VWwD/?symbol=nasdaq%3Avlgea" TargetMode="External" Id="rId61" /><Relationship Type="http://schemas.openxmlformats.org/officeDocument/2006/relationships/hyperlink" Target="https://www.tradingview.com/chart/Q1c5VWwD/?symbol=nasdaq%3Abwin" TargetMode="External" Id="rId62" /><Relationship Type="http://schemas.openxmlformats.org/officeDocument/2006/relationships/hyperlink" Target="https://www.tradingview.com/chart/Q1c5VWwD/?symbol=nasdaq%3Adjco" TargetMode="External" Id="rId63" /><Relationship Type="http://schemas.openxmlformats.org/officeDocument/2006/relationships/hyperlink" Target="https://www.tradingview.com/chart/Q1c5VWwD/?symbol=nyse%3Am" TargetMode="External" Id="rId64" /><Relationship Type="http://schemas.openxmlformats.org/officeDocument/2006/relationships/hyperlink" Target="https://www.tradingview.com/chart/Q1c5VWwD/?symbol=nyse%3Ade" TargetMode="External" Id="rId65" /><Relationship Type="http://schemas.openxmlformats.org/officeDocument/2006/relationships/hyperlink" Target="https://www.tradingview.com/chart/Q1c5VWwD/?symbol=nasdaq%3Aatii" TargetMode="External" Id="rId66" /><Relationship Type="http://schemas.openxmlformats.org/officeDocument/2006/relationships/hyperlink" Target="https://www.tradingview.com/chart/Q1c5VWwD/?symbol=nyse%3Agne" TargetMode="External" Id="rId67" /><Relationship Type="http://schemas.openxmlformats.org/officeDocument/2006/relationships/hyperlink" Target="https://www.tradingview.com/chart/Q1c5VWwD/?symbol=nasdaq%3Acrus" TargetMode="External" Id="rId68" /><Relationship Type="http://schemas.openxmlformats.org/officeDocument/2006/relationships/hyperlink" Target="https://www.tradingview.com/chart/Q1c5VWwD/?symbol=amex%3Ainfu" TargetMode="External" Id="rId69" /><Relationship Type="http://schemas.openxmlformats.org/officeDocument/2006/relationships/hyperlink" Target="https://www.tradingview.com/chart/Q1c5VWwD/?symbol=nasdaq%3Aaapl" TargetMode="External" Id="rId70" /><Relationship Type="http://schemas.openxmlformats.org/officeDocument/2006/relationships/hyperlink" Target="https://www.tradingview.com/chart/Q1c5VWwD/?symbol=nasdaq%3Aslp" TargetMode="External" Id="rId71" /><Relationship Type="http://schemas.openxmlformats.org/officeDocument/2006/relationships/hyperlink" Target="https://www.tradingview.com/chart/Q1c5VWwD/?symbol=nyse%3Arex" TargetMode="External" Id="rId72" /><Relationship Type="http://schemas.openxmlformats.org/officeDocument/2006/relationships/hyperlink" Target="https://www.tradingview.com/chart/Q1c5VWwD/?symbol=nasdaq%3Agct" TargetMode="External" Id="rId73" /><Relationship Type="http://schemas.openxmlformats.org/officeDocument/2006/relationships/hyperlink" Target="https://www.tradingview.com/chart/Q1c5VWwD/?symbol=nasdaq%3Autmd" TargetMode="External" Id="rId74" /><Relationship Type="http://schemas.openxmlformats.org/officeDocument/2006/relationships/hyperlink" Target="https://www.tradingview.com/chart/Q1c5VWwD/?symbol=nyse%3Afet" TargetMode="External" Id="rId75" /><Relationship Type="http://schemas.openxmlformats.org/officeDocument/2006/relationships/hyperlink" Target="https://www.tradingview.com/chart/Q1c5VWwD/?symbol=nyse%3Aitgr" TargetMode="External" Id="rId76" /><Relationship Type="http://schemas.openxmlformats.org/officeDocument/2006/relationships/hyperlink" Target="https://www.tradingview.com/chart/Q1c5VWwD/?symbol=nyse%3Aatkr" TargetMode="External" Id="rId77" /><Relationship Type="http://schemas.openxmlformats.org/officeDocument/2006/relationships/hyperlink" Target="https://www.tradingview.com/chart/Q1c5VWwD/?symbol=nyse%3Aamg" TargetMode="External" Id="rId78" /><Relationship Type="http://schemas.openxmlformats.org/officeDocument/2006/relationships/hyperlink" Target="https://www.tradingview.com/chart/Q1c5VWwD/?symbol=nasdaq%3Arbkb" TargetMode="External" Id="rId79" /><Relationship Type="http://schemas.openxmlformats.org/officeDocument/2006/relationships/hyperlink" Target="https://www.tradingview.com/chart/Q1c5VWwD/?symbol=nasdaq%3Apkoh" TargetMode="External" Id="rId80" /><Relationship Type="http://schemas.openxmlformats.org/officeDocument/2006/relationships/hyperlink" Target="https://www.tradingview.com/chart/Q1c5VWwD/?symbol=nyse%3Atxnm" TargetMode="External" Id="rId81" /><Relationship Type="http://schemas.openxmlformats.org/officeDocument/2006/relationships/hyperlink" Target="https://www.tradingview.com/chart/Q1c5VWwD/?symbol=nasdaq%3Adsgr" TargetMode="External" Id="rId82" /><Relationship Type="http://schemas.openxmlformats.org/officeDocument/2006/relationships/hyperlink" Target="https://www.tradingview.com/chart/Q1c5VWwD/?symbol=nasdaq%3Afsbw" TargetMode="External" Id="rId83" /><Relationship Type="http://schemas.openxmlformats.org/officeDocument/2006/relationships/hyperlink" Target="https://www.tradingview.com/chart/Q1c5VWwD/?symbol=nyse%3Aaes" TargetMode="External" Id="rId84" /><Relationship Type="http://schemas.openxmlformats.org/officeDocument/2006/relationships/hyperlink" Target="https://www.tradingview.com/chart/Q1c5VWwD/?symbol=nyse%3Acon" TargetMode="External" Id="rId85" /><Relationship Type="http://schemas.openxmlformats.org/officeDocument/2006/relationships/hyperlink" Target="https://www.tradingview.com/chart/Q1c5VWwD/?symbol=nyse%3Axom" TargetMode="External" Id="rId86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nasdaq%3Affiv" TargetMode="External" Id="rId1" /><Relationship Type="http://schemas.openxmlformats.org/officeDocument/2006/relationships/hyperlink" Target="https://www.tradingview.com/chart/Q1c5VWwD/?symbol=nyse%3Aanet" TargetMode="External" Id="rId2" /><Relationship Type="http://schemas.openxmlformats.org/officeDocument/2006/relationships/hyperlink" Target="https://www.tradingview.com/chart/Q1c5VWwD/?symbol=nasdaq%3Aftnt" TargetMode="External" Id="rId3" /><Relationship Type="http://schemas.openxmlformats.org/officeDocument/2006/relationships/hyperlink" Target="https://www.tradingview.com/chart/Q1c5VWwD/?symbol=nasdaq%3Apanw" TargetMode="External" Id="rId4" /><Relationship Type="http://schemas.openxmlformats.org/officeDocument/2006/relationships/hyperlink" Target="https://www.tradingview.com/chart/Q1c5VWwD/?symbol=nasdaq%3Anvda" TargetMode="External" Id="rId5" /><Relationship Type="http://schemas.openxmlformats.org/officeDocument/2006/relationships/hyperlink" Target="https://www.tradingview.com/chart/Q1c5VWwD/?symbol=nasdaq%3Afast" TargetMode="External" Id="rId6" /><Relationship Type="http://schemas.openxmlformats.org/officeDocument/2006/relationships/hyperlink" Target="https://www.tradingview.com/chart/Q1c5VWwD/?symbol=nasdaq%3Astrl" TargetMode="External" Id="rId7" /><Relationship Type="http://schemas.openxmlformats.org/officeDocument/2006/relationships/hyperlink" Target="https://www.tradingview.com/chart/Q1c5VWwD/?symbol=nasdaq%3Agsat" TargetMode="External" Id="rId8" /><Relationship Type="http://schemas.openxmlformats.org/officeDocument/2006/relationships/hyperlink" Target="https://www.tradingview.com/chart/Q1c5VWwD/?symbol=nyse%3Abj" TargetMode="External" Id="rId9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nyse%3Asei" TargetMode="External" Id="rId1" /><Relationship Type="http://schemas.openxmlformats.org/officeDocument/2006/relationships/hyperlink" Target="https://www.tradingview.com/chart/Q1c5VWwD/?symbol=nyse%3Aneu" TargetMode="External" Id="rId2" /><Relationship Type="http://schemas.openxmlformats.org/officeDocument/2006/relationships/hyperlink" Target="https://www.tradingview.com/chart/Q1c5VWwD/?symbol=nyse%3Ahnge" TargetMode="External" Id="rId3" /><Relationship Type="http://schemas.openxmlformats.org/officeDocument/2006/relationships/hyperlink" Target="https://www.tradingview.com/chart/Q1c5VWwD/?symbol=nasdaq%3Aqlys" TargetMode="External" Id="rId4" /><Relationship Type="http://schemas.openxmlformats.org/officeDocument/2006/relationships/hyperlink" Target="https://www.tradingview.com/chart/Q1c5VWwD/?symbol=nasdaq%3Acnxn" TargetMode="External" Id="rId5" /><Relationship Type="http://schemas.openxmlformats.org/officeDocument/2006/relationships/hyperlink" Target="https://www.tradingview.com/chart/Q1c5VWwD/?symbol=nasdaq%3Acrvl" TargetMode="External" Id="rId6" /><Relationship Type="http://schemas.openxmlformats.org/officeDocument/2006/relationships/hyperlink" Target="https://www.tradingview.com/chart/Q1c5VWwD/?symbol=nasdaq%3Atenb" TargetMode="External" Id="rId7" /><Relationship Type="http://schemas.openxmlformats.org/officeDocument/2006/relationships/hyperlink" Target="https://www.tradingview.com/chart/Q1c5VWwD/?symbol=amex%3Anhc" TargetMode="External" Id="rId8" /><Relationship Type="http://schemas.openxmlformats.org/officeDocument/2006/relationships/hyperlink" Target="https://www.tradingview.com/chart/Q1c5VWwD/?symbol=nasdaq%3Aslab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yse%3Aamn" TargetMode="External" Id="rId1" /><Relationship Type="http://schemas.openxmlformats.org/officeDocument/2006/relationships/hyperlink" Target="https://www.tradingview.com/chart/Q1c5VWwD/?symbol=nyse%3Addd" TargetMode="External" Id="rId2" /><Relationship Type="http://schemas.openxmlformats.org/officeDocument/2006/relationships/hyperlink" Target="https://www.tradingview.com/chart/Q1c5VWwD/?symbol=nasdaq%3Alegh" TargetMode="External" Id="rId3" /><Relationship Type="http://schemas.openxmlformats.org/officeDocument/2006/relationships/hyperlink" Target="https://www.tradingview.com/chart/Q1c5VWwD/?symbol=nyse%3Avsts" TargetMode="External" Id="rId4" /><Relationship Type="http://schemas.openxmlformats.org/officeDocument/2006/relationships/hyperlink" Target="https://www.tradingview.com/chart/Q1c5VWwD/?symbol=nasdaq%3Aegbn" TargetMode="External" Id="rId5" /><Relationship Type="http://schemas.openxmlformats.org/officeDocument/2006/relationships/hyperlink" Target="https://www.tradingview.com/chart/Q1c5VWwD/?symbol=nyse%3Aopy" TargetMode="External" Id="rId6" /><Relationship Type="http://schemas.openxmlformats.org/officeDocument/2006/relationships/hyperlink" Target="https://www.tradingview.com/chart/Q1c5VWwD/?symbol=nasdaq%3Atrns" TargetMode="External" Id="rId7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yse%3Adocs" TargetMode="External" Id="rId1" /><Relationship Type="http://schemas.openxmlformats.org/officeDocument/2006/relationships/hyperlink" Target="https://www.tradingview.com/chart/Q1c5VWwD/?symbol=amex%3Ahyln" TargetMode="External" Id="rId2" /><Relationship Type="http://schemas.openxmlformats.org/officeDocument/2006/relationships/hyperlink" Target="https://www.tradingview.com/chart/Q1c5VWwD/?symbol=nasdaq%3Asanm" TargetMode="External" Id="rId3" /><Relationship Type="http://schemas.openxmlformats.org/officeDocument/2006/relationships/hyperlink" Target="https://www.tradingview.com/chart/Q1c5VWwD/?symbol=nasdaq%3Attmi" TargetMode="External" Id="rId4" /><Relationship Type="http://schemas.openxmlformats.org/officeDocument/2006/relationships/hyperlink" Target="https://www.tradingview.com/chart/Q1c5VWwD/?symbol=nasdaq%3Aalmr" TargetMode="External" Id="rId5" /><Relationship Type="http://schemas.openxmlformats.org/officeDocument/2006/relationships/hyperlink" Target="https://www.tradingview.com/chart/Q1c5VWwD/?symbol=nasdaq%3Aaxti" TargetMode="External" Id="rId6" /><Relationship Type="http://schemas.openxmlformats.org/officeDocument/2006/relationships/hyperlink" Target="https://www.tradingview.com/chart/Q1c5VWwD/?symbol=nasdaq%3Apgen" TargetMode="External" Id="rId7" /><Relationship Type="http://schemas.openxmlformats.org/officeDocument/2006/relationships/hyperlink" Target="https://www.tradingview.com/chart/Q1c5VWwD/?symbol=nyse%3Ahpe" TargetMode="External" Id="rId8" /><Relationship Type="http://schemas.openxmlformats.org/officeDocument/2006/relationships/hyperlink" Target="https://www.tradingview.com/chart/Q1c5VWwD/?symbol=nyse%3As" TargetMode="External" Id="rId9" /><Relationship Type="http://schemas.openxmlformats.org/officeDocument/2006/relationships/hyperlink" Target="https://www.tradingview.com/chart/Q1c5VWwD/?symbol=nyse%3Aftk" TargetMode="External" Id="rId10" /><Relationship Type="http://schemas.openxmlformats.org/officeDocument/2006/relationships/hyperlink" Target="https://www.tradingview.com/chart/Q1c5VWwD/?symbol=nasdaq%3Aaehr" TargetMode="External" Id="rId11" /><Relationship Type="http://schemas.openxmlformats.org/officeDocument/2006/relationships/hyperlink" Target="https://www.tradingview.com/chart/Q1c5VWwD/?symbol=nasdaq%3Aqmco" TargetMode="External" Id="rId12" /><Relationship Type="http://schemas.openxmlformats.org/officeDocument/2006/relationships/hyperlink" Target="https://www.tradingview.com/chart/Q1c5VWwD/?symbol=nasdaq%3Aavt" TargetMode="External" Id="rId13" /><Relationship Type="http://schemas.openxmlformats.org/officeDocument/2006/relationships/hyperlink" Target="https://www.tradingview.com/chart/Q1c5VWwD/?symbol=nasdaq%3Aabsi" TargetMode="External" Id="rId14" /><Relationship Type="http://schemas.openxmlformats.org/officeDocument/2006/relationships/hyperlink" Target="https://www.tradingview.com/chart/Q1c5VWwD/?symbol=nyse%3Aprlb" TargetMode="External" Id="rId15" /><Relationship Type="http://schemas.openxmlformats.org/officeDocument/2006/relationships/hyperlink" Target="https://www.tradingview.com/chart/Q1c5VWwD/?symbol=nyse%3Akodk" TargetMode="External" Id="rId16" /><Relationship Type="http://schemas.openxmlformats.org/officeDocument/2006/relationships/hyperlink" Target="https://www.tradingview.com/chart/Q1c5VWwD/?symbol=nasdaq%3Apwrl" TargetMode="External" Id="rId17" /><Relationship Type="http://schemas.openxmlformats.org/officeDocument/2006/relationships/hyperlink" Target="https://www.tradingview.com/chart/Q1c5VWwD/?symbol=nasdaq%3Atssi" TargetMode="External" Id="rId18" /><Relationship Type="http://schemas.openxmlformats.org/officeDocument/2006/relationships/hyperlink" Target="https://www.tradingview.com/chart/Q1c5VWwD/?symbol=nasdaq%3Api" TargetMode="External" Id="rId19" /><Relationship Type="http://schemas.openxmlformats.org/officeDocument/2006/relationships/hyperlink" Target="https://www.tradingview.com/chart/Q1c5VWwD/?symbol=nasdaq%3Aswbi" TargetMode="External" Id="rId20" /><Relationship Type="http://schemas.openxmlformats.org/officeDocument/2006/relationships/hyperlink" Target="https://www.tradingview.com/chart/Q1c5VWwD/?symbol=amex%3Arlgt" TargetMode="External" Id="rId21" /><Relationship Type="http://schemas.openxmlformats.org/officeDocument/2006/relationships/hyperlink" Target="https://www.tradingview.com/chart/Q1c5VWwD/?symbol=nyse%3Acldt" TargetMode="External" Id="rId22" /><Relationship Type="http://schemas.openxmlformats.org/officeDocument/2006/relationships/hyperlink" Target="https://www.tradingview.com/chart/Q1c5VWwD/?symbol=nyse%3Awmk" TargetMode="External" Id="rId23" /><Relationship Type="http://schemas.openxmlformats.org/officeDocument/2006/relationships/hyperlink" Target="https://www.tradingview.com/chart/Q1c5VWwD/?symbol=nasdaq%3Amrvi" TargetMode="External" Id="rId24" /><Relationship Type="http://schemas.openxmlformats.org/officeDocument/2006/relationships/hyperlink" Target="https://www.tradingview.com/chart/Q1c5VWwD/?symbol=nasdaq%3Aaip" TargetMode="External" Id="rId25" /><Relationship Type="http://schemas.openxmlformats.org/officeDocument/2006/relationships/hyperlink" Target="https://www.tradingview.com/chart/Q1c5VWwD/?symbol=nasdaq%3Awest" TargetMode="External" Id="rId26" /><Relationship Type="http://schemas.openxmlformats.org/officeDocument/2006/relationships/hyperlink" Target="https://www.tradingview.com/chart/Q1c5VWwD/?symbol=nasdaq%3Ahwkn" TargetMode="External" Id="rId27" /><Relationship Type="http://schemas.openxmlformats.org/officeDocument/2006/relationships/hyperlink" Target="https://www.tradingview.com/chart/Q1c5VWwD/?symbol=nyse%3Afix" TargetMode="External" Id="rId28" /><Relationship Type="http://schemas.openxmlformats.org/officeDocument/2006/relationships/hyperlink" Target="https://www.tradingview.com/chart/Q1c5VWwD/?symbol=nasdaq%3Anvts" TargetMode="External" Id="rId29" /><Relationship Type="http://schemas.openxmlformats.org/officeDocument/2006/relationships/hyperlink" Target="https://www.tradingview.com/chart/Q1c5VWwD/?symbol=nasdaq%3Apcrx" TargetMode="External" Id="rId30" /><Relationship Type="http://schemas.openxmlformats.org/officeDocument/2006/relationships/hyperlink" Target="https://www.tradingview.com/chart/Q1c5VWwD/?symbol=nasdaq%3Afbla" TargetMode="External" Id="rId31" /><Relationship Type="http://schemas.openxmlformats.org/officeDocument/2006/relationships/hyperlink" Target="https://www.tradingview.com/chart/Q1c5VWwD/?symbol=nasdaq%3Agfs" TargetMode="External" Id="rId32" /><Relationship Type="http://schemas.openxmlformats.org/officeDocument/2006/relationships/hyperlink" Target="https://www.tradingview.com/chart/Q1c5VWwD/?symbol=nasdaq%3Antnx" TargetMode="External" Id="rId33" /><Relationship Type="http://schemas.openxmlformats.org/officeDocument/2006/relationships/hyperlink" Target="https://www.tradingview.com/chart/Q1c5VWwD/?symbol=nasdaq%3Alyts" TargetMode="External" Id="rId34" /><Relationship Type="http://schemas.openxmlformats.org/officeDocument/2006/relationships/hyperlink" Target="https://www.tradingview.com/chart/Q1c5VWwD/?symbol=nasdaq%3Aflex" TargetMode="External" Id="rId3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nyse%3Aamn" TargetMode="External" Id="rId1" /><Relationship Type="http://schemas.openxmlformats.org/officeDocument/2006/relationships/hyperlink" Target="https://www.tradingview.com/chart/Q1c5VWwD/?symbol=nyse%3Asei" TargetMode="External" Id="rId2" /><Relationship Type="http://schemas.openxmlformats.org/officeDocument/2006/relationships/hyperlink" Target="https://www.tradingview.com/chart/Q1c5VWwD/?symbol=nyse%3Addd" TargetMode="External" Id="rId3" /><Relationship Type="http://schemas.openxmlformats.org/officeDocument/2006/relationships/hyperlink" Target="https://www.tradingview.com/chart/Q1c5VWwD/?symbol=nasdaq%3Affiv" TargetMode="External" Id="rId4" /><Relationship Type="http://schemas.openxmlformats.org/officeDocument/2006/relationships/hyperlink" Target="https://www.tradingview.com/chart/Q1c5VWwD/?symbol=nyse%3Aanet" TargetMode="External" Id="rId5" /><Relationship Type="http://schemas.openxmlformats.org/officeDocument/2006/relationships/hyperlink" Target="https://www.tradingview.com/chart/Q1c5VWwD/?symbol=nasdaq%3Aftnt" TargetMode="External" Id="rId6" /><Relationship Type="http://schemas.openxmlformats.org/officeDocument/2006/relationships/hyperlink" Target="https://www.tradingview.com/chart/Q1c5VWwD/?symbol=nasdaq%3Apanw" TargetMode="External" Id="rId7" /><Relationship Type="http://schemas.openxmlformats.org/officeDocument/2006/relationships/hyperlink" Target="https://www.tradingview.com/chart/Q1c5VWwD/?symbol=nyse%3Aneu" TargetMode="External" Id="rId8" /><Relationship Type="http://schemas.openxmlformats.org/officeDocument/2006/relationships/hyperlink" Target="https://www.tradingview.com/chart/Q1c5VWwD/?symbol=nyse%3Ahnge" TargetMode="External" Id="rId9" /><Relationship Type="http://schemas.openxmlformats.org/officeDocument/2006/relationships/hyperlink" Target="https://www.tradingview.com/chart/Q1c5VWwD/?symbol=nasdaq%3Aqlys" TargetMode="External" Id="rId10" /><Relationship Type="http://schemas.openxmlformats.org/officeDocument/2006/relationships/hyperlink" Target="https://www.tradingview.com/chart/Q1c5VWwD/?symbol=nasdaq%3Acnxn" TargetMode="External" Id="rId11" /><Relationship Type="http://schemas.openxmlformats.org/officeDocument/2006/relationships/hyperlink" Target="https://www.tradingview.com/chart/Q1c5VWwD/?symbol=nasdaq%3Acrvl" TargetMode="External" Id="rId12" /><Relationship Type="http://schemas.openxmlformats.org/officeDocument/2006/relationships/hyperlink" Target="https://www.tradingview.com/chart/Q1c5VWwD/?symbol=nasdaq%3Anvda" TargetMode="External" Id="rId13" /><Relationship Type="http://schemas.openxmlformats.org/officeDocument/2006/relationships/hyperlink" Target="https://www.tradingview.com/chart/Q1c5VWwD/?symbol=nasdaq%3Alegh" TargetMode="External" Id="rId14" /><Relationship Type="http://schemas.openxmlformats.org/officeDocument/2006/relationships/hyperlink" Target="https://www.tradingview.com/chart/Q1c5VWwD/?symbol=nasdaq%3Atenb" TargetMode="External" Id="rId15" /><Relationship Type="http://schemas.openxmlformats.org/officeDocument/2006/relationships/hyperlink" Target="https://www.tradingview.com/chart/Q1c5VWwD/?symbol=amex%3Anhc" TargetMode="External" Id="rId16" /><Relationship Type="http://schemas.openxmlformats.org/officeDocument/2006/relationships/hyperlink" Target="https://www.tradingview.com/chart/Q1c5VWwD/?symbol=nasdaq%3Aslab" TargetMode="External" Id="rId17" /><Relationship Type="http://schemas.openxmlformats.org/officeDocument/2006/relationships/hyperlink" Target="https://www.tradingview.com/chart/Q1c5VWwD/?symbol=nasdaq%3Afast" TargetMode="External" Id="rId18" /><Relationship Type="http://schemas.openxmlformats.org/officeDocument/2006/relationships/hyperlink" Target="https://www.tradingview.com/chart/Q1c5VWwD/?symbol=nasdaq%3Astrl" TargetMode="External" Id="rId19" /><Relationship Type="http://schemas.openxmlformats.org/officeDocument/2006/relationships/hyperlink" Target="https://www.tradingview.com/chart/Q1c5VWwD/?symbol=nyse%3Avsts" TargetMode="External" Id="rId20" /><Relationship Type="http://schemas.openxmlformats.org/officeDocument/2006/relationships/hyperlink" Target="https://www.tradingview.com/chart/Q1c5VWwD/?symbol=nasdaq%3Agsat" TargetMode="External" Id="rId21" /><Relationship Type="http://schemas.openxmlformats.org/officeDocument/2006/relationships/hyperlink" Target="https://www.tradingview.com/chart/Q1c5VWwD/?symbol=nasdaq%3Aegbn" TargetMode="External" Id="rId22" /><Relationship Type="http://schemas.openxmlformats.org/officeDocument/2006/relationships/hyperlink" Target="https://www.tradingview.com/chart/Q1c5VWwD/?symbol=nasdaq%3Aapxt" TargetMode="External" Id="rId23" /><Relationship Type="http://schemas.openxmlformats.org/officeDocument/2006/relationships/hyperlink" Target="https://www.tradingview.com/chart/Q1c5VWwD/?symbol=nyse%3Aopy" TargetMode="External" Id="rId24" /><Relationship Type="http://schemas.openxmlformats.org/officeDocument/2006/relationships/hyperlink" Target="https://www.tradingview.com/chart/Q1c5VWwD/?symbol=nasdaq%3Atrns" TargetMode="External" Id="rId25" /><Relationship Type="http://schemas.openxmlformats.org/officeDocument/2006/relationships/hyperlink" Target="https://www.tradingview.com/chart/Q1c5VWwD/?symbol=nyse%3Abj" TargetMode="External" Id="rId26" /><Relationship Type="http://schemas.openxmlformats.org/officeDocument/2006/relationships/hyperlink" Target="https://www.tradingview.com/chart/Q1c5VWwD/?symbol=nyse%3Adocs" TargetMode="External" Id="rId27" /><Relationship Type="http://schemas.openxmlformats.org/officeDocument/2006/relationships/hyperlink" Target="https://www.tradingview.com/chart/Q1c5VWwD/?symbol=amex%3Ahyln" TargetMode="External" Id="rId28" /><Relationship Type="http://schemas.openxmlformats.org/officeDocument/2006/relationships/hyperlink" Target="https://www.tradingview.com/chart/Q1c5VWwD/?symbol=nasdaq%3Asanm" TargetMode="External" Id="rId29" /><Relationship Type="http://schemas.openxmlformats.org/officeDocument/2006/relationships/hyperlink" Target="https://www.tradingview.com/chart/Q1c5VWwD/?symbol=nasdaq%3Attmi" TargetMode="External" Id="rId30" /><Relationship Type="http://schemas.openxmlformats.org/officeDocument/2006/relationships/hyperlink" Target="https://www.tradingview.com/chart/Q1c5VWwD/?symbol=nasdaq%3Aalmr" TargetMode="External" Id="rId31" /><Relationship Type="http://schemas.openxmlformats.org/officeDocument/2006/relationships/hyperlink" Target="https://www.tradingview.com/chart/Q1c5VWwD/?symbol=nasdaq%3Aaxti" TargetMode="External" Id="rId32" /><Relationship Type="http://schemas.openxmlformats.org/officeDocument/2006/relationships/hyperlink" Target="https://www.tradingview.com/chart/Q1c5VWwD/?symbol=nasdaq%3Apgen" TargetMode="External" Id="rId33" /><Relationship Type="http://schemas.openxmlformats.org/officeDocument/2006/relationships/hyperlink" Target="https://www.tradingview.com/chart/Q1c5VWwD/?symbol=nyse%3Ahpe" TargetMode="External" Id="rId34" /><Relationship Type="http://schemas.openxmlformats.org/officeDocument/2006/relationships/hyperlink" Target="https://www.tradingview.com/chart/Q1c5VWwD/?symbol=nyse%3As" TargetMode="External" Id="rId35" /><Relationship Type="http://schemas.openxmlformats.org/officeDocument/2006/relationships/hyperlink" Target="https://www.tradingview.com/chart/Q1c5VWwD/?symbol=nyse%3Aftk" TargetMode="External" Id="rId36" /><Relationship Type="http://schemas.openxmlformats.org/officeDocument/2006/relationships/hyperlink" Target="https://www.tradingview.com/chart/Q1c5VWwD/?symbol=nasdaq%3Aaehr" TargetMode="External" Id="rId37" /><Relationship Type="http://schemas.openxmlformats.org/officeDocument/2006/relationships/hyperlink" Target="https://www.tradingview.com/chart/Q1c5VWwD/?symbol=nasdaq%3Aqmco" TargetMode="External" Id="rId38" /><Relationship Type="http://schemas.openxmlformats.org/officeDocument/2006/relationships/hyperlink" Target="https://www.tradingview.com/chart/Q1c5VWwD/?symbol=nasdaq%3Aavt" TargetMode="External" Id="rId39" /><Relationship Type="http://schemas.openxmlformats.org/officeDocument/2006/relationships/hyperlink" Target="https://www.tradingview.com/chart/Q1c5VWwD/?symbol=nasdaq%3Aabsi" TargetMode="External" Id="rId40" /><Relationship Type="http://schemas.openxmlformats.org/officeDocument/2006/relationships/hyperlink" Target="https://www.tradingview.com/chart/Q1c5VWwD/?symbol=nyse%3Aprlb" TargetMode="External" Id="rId41" /><Relationship Type="http://schemas.openxmlformats.org/officeDocument/2006/relationships/hyperlink" Target="https://www.tradingview.com/chart/Q1c5VWwD/?symbol=nyse%3Akodk" TargetMode="External" Id="rId42" /><Relationship Type="http://schemas.openxmlformats.org/officeDocument/2006/relationships/hyperlink" Target="https://www.tradingview.com/chart/Q1c5VWwD/?symbol=nasdaq%3Apwrl" TargetMode="External" Id="rId43" /><Relationship Type="http://schemas.openxmlformats.org/officeDocument/2006/relationships/hyperlink" Target="https://www.tradingview.com/chart/Q1c5VWwD/?symbol=nasdaq%3Atssi" TargetMode="External" Id="rId44" /><Relationship Type="http://schemas.openxmlformats.org/officeDocument/2006/relationships/hyperlink" Target="https://www.tradingview.com/chart/Q1c5VWwD/?symbol=nasdaq%3Api" TargetMode="External" Id="rId45" /><Relationship Type="http://schemas.openxmlformats.org/officeDocument/2006/relationships/hyperlink" Target="https://www.tradingview.com/chart/Q1c5VWwD/?symbol=nasdaq%3Aswbi" TargetMode="External" Id="rId46" /><Relationship Type="http://schemas.openxmlformats.org/officeDocument/2006/relationships/hyperlink" Target="https://www.tradingview.com/chart/Q1c5VWwD/?symbol=amex%3Arlgt" TargetMode="External" Id="rId47" /><Relationship Type="http://schemas.openxmlformats.org/officeDocument/2006/relationships/hyperlink" Target="https://www.tradingview.com/chart/Q1c5VWwD/?symbol=nyse%3Acldt" TargetMode="External" Id="rId48" /><Relationship Type="http://schemas.openxmlformats.org/officeDocument/2006/relationships/hyperlink" Target="https://www.tradingview.com/chart/Q1c5VWwD/?symbol=nyse%3Awmk" TargetMode="External" Id="rId49" /><Relationship Type="http://schemas.openxmlformats.org/officeDocument/2006/relationships/hyperlink" Target="https://www.tradingview.com/chart/Q1c5VWwD/?symbol=nasdaq%3Amrvi" TargetMode="External" Id="rId50" /><Relationship Type="http://schemas.openxmlformats.org/officeDocument/2006/relationships/hyperlink" Target="https://www.tradingview.com/chart/Q1c5VWwD/?symbol=nasdaq%3Aaip" TargetMode="External" Id="rId51" /><Relationship Type="http://schemas.openxmlformats.org/officeDocument/2006/relationships/hyperlink" Target="https://www.tradingview.com/chart/Q1c5VWwD/?symbol=nasdaq%3Awest" TargetMode="External" Id="rId52" /><Relationship Type="http://schemas.openxmlformats.org/officeDocument/2006/relationships/hyperlink" Target="https://www.tradingview.com/chart/Q1c5VWwD/?symbol=nasdaq%3Ahwkn" TargetMode="External" Id="rId53" /><Relationship Type="http://schemas.openxmlformats.org/officeDocument/2006/relationships/hyperlink" Target="https://www.tradingview.com/chart/Q1c5VWwD/?symbol=nyse%3Afix" TargetMode="External" Id="rId54" /><Relationship Type="http://schemas.openxmlformats.org/officeDocument/2006/relationships/hyperlink" Target="https://www.tradingview.com/chart/Q1c5VWwD/?symbol=nasdaq%3Anvts" TargetMode="External" Id="rId55" /><Relationship Type="http://schemas.openxmlformats.org/officeDocument/2006/relationships/hyperlink" Target="https://www.tradingview.com/chart/Q1c5VWwD/?symbol=nasdaq%3Apcrx" TargetMode="External" Id="rId56" /><Relationship Type="http://schemas.openxmlformats.org/officeDocument/2006/relationships/hyperlink" Target="https://www.tradingview.com/chart/Q1c5VWwD/?symbol=nasdaq%3Afbla" TargetMode="External" Id="rId57" /><Relationship Type="http://schemas.openxmlformats.org/officeDocument/2006/relationships/hyperlink" Target="https://www.tradingview.com/chart/Q1c5VWwD/?symbol=nasdaq%3Agfs" TargetMode="External" Id="rId58" /><Relationship Type="http://schemas.openxmlformats.org/officeDocument/2006/relationships/hyperlink" Target="https://www.tradingview.com/chart/Q1c5VWwD/?symbol=nasdaq%3Antnx" TargetMode="External" Id="rId59" /><Relationship Type="http://schemas.openxmlformats.org/officeDocument/2006/relationships/hyperlink" Target="https://www.tradingview.com/chart/Q1c5VWwD/?symbol=nasdaq%3Alyts" TargetMode="External" Id="rId60" /><Relationship Type="http://schemas.openxmlformats.org/officeDocument/2006/relationships/hyperlink" Target="https://www.tradingview.com/chart/Q1c5VWwD/?symbol=nasdaq%3Aflex" TargetMode="External" Id="rId61" /><Relationship Type="http://schemas.openxmlformats.org/officeDocument/2006/relationships/hyperlink" Target="https://www.tradingview.com/chart/Q1c5VWwD/?symbol=nasdaq%3Afeim" TargetMode="External" Id="rId62" /><Relationship Type="http://schemas.openxmlformats.org/officeDocument/2006/relationships/hyperlink" Target="https://www.tradingview.com/chart/Q1c5VWwD/?symbol=nyse%3Ajill" TargetMode="External" Id="rId63" /><Relationship Type="http://schemas.openxmlformats.org/officeDocument/2006/relationships/hyperlink" Target="https://www.tradingview.com/chart/Q1c5VWwD/?symbol=nasdaq%3Appih" TargetMode="External" Id="rId64" /><Relationship Type="http://schemas.openxmlformats.org/officeDocument/2006/relationships/hyperlink" Target="https://www.tradingview.com/chart/Q1c5VWwD/?symbol=nyse%3Anet" TargetMode="External" Id="rId65" /><Relationship Type="http://schemas.openxmlformats.org/officeDocument/2006/relationships/hyperlink" Target="https://www.tradingview.com/chart/Q1c5VWwD/?symbol=nyse%3Altc" TargetMode="External" Id="rId66" /><Relationship Type="http://schemas.openxmlformats.org/officeDocument/2006/relationships/hyperlink" Target="https://www.tradingview.com/chart/Q1c5VWwD/?symbol=nasdaq%3Anvax" TargetMode="External" Id="rId67" /><Relationship Type="http://schemas.openxmlformats.org/officeDocument/2006/relationships/hyperlink" Target="https://www.tradingview.com/chart/Q1c5VWwD/?symbol=nasdaq%3Anutx" TargetMode="External" Id="rId68" /><Relationship Type="http://schemas.openxmlformats.org/officeDocument/2006/relationships/hyperlink" Target="https://www.tradingview.com/chart/Q1c5VWwD/?symbol=nasdaq%3Asmmt" TargetMode="External" Id="rId69" /><Relationship Type="http://schemas.openxmlformats.org/officeDocument/2006/relationships/hyperlink" Target="https://www.tradingview.com/chart/Q1c5VWwD/?symbol=nasdaq%3Aflgt" TargetMode="External" Id="rId70" /><Relationship Type="http://schemas.openxmlformats.org/officeDocument/2006/relationships/hyperlink" Target="https://www.tradingview.com/chart/Q1c5VWwD/?symbol=nasdaq%3Ahurn" TargetMode="External" Id="rId71" /><Relationship Type="http://schemas.openxmlformats.org/officeDocument/2006/relationships/hyperlink" Target="https://www.tradingview.com/chart/Q1c5VWwD/?symbol=nyse%3Amg" TargetMode="External" Id="rId72" /><Relationship Type="http://schemas.openxmlformats.org/officeDocument/2006/relationships/hyperlink" Target="https://www.tradingview.com/chart/Q1c5VWwD/?symbol=nasdaq%3Apltr" TargetMode="External" Id="rId73" /><Relationship Type="http://schemas.openxmlformats.org/officeDocument/2006/relationships/hyperlink" Target="https://www.tradingview.com/chart/Q1c5VWwD/?symbol=nyse%3Aacva" TargetMode="External" Id="rId74" /><Relationship Type="http://schemas.openxmlformats.org/officeDocument/2006/relationships/hyperlink" Target="https://www.tradingview.com/chart/Q1c5VWwD/?symbol=nasdaq%3Amntk" TargetMode="External" Id="rId75" /><Relationship Type="http://schemas.openxmlformats.org/officeDocument/2006/relationships/hyperlink" Target="https://www.tradingview.com/chart/Q1c5VWwD/?symbol=nasdaq%3Aobio" TargetMode="External" Id="rId76" /><Relationship Type="http://schemas.openxmlformats.org/officeDocument/2006/relationships/hyperlink" Target="https://www.tradingview.com/chart/Q1c5VWwD/?symbol=nasdaq%3Apsix" TargetMode="External" Id="rId77" /><Relationship Type="http://schemas.openxmlformats.org/officeDocument/2006/relationships/hyperlink" Target="https://www.tradingview.com/chart/Q1c5VWwD/?symbol=nyse%3Adt" TargetMode="External" Id="rId78" /><Relationship Type="http://schemas.openxmlformats.org/officeDocument/2006/relationships/hyperlink" Target="https://www.tradingview.com/chart/Q1c5VWwD/?symbol=nasdaq%3Avrns" TargetMode="External" Id="rId79" /><Relationship Type="http://schemas.openxmlformats.org/officeDocument/2006/relationships/hyperlink" Target="https://www.tradingview.com/chart/Q1c5VWwD/?symbol=nasdaq%3Aagpu" TargetMode="External" Id="rId80" /><Relationship Type="http://schemas.openxmlformats.org/officeDocument/2006/relationships/hyperlink" Target="https://www.tradingview.com/chart/Q1c5VWwD/?symbol=nyse%3Abe" TargetMode="External" Id="rId81" /><Relationship Type="http://schemas.openxmlformats.org/officeDocument/2006/relationships/hyperlink" Target="https://www.tradingview.com/chart/Q1c5VWwD/?symbol=nasdaq%3Acrsr" TargetMode="External" Id="rId82" /><Relationship Type="http://schemas.openxmlformats.org/officeDocument/2006/relationships/hyperlink" Target="https://www.tradingview.com/chart/Q1c5VWwD/?symbol=nasdaq%3Asens" TargetMode="External" Id="rId83" /><Relationship Type="http://schemas.openxmlformats.org/officeDocument/2006/relationships/hyperlink" Target="https://www.tradingview.com/chart/Q1c5VWwD/?symbol=nasdaq%3Asndk" TargetMode="External" Id="rId84" /><Relationship Type="http://schemas.openxmlformats.org/officeDocument/2006/relationships/hyperlink" Target="https://www.tradingview.com/chart/Q1c5VWwD/?symbol=nasdaq%3Acvlt" TargetMode="External" Id="rId85" /><Relationship Type="http://schemas.openxmlformats.org/officeDocument/2006/relationships/hyperlink" Target="https://www.tradingview.com/chart/Q1c5VWwD/?symbol=nyse%3Adhx" TargetMode="External" Id="rId86" /><Relationship Type="http://schemas.openxmlformats.org/officeDocument/2006/relationships/hyperlink" Target="https://www.tradingview.com/chart/Q1c5VWwD/?symbol=nyse%3Aluv" TargetMode="External" Id="rId87" /><Relationship Type="http://schemas.openxmlformats.org/officeDocument/2006/relationships/hyperlink" Target="https://www.tradingview.com/chart/Q1c5VWwD/?symbol=nasdaq%3Alqdt" TargetMode="External" Id="rId88" /><Relationship Type="http://schemas.openxmlformats.org/officeDocument/2006/relationships/hyperlink" Target="https://www.tradingview.com/chart/Q1c5VWwD/?symbol=nyse%3Achpt" TargetMode="External" Id="rId89" /><Relationship Type="http://schemas.openxmlformats.org/officeDocument/2006/relationships/hyperlink" Target="https://www.tradingview.com/chart/Q1c5VWwD/?symbol=nyse%3Amtw" TargetMode="External" Id="rId90" /><Relationship Type="http://schemas.openxmlformats.org/officeDocument/2006/relationships/hyperlink" Target="https://www.tradingview.com/chart/Q1c5VWwD/?symbol=nyse%3Adell" TargetMode="External" Id="rId91" /><Relationship Type="http://schemas.openxmlformats.org/officeDocument/2006/relationships/hyperlink" Target="https://www.tradingview.com/chart/Q1c5VWwD/?symbol=nasdaq%3Aexel" TargetMode="External" Id="rId92" /><Relationship Type="http://schemas.openxmlformats.org/officeDocument/2006/relationships/hyperlink" Target="https://www.tradingview.com/chart/Q1c5VWwD/?symbol=nasdaq%3Aospn" TargetMode="External" Id="rId93" /><Relationship Type="http://schemas.openxmlformats.org/officeDocument/2006/relationships/hyperlink" Target="https://www.tradingview.com/chart/Q1c5VWwD/?symbol=nasdaq%3Acstl" TargetMode="External" Id="rId94" /><Relationship Type="http://schemas.openxmlformats.org/officeDocument/2006/relationships/hyperlink" Target="https://www.tradingview.com/chart/Q1c5VWwD/?symbol=nasdaq%3Abrkr" TargetMode="External" Id="rId95" /><Relationship Type="http://schemas.openxmlformats.org/officeDocument/2006/relationships/hyperlink" Target="https://www.tradingview.com/chart/Q1c5VWwD/?symbol=nasdaq%3Ahypd" TargetMode="External" Id="rId96" /><Relationship Type="http://schemas.openxmlformats.org/officeDocument/2006/relationships/hyperlink" Target="https://www.tradingview.com/chart/Q1c5VWwD/?symbol=nyse%3Angvc" TargetMode="External" Id="rId97" /><Relationship Type="http://schemas.openxmlformats.org/officeDocument/2006/relationships/hyperlink" Target="https://www.tradingview.com/chart/Q1c5VWwD/?symbol=nasdaq%3Asmti" TargetMode="External" Id="rId98" /><Relationship Type="http://schemas.openxmlformats.org/officeDocument/2006/relationships/hyperlink" Target="https://www.tradingview.com/chart/Q1c5VWwD/?symbol=nasdaq%3Amaze" TargetMode="External" Id="rId99" /><Relationship Type="http://schemas.openxmlformats.org/officeDocument/2006/relationships/hyperlink" Target="https://www.tradingview.com/chart/Q1c5VWwD/?symbol=nasdaq%3Avlgea" TargetMode="External" Id="rId100" /><Relationship Type="http://schemas.openxmlformats.org/officeDocument/2006/relationships/hyperlink" Target="https://www.tradingview.com/chart/Q1c5VWwD/?symbol=nasdaq%3Agyre" TargetMode="External" Id="rId101" /><Relationship Type="http://schemas.openxmlformats.org/officeDocument/2006/relationships/hyperlink" Target="https://www.tradingview.com/chart/Q1c5VWwD/?symbol=nasdaq%3Abwin" TargetMode="External" Id="rId102" /><Relationship Type="http://schemas.openxmlformats.org/officeDocument/2006/relationships/hyperlink" Target="https://www.tradingview.com/chart/Q1c5VWwD/?symbol=nasdaq%3Aulta" TargetMode="External" Id="rId103" /><Relationship Type="http://schemas.openxmlformats.org/officeDocument/2006/relationships/hyperlink" Target="https://www.tradingview.com/chart/Q1c5VWwD/?symbol=nasdaq%3Adjco" TargetMode="External" Id="rId104" /><Relationship Type="http://schemas.openxmlformats.org/officeDocument/2006/relationships/hyperlink" Target="https://www.tradingview.com/chart/Q1c5VWwD/?symbol=nyse%3Acvi" TargetMode="External" Id="rId105" /><Relationship Type="http://schemas.openxmlformats.org/officeDocument/2006/relationships/hyperlink" Target="https://www.tradingview.com/chart/Q1c5VWwD/?symbol=nyse%3Am" TargetMode="External" Id="rId106" /><Relationship Type="http://schemas.openxmlformats.org/officeDocument/2006/relationships/hyperlink" Target="https://www.tradingview.com/chart/Q1c5VWwD/?symbol=nyse%3Awat" TargetMode="External" Id="rId107" /><Relationship Type="http://schemas.openxmlformats.org/officeDocument/2006/relationships/hyperlink" Target="https://www.tradingview.com/chart/Q1c5VWwD/?symbol=nyse%3Ade" TargetMode="External" Id="rId108" /><Relationship Type="http://schemas.openxmlformats.org/officeDocument/2006/relationships/hyperlink" Target="https://www.tradingview.com/chart/Q1c5VWwD/?symbol=nasdaq%3Aatii" TargetMode="External" Id="rId109" /><Relationship Type="http://schemas.openxmlformats.org/officeDocument/2006/relationships/hyperlink" Target="https://www.tradingview.com/chart/Q1c5VWwD/?symbol=nyse%3Agne" TargetMode="External" Id="rId110" /><Relationship Type="http://schemas.openxmlformats.org/officeDocument/2006/relationships/hyperlink" Target="https://www.tradingview.com/chart/Q1c5VWwD/?symbol=nasdaq%3Acrus" TargetMode="External" Id="rId111" /><Relationship Type="http://schemas.openxmlformats.org/officeDocument/2006/relationships/hyperlink" Target="https://www.tradingview.com/chart/Q1c5VWwD/?symbol=amex%3Ainfu" TargetMode="External" Id="rId112" /><Relationship Type="http://schemas.openxmlformats.org/officeDocument/2006/relationships/hyperlink" Target="https://www.tradingview.com/chart/Q1c5VWwD/?symbol=nasdaq%3Ahalo" TargetMode="External" Id="rId113" /><Relationship Type="http://schemas.openxmlformats.org/officeDocument/2006/relationships/hyperlink" Target="https://www.tradingview.com/chart/Q1c5VWwD/?symbol=nasdaq%3Aaapl" TargetMode="External" Id="rId114" /><Relationship Type="http://schemas.openxmlformats.org/officeDocument/2006/relationships/hyperlink" Target="https://www.tradingview.com/chart/Q1c5VWwD/?symbol=nasdaq%3Aslp" TargetMode="External" Id="rId115" /><Relationship Type="http://schemas.openxmlformats.org/officeDocument/2006/relationships/hyperlink" Target="https://www.tradingview.com/chart/Q1c5VWwD/?symbol=nyse%3Abtgo" TargetMode="External" Id="rId116" /><Relationship Type="http://schemas.openxmlformats.org/officeDocument/2006/relationships/hyperlink" Target="https://www.tradingview.com/chart/Q1c5VWwD/?symbol=nyse%3Arex" TargetMode="External" Id="rId117" /><Relationship Type="http://schemas.openxmlformats.org/officeDocument/2006/relationships/hyperlink" Target="https://www.tradingview.com/chart/Q1c5VWwD/?symbol=nyse%3Ahca" TargetMode="External" Id="rId118" /><Relationship Type="http://schemas.openxmlformats.org/officeDocument/2006/relationships/hyperlink" Target="https://www.tradingview.com/chart/Q1c5VWwD/?symbol=nasdaq%3Agct" TargetMode="External" Id="rId119" /><Relationship Type="http://schemas.openxmlformats.org/officeDocument/2006/relationships/hyperlink" Target="https://www.tradingview.com/chart/Q1c5VWwD/?symbol=nasdaq%3Autmd" TargetMode="External" Id="rId120" /><Relationship Type="http://schemas.openxmlformats.org/officeDocument/2006/relationships/hyperlink" Target="https://www.tradingview.com/chart/Q1c5VWwD/?symbol=nyse%3Afet" TargetMode="External" Id="rId121" /><Relationship Type="http://schemas.openxmlformats.org/officeDocument/2006/relationships/hyperlink" Target="https://www.tradingview.com/chart/Q1c5VWwD/?symbol=nyse%3Aitgr" TargetMode="External" Id="rId122" /><Relationship Type="http://schemas.openxmlformats.org/officeDocument/2006/relationships/hyperlink" Target="https://www.tradingview.com/chart/Q1c5VWwD/?symbol=nyse%3Aatkr" TargetMode="External" Id="rId123" /><Relationship Type="http://schemas.openxmlformats.org/officeDocument/2006/relationships/hyperlink" Target="https://www.tradingview.com/chart/Q1c5VWwD/?symbol=nyse%3Aamg" TargetMode="External" Id="rId124" /><Relationship Type="http://schemas.openxmlformats.org/officeDocument/2006/relationships/hyperlink" Target="https://www.tradingview.com/chart/Q1c5VWwD/?symbol=nasdaq%3Arbkb" TargetMode="External" Id="rId125" /><Relationship Type="http://schemas.openxmlformats.org/officeDocument/2006/relationships/hyperlink" Target="https://www.tradingview.com/chart/Q1c5VWwD/?symbol=nasdaq%3Apkoh" TargetMode="External" Id="rId126" /><Relationship Type="http://schemas.openxmlformats.org/officeDocument/2006/relationships/hyperlink" Target="https://www.tradingview.com/chart/Q1c5VWwD/?symbol=nyse%3Atxnm" TargetMode="External" Id="rId127" /><Relationship Type="http://schemas.openxmlformats.org/officeDocument/2006/relationships/hyperlink" Target="https://www.tradingview.com/chart/Q1c5VWwD/?symbol=nasdaq%3Adsgr" TargetMode="External" Id="rId128" /><Relationship Type="http://schemas.openxmlformats.org/officeDocument/2006/relationships/hyperlink" Target="https://www.tradingview.com/chart/Q1c5VWwD/?symbol=nasdaq%3Afsbw" TargetMode="External" Id="rId129" /><Relationship Type="http://schemas.openxmlformats.org/officeDocument/2006/relationships/hyperlink" Target="https://www.tradingview.com/chart/Q1c5VWwD/?symbol=nyse%3Aaes" TargetMode="External" Id="rId130" /><Relationship Type="http://schemas.openxmlformats.org/officeDocument/2006/relationships/hyperlink" Target="https://www.tradingview.com/chart/Q1c5VWwD/?symbol=nyse%3Acon" TargetMode="External" Id="rId131" /><Relationship Type="http://schemas.openxmlformats.org/officeDocument/2006/relationships/hyperlink" Target="https://www.tradingview.com/chart/Q1c5VWwD/?symbol=nyse%3Axom" TargetMode="External" Id="rId13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10/02/jobs-report-september-2026.html" TargetMode="External" Id="rId1" /><Relationship Type="http://schemas.openxmlformats.org/officeDocument/2006/relationships/hyperlink" Target="https://finance.yahoo.com/markets/live/stock-market-today-friday-october-2-dow-sp-500-nasdaq-september-jobs-report-080623878.html" TargetMode="External" Id="rId2" /><Relationship Type="http://schemas.openxmlformats.org/officeDocument/2006/relationships/hyperlink" Target="https://www.thestreet.com/stock-market-today/stock-market-today-dow-jones-sp-500-nasdaq-updates-oct-02-2026" TargetMode="External" Id="rId3" /><Relationship Type="http://schemas.openxmlformats.org/officeDocument/2006/relationships/hyperlink" Target="https://www.schwab.com/learn/story/stock-market-update-open" TargetMode="External" Id="rId4" /><Relationship Type="http://schemas.openxmlformats.org/officeDocument/2006/relationships/hyperlink" Target="https://finance.yahoo.com/economy/articles/september-2026-jobs-report-payrolls-123334753.html" TargetMode="External" Id="rId5" /><Relationship Type="http://schemas.openxmlformats.org/officeDocument/2006/relationships/hyperlink" Target="https://www.cnbc.com/2026/09/30/stock-market-today-live-updates.html" TargetMode="External" Id="rId6" /><Relationship Type="http://schemas.openxmlformats.org/officeDocument/2006/relationships/hyperlink" Target="https://finance.yahoo.com/markets/live/stock-market-today-thursday-oct-1-dow-sp-500-nasdaq-080602402.html" TargetMode="External" Id="rId7" /><Relationship Type="http://schemas.openxmlformats.org/officeDocument/2006/relationships/hyperlink" Target="https://www.thestreet.com/stock-market-today/stock-market-today-dow-jones-sp-500-nasdaq-updates-oct-01-2026" TargetMode="External" Id="rId8" /><Relationship Type="http://schemas.openxmlformats.org/officeDocument/2006/relationships/hyperlink" Target="https://bloomberg.com/news/articles/2026-09-29/fed-s-williams-sees-one-more-interest-rate-hike-in-late-2026" TargetMode="External" Id="rId9" /><Relationship Type="http://schemas.openxmlformats.org/officeDocument/2006/relationships/hyperlink" Target="https://www.forbes.com/sites/simonmoore/2026/09/29/what-to-expect-from-interest-rates-for-the-rest-of-2026/" TargetMode="External" Id="rId10" /><Relationship Type="http://schemas.openxmlformats.org/officeDocument/2006/relationships/hyperlink" Target="https://cnbc.com/2026/09/25/kevin-warsh-fed-interest-rates-balance-sheet.html" TargetMode="External" Id="rId11" /><Relationship Type="http://schemas.openxmlformats.org/officeDocument/2006/relationships/hyperlink" Target="https://www.schwab.com/learn/story/fomc-meeting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50" customWidth="1" min="2" max="2"/>
  </cols>
  <sheetData>
    <row r="1">
      <c r="A1" s="1" t="inlineStr">
        <is>
          <t>R4.00 更新重點</t>
        </is>
      </c>
    </row>
    <row r="2" ht="30" customHeight="1">
      <c r="A2" s="2" t="n">
        <v>1</v>
      </c>
      <c r="B2" s="3" t="inlineStr">
        <is>
          <t>R4.00：加入 MACD（12/26/9）兩個核心條件 —— ⑤ 慢線（訊號線）高過前一日 ⑥ 柱狀圖動能轉勢：近 3 日內出現第一根「深紅之後嘅淺紅」或「淺綠之後嘅深綠」，其後每根都升（顏色跟 TradingView 四色柱）。連同 ① 21EMA 向上 ② 9EMA 在 21EMA 上 ③ 一底高於一底 ④ 上升三角重心偏上，六項全過＝第一梯隊。總表加咗 MACD、慢線、慢線斜率、三日柱值、柱顏色、轉勢種類／幾日前、柱顏色序列。</t>
        </is>
      </c>
    </row>
    <row r="3" ht="45" customHeight="1">
      <c r="A3" s="2" t="n">
        <v>2</v>
      </c>
      <c r="B3" s="3" t="inlineStr">
        <is>
          <t>三個分頁（引用總表）：a 剛黃金交叉（5 日內金叉）6 隻；b 回到 21EMA（離 EMA21 ≤3% 兼 ≤0.75 ATR 或近 3 日觸及）0 隻；c 回到 9EMA（同樣口徑對 EMA9，離兩條都近就歸較近嗰條）18 隻 —— 都係第一梯隊數目；每頁下方另加灰底第二梯隊（只差一項）同橙底第三梯隊（價格四項過、只差 MACD，共 71 隻）畀你候補。b 頁第一梯隊得零隻：回到 21EMA 嘅股票柱狀圖多數仲喺減速中、未出現第一根淺紅／深綠，候補嗰啲就係要等嘅名。</t>
        </is>
      </c>
    </row>
    <row r="4" ht="30" customHeight="1">
      <c r="A4" s="2" t="n">
        <v>3</v>
      </c>
      <c r="B4" s="3" t="inlineStr">
        <is>
          <t>數據更新至 2026-10-02 收市（193 個交易日，2025-12-26 起；Yahoo 日線由 GitHub Actions 抓取）。</t>
        </is>
      </c>
    </row>
    <row r="5" ht="30" customHeight="1">
      <c r="A5" s="2" t="n">
        <v>4</v>
      </c>
      <c r="B5" s="3" t="inlineStr">
        <is>
          <t>合資格 2,792 隻 → C1 630 → C2 597 → C3 368 → C4 97 → C5 MACD 慢線 44 → C6 柱轉勢 第一梯隊 26 隻（大型 9／中型 9／小型 7；平頂上升三角 10 隻）。第二梯隊（差一項）35 隻。</t>
        </is>
      </c>
    </row>
    <row r="6" ht="30" customHeight="1">
      <c r="A6" s="2" t="n">
        <v>5</v>
      </c>
      <c r="B6" s="3" t="inlineStr">
        <is>
          <t>排名：綜合分數 = 0.25 趨勢 + 0.25 回調質素 + 0.2 底部結構 + 0.3 三角形（每項 0–100，總表全部係公式）。頭五位：AMN（67）、SEI（65）、DDD（63）、FFIV（62）、ANET（62）。</t>
        </is>
      </c>
    </row>
    <row r="7" ht="30" customHeight="1">
      <c r="A7" s="2" t="n">
        <v>6</v>
      </c>
      <c r="B7" s="3" t="inlineStr">
        <is>
          <t>市況：10-02 就業轉弱（9 月只加 2.9 萬、失業率 4.2%）→ 10 月加息機率大減、債息油價齊回落、指數反彈；但闊度仍弱、10 年息仍 5.2% 樓上 —— 由「偏防守」升級為「審慎偏多」，只做 9/21EMA 回調、倉位由一半加至七成（市況頁有指數／ETF／商品／債息嘅 EMA 狀態、合資格股票池闊度、四大力量周期對標同領先指標觀察表）。</t>
        </is>
      </c>
    </row>
    <row r="8" ht="30" customHeight="1">
      <c r="A8" s="2" t="n">
        <v>7</v>
      </c>
      <c r="B8" s="3" t="inlineStr">
        <is>
          <t>頁：總表（兩個梯隊）、a 剛黃金交叉、b 回到21EMA、c 回到9EMA、大型股／中型股／小型股（引用總表）、差一項、樞軸底頂、篩選規則、市況、數據核對。所有代號連 TradingView；藍字係量度值、黑字係公式。</t>
        </is>
      </c>
    </row>
    <row r="9" ht="30" customHeight="1">
      <c r="A9" s="2" t="n">
        <v>8</v>
      </c>
      <c r="B9" s="3" t="inlineStr">
        <is>
          <t>產出：9EMA-Uptrend_Watchlist_R4.00_claudefable51xhigh_10.03_1043.xlsx（claudefable51xhigh = Claude Fable 5.1，effort xhigh；2026-10-03 10:43 香港時間）。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6" customWidth="1" min="4" max="4"/>
    <col width="7" customWidth="1" min="5" max="5"/>
    <col width="9" customWidth="1" min="6" max="6"/>
    <col width="24" customWidth="1" min="7" max="7"/>
    <col width="9" customWidth="1" min="8" max="8"/>
    <col width="6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10" customWidth="1" min="15" max="15"/>
    <col width="10" customWidth="1" min="16" max="16"/>
    <col width="6" customWidth="1" min="17" max="17"/>
    <col width="9" customWidth="1" min="18" max="18"/>
    <col width="9" customWidth="1" min="19" max="19"/>
    <col width="9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9" customWidth="1" min="31" max="31"/>
    <col width="6" customWidth="1" min="32" max="32"/>
    <col width="7" customWidth="1" min="33" max="33"/>
    <col width="7" customWidth="1" min="34" max="34"/>
    <col width="10" customWidth="1" min="35" max="35"/>
    <col width="6" customWidth="1" min="36" max="36"/>
    <col width="6" customWidth="1" min="37" max="37"/>
    <col width="10" customWidth="1" min="38" max="38"/>
    <col width="9" customWidth="1" min="39" max="39"/>
    <col width="9" customWidth="1" min="40" max="40"/>
    <col width="7" customWidth="1" min="41" max="41"/>
    <col width="7" customWidth="1" min="42" max="42"/>
    <col width="7" customWidth="1" min="43" max="43"/>
    <col width="9" customWidth="1" min="44" max="44"/>
    <col width="7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6" customWidth="1" min="53" max="53"/>
    <col width="9" customWidth="1" min="54" max="54"/>
    <col width="6" customWidth="1" min="55" max="55"/>
    <col width="26" customWidth="1" min="56" max="56"/>
    <col width="13" customWidth="1" min="57" max="57"/>
    <col width="8" customWidth="1" min="58" max="58"/>
    <col width="8" customWidth="1" min="59" max="59"/>
    <col width="9" customWidth="1" min="60" max="60"/>
    <col width="8" customWidth="1" min="61" max="61"/>
    <col width="6" customWidth="1" min="62" max="62"/>
    <col width="9" customWidth="1" min="63" max="63"/>
    <col width="9" customWidth="1" min="64" max="64"/>
    <col width="9" customWidth="1" min="65" max="65"/>
    <col width="8" customWidth="1" min="66" max="66"/>
    <col width="8" customWidth="1" min="67" max="67"/>
    <col width="8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2" customWidth="1" min="75" max="75"/>
    <col width="28" customWidth="1" min="76" max="76"/>
  </cols>
  <sheetData>
    <row r="1" ht="42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交易所</t>
        </is>
      </c>
      <c r="F1" s="4" t="inlineStr">
        <is>
          <t>板塊</t>
        </is>
      </c>
      <c r="G1" s="4" t="inlineStr">
        <is>
          <t>行業</t>
        </is>
      </c>
      <c r="H1" s="4" t="inlineStr">
        <is>
          <t>市值(十億美元)</t>
        </is>
      </c>
      <c r="I1" s="4" t="inlineStr">
        <is>
          <t>市值組</t>
        </is>
      </c>
      <c r="J1" s="4" t="inlineStr">
        <is>
          <t>收市價</t>
        </is>
      </c>
      <c r="K1" s="4" t="inlineStr">
        <is>
          <t>前收</t>
        </is>
      </c>
      <c r="L1" s="4" t="inlineStr">
        <is>
          <t>當日%</t>
        </is>
      </c>
      <c r="M1" s="4" t="inlineStr">
        <is>
          <t>當日高</t>
        </is>
      </c>
      <c r="N1" s="4" t="inlineStr">
        <is>
          <t>當日低</t>
        </is>
      </c>
      <c r="O1" s="4" t="inlineStr">
        <is>
          <t>成交量</t>
        </is>
      </c>
      <c r="P1" s="4" t="inlineStr">
        <is>
          <t>20日均量</t>
        </is>
      </c>
      <c r="Q1" s="4" t="inlineStr">
        <is>
          <t>量比</t>
        </is>
      </c>
      <c r="R1" s="4" t="inlineStr">
        <is>
          <t>EMA9</t>
        </is>
      </c>
      <c r="S1" s="4" t="inlineStr">
        <is>
          <t>EMA21</t>
        </is>
      </c>
      <c r="T1" s="4" t="inlineStr">
        <is>
          <t>EMA21（5日前）</t>
        </is>
      </c>
      <c r="U1" s="4" t="inlineStr">
        <is>
          <t>EMA21 5日斜率%</t>
        </is>
      </c>
      <c r="V1" s="4" t="inlineStr">
        <is>
          <t>EMA21 10步上升比例</t>
        </is>
      </c>
      <c r="W1" s="4" t="inlineStr">
        <is>
          <t>距EMA9%</t>
        </is>
      </c>
      <c r="X1" s="4" t="inlineStr">
        <is>
          <t>距EMA21%</t>
        </is>
      </c>
      <c r="Y1" s="4" t="inlineStr">
        <is>
          <t>ATR14</t>
        </is>
      </c>
      <c r="Z1" s="4" t="inlineStr">
        <is>
          <t>ATR14%</t>
        </is>
      </c>
      <c r="AA1" s="4" t="inlineStr">
        <is>
          <t>距EMA9（ATR倍）</t>
        </is>
      </c>
      <c r="AB1" s="4" t="inlineStr">
        <is>
          <t>距EMA21（ATR倍）</t>
        </is>
      </c>
      <c r="AC1" s="4" t="inlineStr">
        <is>
          <t>最接近</t>
        </is>
      </c>
      <c r="AD1" s="4" t="inlineStr">
        <is>
          <t>近3日低位觸及</t>
        </is>
      </c>
      <c r="AE1" s="4" t="inlineStr">
        <is>
          <t>9/21狀態</t>
        </is>
      </c>
      <c r="AF1" s="4" t="inlineStr">
        <is>
          <t>a 剛金叉</t>
        </is>
      </c>
      <c r="AG1" s="4" t="inlineStr">
        <is>
          <t>b 回到21EMA</t>
        </is>
      </c>
      <c r="AH1" s="4" t="inlineStr">
        <is>
          <t>c 回到9EMA</t>
        </is>
      </c>
      <c r="AI1" s="4" t="inlineStr">
        <is>
          <t>金叉日期</t>
        </is>
      </c>
      <c r="AJ1" s="4" t="inlineStr">
        <is>
          <t>金叉後日數</t>
        </is>
      </c>
      <c r="AK1" s="4" t="inlineStr">
        <is>
          <t>連續上升底數目</t>
        </is>
      </c>
      <c r="AL1" s="4" t="inlineStr">
        <is>
          <t>最後一底日期</t>
        </is>
      </c>
      <c r="AM1" s="4" t="inlineStr">
        <is>
          <t>最後一底價</t>
        </is>
      </c>
      <c r="AN1" s="4" t="inlineStr">
        <is>
          <t>上一底價</t>
        </is>
      </c>
      <c r="AO1" s="4" t="inlineStr">
        <is>
          <t>底較底升%</t>
        </is>
      </c>
      <c r="AP1" s="4" t="inlineStr">
        <is>
          <t>最後一底距今（日）</t>
        </is>
      </c>
      <c r="AQ1" s="4" t="inlineStr">
        <is>
          <t>距最後一底%</t>
        </is>
      </c>
      <c r="AR1" s="4" t="inlineStr">
        <is>
          <t>15日最高收市</t>
        </is>
      </c>
      <c r="AS1" s="4" t="inlineStr">
        <is>
          <t>距15日高%</t>
        </is>
      </c>
      <c r="AT1" s="4" t="inlineStr">
        <is>
          <t>MACD</t>
        </is>
      </c>
      <c r="AU1" s="4" t="inlineStr">
        <is>
          <t>MACD慢線</t>
        </is>
      </c>
      <c r="AV1" s="4" t="inlineStr">
        <is>
          <t>慢線（前日）</t>
        </is>
      </c>
      <c r="AW1" s="4" t="inlineStr">
        <is>
          <t>慢線斜率</t>
        </is>
      </c>
      <c r="AX1" s="4" t="inlineStr">
        <is>
          <t>柱（今日）</t>
        </is>
      </c>
      <c r="AY1" s="4" t="inlineStr">
        <is>
          <t>柱（前日）</t>
        </is>
      </c>
      <c r="AZ1" s="4" t="inlineStr">
        <is>
          <t>柱（前2日）</t>
        </is>
      </c>
      <c r="BA1" s="4" t="inlineStr">
        <is>
          <t>柱顏色</t>
        </is>
      </c>
      <c r="BB1" s="4" t="inlineStr">
        <is>
          <t>柱轉勢</t>
        </is>
      </c>
      <c r="BC1" s="4" t="inlineStr">
        <is>
          <t>轉勢幾日前</t>
        </is>
      </c>
      <c r="BD1" s="4" t="inlineStr">
        <is>
          <t>柱顏色序列（舊→新）</t>
        </is>
      </c>
      <c r="BE1" s="4" t="inlineStr">
        <is>
          <t>形態（25日）</t>
        </is>
      </c>
      <c r="BF1" s="4" t="inlineStr">
        <is>
          <t>高位斜率（%/日）</t>
        </is>
      </c>
      <c r="BG1" s="4" t="inlineStr">
        <is>
          <t>低位斜率（%/日）</t>
        </is>
      </c>
      <c r="BH1" s="4" t="inlineStr">
        <is>
          <t>重心（VWAP在25日高低區間位置）</t>
        </is>
      </c>
      <c r="BI1" s="4" t="inlineStr">
        <is>
          <t>重心（收市範圍）</t>
        </is>
      </c>
      <c r="BJ1" s="4" t="inlineStr">
        <is>
          <t>頂部觸及次數</t>
        </is>
      </c>
      <c r="BK1" s="4" t="inlineStr">
        <is>
          <t>25日最高</t>
        </is>
      </c>
      <c r="BL1" s="4" t="inlineStr">
        <is>
          <t>25日最低</t>
        </is>
      </c>
      <c r="BM1" s="4" t="inlineStr">
        <is>
          <t>25日VWAP</t>
        </is>
      </c>
      <c r="BN1" s="4" t="inlineStr">
        <is>
          <t>跌日／升日量比（10日）</t>
        </is>
      </c>
      <c r="BO1" s="4" t="inlineStr">
        <is>
          <t>收市在當日區間位置</t>
        </is>
      </c>
      <c r="BP1" s="4" t="inlineStr">
        <is>
          <t>RS21（對全池中位數）%</t>
        </is>
      </c>
      <c r="BQ1" s="4" t="inlineStr">
        <is>
          <t>21日回報%</t>
        </is>
      </c>
      <c r="BR1" s="4" t="inlineStr">
        <is>
          <t>趨勢分數</t>
        </is>
      </c>
      <c r="BS1" s="4" t="inlineStr">
        <is>
          <t>回調質素</t>
        </is>
      </c>
      <c r="BT1" s="4" t="inlineStr">
        <is>
          <t>底部結構</t>
        </is>
      </c>
      <c r="BU1" s="4" t="inlineStr">
        <is>
          <t>三角形分數</t>
        </is>
      </c>
      <c r="BV1" s="4" t="inlineStr">
        <is>
          <t>綜合分數</t>
        </is>
      </c>
      <c r="BW1" s="4" t="inlineStr">
        <is>
          <t>唔過嘅條件</t>
        </is>
      </c>
      <c r="BX1" s="4" t="inlineStr">
        <is>
          <t>備註</t>
        </is>
      </c>
    </row>
    <row r="2">
      <c r="A2" s="5" t="n">
        <v>1</v>
      </c>
      <c r="B2" s="5" t="n">
        <v>1</v>
      </c>
      <c r="C2" s="6" t="inlineStr">
        <is>
          <t>AMN</t>
        </is>
      </c>
      <c r="D2" s="5" t="inlineStr">
        <is>
          <t>AMN Healthcare Services Inc</t>
        </is>
      </c>
      <c r="E2" s="5" t="inlineStr">
        <is>
          <t>NYSE</t>
        </is>
      </c>
      <c r="F2" s="5" t="inlineStr">
        <is>
          <t>非必需消費</t>
        </is>
      </c>
      <c r="G2" s="5" t="inlineStr">
        <is>
          <t>Professional Services</t>
        </is>
      </c>
      <c r="H2" s="7" t="n">
        <v>1.389</v>
      </c>
      <c r="I2" s="5" t="inlineStr">
        <is>
          <t>小型</t>
        </is>
      </c>
      <c r="J2" s="8" t="n">
        <v>36.63</v>
      </c>
      <c r="K2" s="8" t="n">
        <v>35.86</v>
      </c>
      <c r="L2" s="9">
        <f>J2/K2-1</f>
        <v/>
      </c>
      <c r="M2" s="8" t="n">
        <v>36.9</v>
      </c>
      <c r="N2" s="8" t="n">
        <v>36.21</v>
      </c>
      <c r="O2" s="10" t="n">
        <v>887200</v>
      </c>
      <c r="P2" s="10" t="n">
        <v>637170</v>
      </c>
      <c r="Q2" s="11">
        <f>O2/P2</f>
        <v/>
      </c>
      <c r="R2" s="8" t="n">
        <v>35.289</v>
      </c>
      <c r="S2" s="8" t="n">
        <v>34.7366</v>
      </c>
      <c r="T2" s="8" t="n">
        <v>34.1968</v>
      </c>
      <c r="U2" s="9">
        <f>S2/T2-1</f>
        <v/>
      </c>
      <c r="V2" s="12" t="n">
        <v>0.9</v>
      </c>
      <c r="W2" s="9">
        <f>J2/R2-1</f>
        <v/>
      </c>
      <c r="X2" s="9">
        <f>J2/S2-1</f>
        <v/>
      </c>
      <c r="Y2" s="8" t="n">
        <v>1.2015</v>
      </c>
      <c r="Z2" s="13">
        <f>Y2/J2</f>
        <v/>
      </c>
      <c r="AA2" s="11">
        <f>(J2-R2)/Y2</f>
        <v/>
      </c>
      <c r="AB2" s="11">
        <f>(J2-S2)/Y2</f>
        <v/>
      </c>
      <c r="AC2" s="5">
        <f>IF(ABS(AA2)&lt;=ABS(AB2),"9EMA","21EMA")</f>
        <v/>
      </c>
      <c r="AD2" s="5" t="inlineStr">
        <is>
          <t>—</t>
        </is>
      </c>
      <c r="AE2" s="5" t="inlineStr">
        <is>
          <t>持續在上方</t>
        </is>
      </c>
      <c r="AF2" s="5" t="inlineStr"/>
      <c r="AG2" s="5" t="inlineStr"/>
      <c r="AH2" s="5" t="inlineStr"/>
      <c r="AI2" s="5" t="inlineStr">
        <is>
          <t>2026-09-16</t>
        </is>
      </c>
      <c r="AJ2" s="5" t="n">
        <v>12</v>
      </c>
      <c r="AK2" s="14" t="n">
        <v>3</v>
      </c>
      <c r="AL2" s="5" t="inlineStr">
        <is>
          <t>2026-09-24</t>
        </is>
      </c>
      <c r="AM2" s="8" t="n">
        <v>33.41</v>
      </c>
      <c r="AN2" s="8" t="n">
        <v>32.66</v>
      </c>
      <c r="AO2" s="9">
        <f>IF(ISNUMBER(AN2),AM2/AN2-1,"")</f>
        <v/>
      </c>
      <c r="AP2" s="14" t="n">
        <v>6</v>
      </c>
      <c r="AQ2" s="9">
        <f>IF(ISNUMBER(AM2),J2/AM2-1,"")</f>
        <v/>
      </c>
      <c r="AR2" s="8" t="n">
        <v>36.63</v>
      </c>
      <c r="AS2" s="9">
        <f>J2/AR2-1</f>
        <v/>
      </c>
      <c r="AT2" s="15" t="n">
        <v>0.4756</v>
      </c>
      <c r="AU2" s="15" t="n">
        <v>0.2509</v>
      </c>
      <c r="AV2" s="15" t="n">
        <v>0.1947</v>
      </c>
      <c r="AW2" s="16">
        <f>AU2-AV2</f>
        <v/>
      </c>
      <c r="AX2" s="15" t="n">
        <v>0.2247</v>
      </c>
      <c r="AY2" s="15" t="n">
        <v>0.1616</v>
      </c>
      <c r="AZ2" s="15" t="n">
        <v>0.1229</v>
      </c>
      <c r="BA2" s="5" t="inlineStr">
        <is>
          <t>深綠</t>
        </is>
      </c>
      <c r="BB2" s="5" t="inlineStr">
        <is>
          <t>淺綠→深綠</t>
        </is>
      </c>
      <c r="BC2" s="5" t="n">
        <v>3</v>
      </c>
      <c r="BD2" s="5" t="inlineStr">
        <is>
          <t>淺綠 深綠 深綠 淺綠 深綠 深綠 深綠 深綠</t>
        </is>
      </c>
      <c r="BE2" s="5" t="inlineStr">
        <is>
          <t>上升三角（平頂）</t>
        </is>
      </c>
      <c r="BF2" s="17" t="n">
        <v>-0.021</v>
      </c>
      <c r="BG2" s="17" t="n">
        <v>0.2567</v>
      </c>
      <c r="BH2" s="17" t="n">
        <v>0.5016</v>
      </c>
      <c r="BI2" s="17" t="n">
        <v>0.3974</v>
      </c>
      <c r="BJ2" s="14" t="n">
        <v>2</v>
      </c>
      <c r="BK2" s="8" t="n">
        <v>36.9</v>
      </c>
      <c r="BL2" s="8" t="n">
        <v>32.03</v>
      </c>
      <c r="BM2" s="8" t="n">
        <v>34.4728</v>
      </c>
      <c r="BN2" s="17" t="n">
        <v>0.5669</v>
      </c>
      <c r="BO2" s="11">
        <f>IF(M2=N2,0.5,(J2-N2)/(M2-N2))</f>
        <v/>
      </c>
      <c r="BP2" s="18" t="n">
        <v>14.777</v>
      </c>
      <c r="BQ2" s="18" t="n">
        <v>9.736000000000001</v>
      </c>
      <c r="BR2" s="19">
        <f>100*(0.4*MIN(1,MAX(0,((U2*100)-(0.0))/((2.5)-(0.0))))+0.3*MIN(1,MAX(0,((V2)-(0.6))/((1.0)-(0.6))))+0.3*MIN(1,MAX(0,((BP2)-(0.0))/((15.0)-(0.0)))))</f>
        <v/>
      </c>
      <c r="BS2" s="19">
        <f>100*(0.4*MIN(1,MAX(0,((MIN(ABS(AA2),ABS(AB2)))-(0.75))/((0.0)-(0.75))))+0.3*MIN(1,MAX(0,((BN2)-(1.2))/((0.6)-(1.2))))+0.3*BO2)</f>
        <v/>
      </c>
      <c r="BT2" s="19">
        <f>100*(0.5*MIN(1,MAX(0,((AK2)-(1.0))/((4.0)-(1.0))))+0.3*MIN(1,MAX(0,((IF(ISNUMBER(AO2),AO2,0)*100)-(0.0))/((8.0)-(0.0))))+0.2*MIN(1,MAX(0,((IF(ISNUMBER(AP2),AP2,0))-(25.0))/((5.0)-(25.0)))))</f>
        <v/>
      </c>
      <c r="BU2" s="19">
        <f>100*(0.35*MIN(1,MAX(0,((ABS(BF2))-(0.3))/((0.05)-(0.3))))+0.3*MIN(1,MAX(0,((BG2)-(0.0))/((0.3)-(0.0))))+0.25*MIN(1,MAX(0,((BH2)-(0.4))/((0.7)-(0.4))))+0.1*IF(BJ2&gt;=2,1,0.5))</f>
        <v/>
      </c>
      <c r="BV2" s="20">
        <f>0.25*BR2+0.25*BS2+0.2*BT2+0.3*BU2</f>
        <v/>
      </c>
      <c r="BW2" s="5" t="inlineStr">
        <is>
          <t>全部通過</t>
        </is>
      </c>
      <c r="BX2" s="5" t="inlineStr"/>
    </row>
    <row r="3">
      <c r="A3" s="5" t="n">
        <v>1</v>
      </c>
      <c r="B3" s="5" t="n">
        <v>2</v>
      </c>
      <c r="C3" s="6" t="inlineStr">
        <is>
          <t>SEI</t>
        </is>
      </c>
      <c r="D3" s="5" t="inlineStr">
        <is>
          <t>Solaris Energy Infrastructure Inc.</t>
        </is>
      </c>
      <c r="E3" s="5" t="inlineStr">
        <is>
          <t>NYSE</t>
        </is>
      </c>
      <c r="F3" s="5" t="inlineStr">
        <is>
          <t>非必需消費</t>
        </is>
      </c>
      <c r="G3" s="5" t="inlineStr">
        <is>
          <t>Oil and Gas Field Machinery</t>
        </is>
      </c>
      <c r="H3" s="7" t="n">
        <v>5.45</v>
      </c>
      <c r="I3" s="5" t="inlineStr">
        <is>
          <t>中型</t>
        </is>
      </c>
      <c r="J3" s="8" t="n">
        <v>74.93000000000001</v>
      </c>
      <c r="K3" s="8" t="n">
        <v>71.38</v>
      </c>
      <c r="L3" s="9">
        <f>J3/K3-1</f>
        <v/>
      </c>
      <c r="M3" s="8" t="n">
        <v>75.45999999999999</v>
      </c>
      <c r="N3" s="8" t="n">
        <v>72.19</v>
      </c>
      <c r="O3" s="10" t="n">
        <v>2870200</v>
      </c>
      <c r="P3" s="10" t="n">
        <v>2853615</v>
      </c>
      <c r="Q3" s="11">
        <f>O3/P3</f>
        <v/>
      </c>
      <c r="R3" s="8" t="n">
        <v>70.3182</v>
      </c>
      <c r="S3" s="8" t="n">
        <v>66.7953</v>
      </c>
      <c r="T3" s="8" t="n">
        <v>64.0582</v>
      </c>
      <c r="U3" s="9">
        <f>S3/T3-1</f>
        <v/>
      </c>
      <c r="V3" s="12" t="n">
        <v>1</v>
      </c>
      <c r="W3" s="9">
        <f>J3/R3-1</f>
        <v/>
      </c>
      <c r="X3" s="9">
        <f>J3/S3-1</f>
        <v/>
      </c>
      <c r="Y3" s="8" t="n">
        <v>4.0979</v>
      </c>
      <c r="Z3" s="13">
        <f>Y3/J3</f>
        <v/>
      </c>
      <c r="AA3" s="11">
        <f>(J3-R3)/Y3</f>
        <v/>
      </c>
      <c r="AB3" s="11">
        <f>(J3-S3)/Y3</f>
        <v/>
      </c>
      <c r="AC3" s="5">
        <f>IF(ABS(AA3)&lt;=ABS(AB3),"9EMA","21EMA")</f>
        <v/>
      </c>
      <c r="AD3" s="5" t="inlineStr">
        <is>
          <t>9EMA</t>
        </is>
      </c>
      <c r="AE3" s="5" t="inlineStr">
        <is>
          <t>持續在上方</t>
        </is>
      </c>
      <c r="AF3" s="5" t="inlineStr"/>
      <c r="AG3" s="5" t="inlineStr"/>
      <c r="AH3" s="5" t="inlineStr"/>
      <c r="AI3" s="5" t="inlineStr">
        <is>
          <t>2026-09-09</t>
        </is>
      </c>
      <c r="AJ3" s="5" t="n">
        <v>17</v>
      </c>
      <c r="AK3" s="14" t="n">
        <v>3</v>
      </c>
      <c r="AL3" s="5" t="inlineStr">
        <is>
          <t>2026-09-23</t>
        </is>
      </c>
      <c r="AM3" s="8" t="n">
        <v>64.23</v>
      </c>
      <c r="AN3" s="8" t="n">
        <v>60.59</v>
      </c>
      <c r="AO3" s="9">
        <f>IF(ISNUMBER(AN3),AM3/AN3-1,"")</f>
        <v/>
      </c>
      <c r="AP3" s="14" t="n">
        <v>7</v>
      </c>
      <c r="AQ3" s="9">
        <f>IF(ISNUMBER(AM3),J3/AM3-1,"")</f>
        <v/>
      </c>
      <c r="AR3" s="8" t="n">
        <v>74.93000000000001</v>
      </c>
      <c r="AS3" s="9">
        <f>J3/AR3-1</f>
        <v/>
      </c>
      <c r="AT3" s="15" t="n">
        <v>3.5038</v>
      </c>
      <c r="AU3" s="15" t="n">
        <v>2.956</v>
      </c>
      <c r="AV3" s="15" t="n">
        <v>2.8191</v>
      </c>
      <c r="AW3" s="16">
        <f>AU3-AV3</f>
        <v/>
      </c>
      <c r="AX3" s="15" t="n">
        <v>0.5477</v>
      </c>
      <c r="AY3" s="15" t="n">
        <v>0.3936</v>
      </c>
      <c r="AZ3" s="15" t="n">
        <v>0.4351</v>
      </c>
      <c r="BA3" s="5" t="inlineStr">
        <is>
          <t>深綠</t>
        </is>
      </c>
      <c r="BB3" s="5" t="inlineStr">
        <is>
          <t>淺綠→深綠</t>
        </is>
      </c>
      <c r="BC3" s="5" t="n">
        <v>0</v>
      </c>
      <c r="BD3" s="5" t="inlineStr">
        <is>
          <t>淺綠 淺綠 淺綠 淺綠 淺綠 淺綠 淺綠 深綠</t>
        </is>
      </c>
      <c r="BE3" s="5" t="inlineStr">
        <is>
          <t>上傾收窄（楔形）</t>
        </is>
      </c>
      <c r="BF3" s="17" t="n">
        <v>0.238</v>
      </c>
      <c r="BG3" s="17" t="n">
        <v>1.5653</v>
      </c>
      <c r="BH3" s="17" t="n">
        <v>0.6124000000000001</v>
      </c>
      <c r="BI3" s="17" t="n">
        <v>0.5972</v>
      </c>
      <c r="BJ3" s="14" t="n">
        <v>1</v>
      </c>
      <c r="BK3" s="8" t="n">
        <v>75.45999999999999</v>
      </c>
      <c r="BL3" s="8" t="n">
        <v>47.81</v>
      </c>
      <c r="BM3" s="8" t="n">
        <v>64.74209999999999</v>
      </c>
      <c r="BN3" s="17" t="n">
        <v>1.1418</v>
      </c>
      <c r="BO3" s="11">
        <f>IF(M3=N3,0.5,(J3-N3)/(M3-N3))</f>
        <v/>
      </c>
      <c r="BP3" s="18" t="n">
        <v>47.035</v>
      </c>
      <c r="BQ3" s="18" t="n">
        <v>41.994</v>
      </c>
      <c r="BR3" s="19">
        <f>100*(0.4*MIN(1,MAX(0,((U3*100)-(0.0))/((2.5)-(0.0))))+0.3*MIN(1,MAX(0,((V3)-(0.6))/((1.0)-(0.6))))+0.3*MIN(1,MAX(0,((BP3)-(0.0))/((15.0)-(0.0)))))</f>
        <v/>
      </c>
      <c r="BS3" s="19">
        <f>100*(0.4*MIN(1,MAX(0,((MIN(ABS(AA3),ABS(AB3)))-(0.75))/((0.0)-(0.75))))+0.3*MIN(1,MAX(0,((BN3)-(1.2))/((0.6)-(1.2))))+0.3*BO3)</f>
        <v/>
      </c>
      <c r="BT3" s="19">
        <f>100*(0.5*MIN(1,MAX(0,((AK3)-(1.0))/((4.0)-(1.0))))+0.3*MIN(1,MAX(0,((IF(ISNUMBER(AO3),AO3,0)*100)-(0.0))/((8.0)-(0.0))))+0.2*MIN(1,MAX(0,((IF(ISNUMBER(AP3),AP3,0))-(25.0))/((5.0)-(25.0)))))</f>
        <v/>
      </c>
      <c r="BU3" s="19">
        <f>100*(0.35*MIN(1,MAX(0,((ABS(BF3))-(0.3))/((0.05)-(0.3))))+0.3*MIN(1,MAX(0,((BG3)-(0.0))/((0.3)-(0.0))))+0.25*MIN(1,MAX(0,((BH3)-(0.4))/((0.7)-(0.4))))+0.1*IF(BJ3&gt;=2,1,0.5))</f>
        <v/>
      </c>
      <c r="BV3" s="20">
        <f>0.25*BR3+0.25*BS3+0.2*BT3+0.3*BU3</f>
        <v/>
      </c>
      <c r="BW3" s="5" t="inlineStr">
        <is>
          <t>全部通過</t>
        </is>
      </c>
      <c r="BX3" s="5" t="inlineStr"/>
    </row>
    <row r="4">
      <c r="A4" s="5" t="n">
        <v>1</v>
      </c>
      <c r="B4" s="5" t="n">
        <v>3</v>
      </c>
      <c r="C4" s="6" t="inlineStr">
        <is>
          <t>DDD</t>
        </is>
      </c>
      <c r="D4" s="5" t="inlineStr">
        <is>
          <t>3D Systems Corporation</t>
        </is>
      </c>
      <c r="E4" s="5" t="inlineStr">
        <is>
          <t>NYSE</t>
        </is>
      </c>
      <c r="F4" s="5" t="inlineStr">
        <is>
          <t>科技</t>
        </is>
      </c>
      <c r="G4" s="5" t="inlineStr">
        <is>
          <t>Computer Software: Prepackaged Software</t>
        </is>
      </c>
      <c r="H4" s="7" t="n">
        <v>0.598</v>
      </c>
      <c r="I4" s="5" t="inlineStr">
        <is>
          <t>小型</t>
        </is>
      </c>
      <c r="J4" s="8" t="n">
        <v>3.78</v>
      </c>
      <c r="K4" s="8" t="n">
        <v>3.54</v>
      </c>
      <c r="L4" s="9">
        <f>J4/K4-1</f>
        <v/>
      </c>
      <c r="M4" s="8" t="n">
        <v>3.78</v>
      </c>
      <c r="N4" s="8" t="n">
        <v>3.57</v>
      </c>
      <c r="O4" s="10" t="n">
        <v>3224800</v>
      </c>
      <c r="P4" s="10" t="n">
        <v>2286085</v>
      </c>
      <c r="Q4" s="11">
        <f>O4/P4</f>
        <v/>
      </c>
      <c r="R4" s="8" t="n">
        <v>3.569</v>
      </c>
      <c r="S4" s="8" t="n">
        <v>3.4791</v>
      </c>
      <c r="T4" s="8" t="n">
        <v>3.4037</v>
      </c>
      <c r="U4" s="9">
        <f>S4/T4-1</f>
        <v/>
      </c>
      <c r="V4" s="12" t="n">
        <v>1</v>
      </c>
      <c r="W4" s="9">
        <f>J4/R4-1</f>
        <v/>
      </c>
      <c r="X4" s="9">
        <f>J4/S4-1</f>
        <v/>
      </c>
      <c r="Y4" s="8" t="n">
        <v>0.2031</v>
      </c>
      <c r="Z4" s="13">
        <f>Y4/J4</f>
        <v/>
      </c>
      <c r="AA4" s="11">
        <f>(J4-R4)/Y4</f>
        <v/>
      </c>
      <c r="AB4" s="11">
        <f>(J4-S4)/Y4</f>
        <v/>
      </c>
      <c r="AC4" s="5">
        <f>IF(ABS(AA4)&lt;=ABS(AB4),"9EMA","21EMA")</f>
        <v/>
      </c>
      <c r="AD4" s="5" t="inlineStr">
        <is>
          <t>9+21EMA</t>
        </is>
      </c>
      <c r="AE4" s="5" t="inlineStr">
        <is>
          <t>持續在上方</t>
        </is>
      </c>
      <c r="AF4" s="5" t="inlineStr"/>
      <c r="AG4" s="5" t="inlineStr"/>
      <c r="AH4" s="5" t="inlineStr"/>
      <c r="AI4" s="5" t="inlineStr">
        <is>
          <t>2026-09-17</t>
        </is>
      </c>
      <c r="AJ4" s="5" t="n">
        <v>11</v>
      </c>
      <c r="AK4" s="14" t="n">
        <v>2</v>
      </c>
      <c r="AL4" s="5" t="inlineStr">
        <is>
          <t>2026-09-25</t>
        </is>
      </c>
      <c r="AM4" s="8" t="n">
        <v>3.35</v>
      </c>
      <c r="AN4" s="8" t="n">
        <v>3.1</v>
      </c>
      <c r="AO4" s="9">
        <f>IF(ISNUMBER(AN4),AM4/AN4-1,"")</f>
        <v/>
      </c>
      <c r="AP4" s="14" t="n">
        <v>5</v>
      </c>
      <c r="AQ4" s="9">
        <f>IF(ISNUMBER(AM4),J4/AM4-1,"")</f>
        <v/>
      </c>
      <c r="AR4" s="8" t="n">
        <v>3.78</v>
      </c>
      <c r="AS4" s="9">
        <f>J4/AR4-1</f>
        <v/>
      </c>
      <c r="AT4" s="15" t="n">
        <v>0.0883</v>
      </c>
      <c r="AU4" s="15" t="n">
        <v>0.0669</v>
      </c>
      <c r="AV4" s="15" t="n">
        <v>0.0616</v>
      </c>
      <c r="AW4" s="16">
        <f>AU4-AV4</f>
        <v/>
      </c>
      <c r="AX4" s="15" t="n">
        <v>0.0214</v>
      </c>
      <c r="AY4" s="15" t="n">
        <v>0.0094</v>
      </c>
      <c r="AZ4" s="15" t="n">
        <v>0.013</v>
      </c>
      <c r="BA4" s="5" t="inlineStr">
        <is>
          <t>深綠</t>
        </is>
      </c>
      <c r="BB4" s="5" t="inlineStr">
        <is>
          <t>淺綠→深綠</t>
        </is>
      </c>
      <c r="BC4" s="5" t="n">
        <v>0</v>
      </c>
      <c r="BD4" s="5" t="inlineStr">
        <is>
          <t>淺綠 淺綠 深綠 淺綠 淺綠 深綠 淺綠 深綠</t>
        </is>
      </c>
      <c r="BE4" s="5" t="inlineStr">
        <is>
          <t>上傾收窄（楔形）</t>
        </is>
      </c>
      <c r="BF4" s="17" t="n">
        <v>0.3118</v>
      </c>
      <c r="BG4" s="17" t="n">
        <v>0.9448</v>
      </c>
      <c r="BH4" s="17" t="n">
        <v>0.5228</v>
      </c>
      <c r="BI4" s="17" t="n">
        <v>0.493</v>
      </c>
      <c r="BJ4" s="14" t="n">
        <v>2</v>
      </c>
      <c r="BK4" s="8" t="n">
        <v>3.78</v>
      </c>
      <c r="BL4" s="8" t="n">
        <v>3.1</v>
      </c>
      <c r="BM4" s="8" t="n">
        <v>3.4555</v>
      </c>
      <c r="BN4" s="17" t="n">
        <v>0.92</v>
      </c>
      <c r="BO4" s="11">
        <f>IF(M4=N4,0.5,(J4-N4)/(M4-N4))</f>
        <v/>
      </c>
      <c r="BP4" s="18" t="n">
        <v>16.875</v>
      </c>
      <c r="BQ4" s="18" t="n">
        <v>11.834</v>
      </c>
      <c r="BR4" s="19">
        <f>100*(0.4*MIN(1,MAX(0,((U4*100)-(0.0))/((2.5)-(0.0))))+0.3*MIN(1,MAX(0,((V4)-(0.6))/((1.0)-(0.6))))+0.3*MIN(1,MAX(0,((BP4)-(0.0))/((15.0)-(0.0)))))</f>
        <v/>
      </c>
      <c r="BS4" s="19">
        <f>100*(0.4*MIN(1,MAX(0,((MIN(ABS(AA4),ABS(AB4)))-(0.75))/((0.0)-(0.75))))+0.3*MIN(1,MAX(0,((BN4)-(1.2))/((0.6)-(1.2))))+0.3*BO4)</f>
        <v/>
      </c>
      <c r="BT4" s="19">
        <f>100*(0.5*MIN(1,MAX(0,((AK4)-(1.0))/((4.0)-(1.0))))+0.3*MIN(1,MAX(0,((IF(ISNUMBER(AO4),AO4,0)*100)-(0.0))/((8.0)-(0.0))))+0.2*MIN(1,MAX(0,((IF(ISNUMBER(AP4),AP4,0))-(25.0))/((5.0)-(25.0)))))</f>
        <v/>
      </c>
      <c r="BU4" s="19">
        <f>100*(0.35*MIN(1,MAX(0,((ABS(BF4))-(0.3))/((0.05)-(0.3))))+0.3*MIN(1,MAX(0,((BG4)-(0.0))/((0.3)-(0.0))))+0.25*MIN(1,MAX(0,((BH4)-(0.4))/((0.7)-(0.4))))+0.1*IF(BJ4&gt;=2,1,0.5))</f>
        <v/>
      </c>
      <c r="BV4" s="20">
        <f>0.25*BR4+0.25*BS4+0.2*BT4+0.3*BU4</f>
        <v/>
      </c>
      <c r="BW4" s="5" t="inlineStr">
        <is>
          <t>全部通過</t>
        </is>
      </c>
      <c r="BX4" s="5" t="inlineStr"/>
    </row>
    <row r="5">
      <c r="A5" s="5" t="n">
        <v>1</v>
      </c>
      <c r="B5" s="5" t="n">
        <v>4</v>
      </c>
      <c r="C5" s="6" t="inlineStr">
        <is>
          <t>FFIV</t>
        </is>
      </c>
      <c r="D5" s="5" t="inlineStr">
        <is>
          <t>F5 Inc.</t>
        </is>
      </c>
      <c r="E5" s="5" t="inlineStr">
        <is>
          <t>NASDAQ</t>
        </is>
      </c>
      <c r="F5" s="5" t="inlineStr">
        <is>
          <t>電訊</t>
        </is>
      </c>
      <c r="G5" s="5" t="inlineStr">
        <is>
          <t>Computer Communications Equipment</t>
        </is>
      </c>
      <c r="H5" s="7" t="n">
        <v>25.209</v>
      </c>
      <c r="I5" s="5" t="inlineStr">
        <is>
          <t>大型</t>
        </is>
      </c>
      <c r="J5" s="8" t="n">
        <v>454.04</v>
      </c>
      <c r="K5" s="8" t="n">
        <v>443.68</v>
      </c>
      <c r="L5" s="9">
        <f>J5/K5-1</f>
        <v/>
      </c>
      <c r="M5" s="8" t="n">
        <v>459.88</v>
      </c>
      <c r="N5" s="8" t="n">
        <v>446.13</v>
      </c>
      <c r="O5" s="10" t="n">
        <v>633200</v>
      </c>
      <c r="P5" s="10" t="n">
        <v>563155</v>
      </c>
      <c r="Q5" s="11">
        <f>O5/P5</f>
        <v/>
      </c>
      <c r="R5" s="8" t="n">
        <v>443.1567</v>
      </c>
      <c r="S5" s="8" t="n">
        <v>431.9116</v>
      </c>
      <c r="T5" s="8" t="n">
        <v>424.4576</v>
      </c>
      <c r="U5" s="9">
        <f>S5/T5-1</f>
        <v/>
      </c>
      <c r="V5" s="12" t="n">
        <v>1</v>
      </c>
      <c r="W5" s="9">
        <f>J5/R5-1</f>
        <v/>
      </c>
      <c r="X5" s="9">
        <f>J5/S5-1</f>
        <v/>
      </c>
      <c r="Y5" s="8" t="n">
        <v>13.6727</v>
      </c>
      <c r="Z5" s="13">
        <f>Y5/J5</f>
        <v/>
      </c>
      <c r="AA5" s="11">
        <f>(J5-R5)/Y5</f>
        <v/>
      </c>
      <c r="AB5" s="11">
        <f>(J5-S5)/Y5</f>
        <v/>
      </c>
      <c r="AC5" s="5">
        <f>IF(ABS(AA5)&lt;=ABS(AB5),"9EMA","21EMA")</f>
        <v/>
      </c>
      <c r="AD5" s="5" t="inlineStr">
        <is>
          <t>9EMA</t>
        </is>
      </c>
      <c r="AE5" s="5" t="inlineStr">
        <is>
          <t>持續在上方</t>
        </is>
      </c>
      <c r="AF5" s="5" t="inlineStr"/>
      <c r="AG5" s="5" t="inlineStr"/>
      <c r="AH5" s="5" t="inlineStr">
        <is>
          <t>✓</t>
        </is>
      </c>
      <c r="AI5" s="5" t="inlineStr">
        <is>
          <t>2026-09-11</t>
        </is>
      </c>
      <c r="AJ5" s="5" t="n">
        <v>15</v>
      </c>
      <c r="AK5" s="14" t="n">
        <v>3</v>
      </c>
      <c r="AL5" s="5" t="inlineStr">
        <is>
          <t>2026-09-29</t>
        </is>
      </c>
      <c r="AM5" s="8" t="n">
        <v>428.93</v>
      </c>
      <c r="AN5" s="8" t="n">
        <v>384.95</v>
      </c>
      <c r="AO5" s="9">
        <f>IF(ISNUMBER(AN5),AM5/AN5-1,"")</f>
        <v/>
      </c>
      <c r="AP5" s="14" t="n">
        <v>3</v>
      </c>
      <c r="AQ5" s="9">
        <f>IF(ISNUMBER(AM5),J5/AM5-1,"")</f>
        <v/>
      </c>
      <c r="AR5" s="8" t="n">
        <v>455.99</v>
      </c>
      <c r="AS5" s="9">
        <f>J5/AR5-1</f>
        <v/>
      </c>
      <c r="AT5" s="15" t="n">
        <v>11.906</v>
      </c>
      <c r="AU5" s="15" t="n">
        <v>11.0672</v>
      </c>
      <c r="AV5" s="15" t="n">
        <v>10.8575</v>
      </c>
      <c r="AW5" s="16">
        <f>AU5-AV5</f>
        <v/>
      </c>
      <c r="AX5" s="15" t="n">
        <v>0.8388</v>
      </c>
      <c r="AY5" s="15" t="n">
        <v>0.5942</v>
      </c>
      <c r="AZ5" s="15" t="n">
        <v>1.0512</v>
      </c>
      <c r="BA5" s="5" t="inlineStr">
        <is>
          <t>深綠</t>
        </is>
      </c>
      <c r="BB5" s="5" t="inlineStr">
        <is>
          <t>淺綠→深綠</t>
        </is>
      </c>
      <c r="BC5" s="5" t="n">
        <v>0</v>
      </c>
      <c r="BD5" s="5" t="inlineStr">
        <is>
          <t>深綠 淺綠 淺綠 淺綠 淺綠 淺綠 淺綠 深綠</t>
        </is>
      </c>
      <c r="BE5" s="5" t="inlineStr">
        <is>
          <t>上升通道</t>
        </is>
      </c>
      <c r="BF5" s="17" t="n">
        <v>0.6261</v>
      </c>
      <c r="BG5" s="17" t="n">
        <v>0.5381</v>
      </c>
      <c r="BH5" s="17" t="n">
        <v>0.5245</v>
      </c>
      <c r="BI5" s="17" t="n">
        <v>0.5385</v>
      </c>
      <c r="BJ5" s="14" t="n">
        <v>3</v>
      </c>
      <c r="BK5" s="8" t="n">
        <v>462</v>
      </c>
      <c r="BL5" s="8" t="n">
        <v>384.95</v>
      </c>
      <c r="BM5" s="8" t="n">
        <v>425.36</v>
      </c>
      <c r="BN5" s="17" t="n">
        <v>0.9016999999999999</v>
      </c>
      <c r="BO5" s="11">
        <f>IF(M5=N5,0.5,(J5-N5)/(M5-N5))</f>
        <v/>
      </c>
      <c r="BP5" s="18" t="n">
        <v>21.14</v>
      </c>
      <c r="BQ5" s="18" t="n">
        <v>16.099</v>
      </c>
      <c r="BR5" s="19">
        <f>100*(0.4*MIN(1,MAX(0,((U5*100)-(0.0))/((2.5)-(0.0))))+0.3*MIN(1,MAX(0,((V5)-(0.6))/((1.0)-(0.6))))+0.3*MIN(1,MAX(0,((BP5)-(0.0))/((15.0)-(0.0)))))</f>
        <v/>
      </c>
      <c r="BS5" s="19">
        <f>100*(0.4*MIN(1,MAX(0,((MIN(ABS(AA5),ABS(AB5)))-(0.75))/((0.0)-(0.75))))+0.3*MIN(1,MAX(0,((BN5)-(1.2))/((0.6)-(1.2))))+0.3*BO5)</f>
        <v/>
      </c>
      <c r="BT5" s="19">
        <f>100*(0.5*MIN(1,MAX(0,((AK5)-(1.0))/((4.0)-(1.0))))+0.3*MIN(1,MAX(0,((IF(ISNUMBER(AO5),AO5,0)*100)-(0.0))/((8.0)-(0.0))))+0.2*MIN(1,MAX(0,((IF(ISNUMBER(AP5),AP5,0))-(25.0))/((5.0)-(25.0)))))</f>
        <v/>
      </c>
      <c r="BU5" s="19">
        <f>100*(0.35*MIN(1,MAX(0,((ABS(BF5))-(0.3))/((0.05)-(0.3))))+0.3*MIN(1,MAX(0,((BG5)-(0.0))/((0.3)-(0.0))))+0.25*MIN(1,MAX(0,((BH5)-(0.4))/((0.7)-(0.4))))+0.1*IF(BJ5&gt;=2,1,0.5))</f>
        <v/>
      </c>
      <c r="BV5" s="20">
        <f>0.25*BR5+0.25*BS5+0.2*BT5+0.3*BU5</f>
        <v/>
      </c>
      <c r="BW5" s="5" t="inlineStr">
        <is>
          <t>全部通過</t>
        </is>
      </c>
      <c r="BX5" s="5" t="inlineStr"/>
    </row>
    <row r="6">
      <c r="A6" s="5" t="n">
        <v>1</v>
      </c>
      <c r="B6" s="5" t="n">
        <v>5</v>
      </c>
      <c r="C6" s="6" t="inlineStr">
        <is>
          <t>ANET</t>
        </is>
      </c>
      <c r="D6" s="5" t="inlineStr">
        <is>
          <t>Arista Networks Inc.</t>
        </is>
      </c>
      <c r="E6" s="5" t="inlineStr">
        <is>
          <t>NYSE</t>
        </is>
      </c>
      <c r="F6" s="5" t="inlineStr">
        <is>
          <t>電訊</t>
        </is>
      </c>
      <c r="G6" s="5" t="inlineStr">
        <is>
          <t>Computer Communications Equipment</t>
        </is>
      </c>
      <c r="H6" s="7" t="n">
        <v>256.773</v>
      </c>
      <c r="I6" s="5" t="inlineStr">
        <is>
          <t>大型</t>
        </is>
      </c>
      <c r="J6" s="8" t="n">
        <v>207.35</v>
      </c>
      <c r="K6" s="8" t="n">
        <v>204.49</v>
      </c>
      <c r="L6" s="9">
        <f>J6/K6-1</f>
        <v/>
      </c>
      <c r="M6" s="8" t="n">
        <v>208.632</v>
      </c>
      <c r="N6" s="8" t="n">
        <v>204.66</v>
      </c>
      <c r="O6" s="10" t="n">
        <v>4145600</v>
      </c>
      <c r="P6" s="10" t="n">
        <v>4783005</v>
      </c>
      <c r="Q6" s="11">
        <f>O6/P6</f>
        <v/>
      </c>
      <c r="R6" s="8" t="n">
        <v>204.0727</v>
      </c>
      <c r="S6" s="8" t="n">
        <v>200.6033</v>
      </c>
      <c r="T6" s="8" t="n">
        <v>198.0568</v>
      </c>
      <c r="U6" s="9">
        <f>S6/T6-1</f>
        <v/>
      </c>
      <c r="V6" s="12" t="n">
        <v>1</v>
      </c>
      <c r="W6" s="9">
        <f>J6/R6-1</f>
        <v/>
      </c>
      <c r="X6" s="9">
        <f>J6/S6-1</f>
        <v/>
      </c>
      <c r="Y6" s="8" t="n">
        <v>6.86</v>
      </c>
      <c r="Z6" s="13">
        <f>Y6/J6</f>
        <v/>
      </c>
      <c r="AA6" s="11">
        <f>(J6-R6)/Y6</f>
        <v/>
      </c>
      <c r="AB6" s="11">
        <f>(J6-S6)/Y6</f>
        <v/>
      </c>
      <c r="AC6" s="5">
        <f>IF(ABS(AA6)&lt;=ABS(AB6),"9EMA","21EMA")</f>
        <v/>
      </c>
      <c r="AD6" s="5" t="inlineStr">
        <is>
          <t>9+21EMA</t>
        </is>
      </c>
      <c r="AE6" s="5" t="inlineStr">
        <is>
          <t>持續在上方</t>
        </is>
      </c>
      <c r="AF6" s="5" t="inlineStr"/>
      <c r="AG6" s="5" t="inlineStr"/>
      <c r="AH6" s="5" t="inlineStr">
        <is>
          <t>✓</t>
        </is>
      </c>
      <c r="AI6" s="5" t="inlineStr">
        <is>
          <t>2026-07-31</t>
        </is>
      </c>
      <c r="AJ6" s="5" t="n">
        <v>44</v>
      </c>
      <c r="AK6" s="14" t="n">
        <v>3</v>
      </c>
      <c r="AL6" s="5" t="inlineStr">
        <is>
          <t>2026-09-24</t>
        </is>
      </c>
      <c r="AM6" s="8" t="n">
        <v>198.757</v>
      </c>
      <c r="AN6" s="8" t="n">
        <v>186.11</v>
      </c>
      <c r="AO6" s="9">
        <f>IF(ISNUMBER(AN6),AM6/AN6-1,"")</f>
        <v/>
      </c>
      <c r="AP6" s="14" t="n">
        <v>6</v>
      </c>
      <c r="AQ6" s="9">
        <f>IF(ISNUMBER(AM6),J6/AM6-1,"")</f>
        <v/>
      </c>
      <c r="AR6" s="8" t="n">
        <v>207.35</v>
      </c>
      <c r="AS6" s="9">
        <f>J6/AR6-1</f>
        <v/>
      </c>
      <c r="AT6" s="15" t="n">
        <v>3.8867</v>
      </c>
      <c r="AU6" s="15" t="n">
        <v>3.7117</v>
      </c>
      <c r="AV6" s="15" t="n">
        <v>3.668</v>
      </c>
      <c r="AW6" s="16">
        <f>AU6-AV6</f>
        <v/>
      </c>
      <c r="AX6" s="15" t="n">
        <v>0.175</v>
      </c>
      <c r="AY6" s="15" t="n">
        <v>0.1031</v>
      </c>
      <c r="AZ6" s="15" t="n">
        <v>0.2175</v>
      </c>
      <c r="BA6" s="5" t="inlineStr">
        <is>
          <t>深綠</t>
        </is>
      </c>
      <c r="BB6" s="5" t="inlineStr">
        <is>
          <t>淺綠→深綠</t>
        </is>
      </c>
      <c r="BC6" s="5" t="n">
        <v>0</v>
      </c>
      <c r="BD6" s="5" t="inlineStr">
        <is>
          <t>淺綠 深綠 深綠 淺綠 淺綠 淺綠 淺綠 深綠</t>
        </is>
      </c>
      <c r="BE6" s="5" t="inlineStr">
        <is>
          <t>上傾收窄（楔形）</t>
        </is>
      </c>
      <c r="BF6" s="17" t="n">
        <v>0.4201</v>
      </c>
      <c r="BG6" s="17" t="n">
        <v>0.611</v>
      </c>
      <c r="BH6" s="17" t="n">
        <v>0.553</v>
      </c>
      <c r="BI6" s="17" t="n">
        <v>0.5724</v>
      </c>
      <c r="BJ6" s="14" t="n">
        <v>1</v>
      </c>
      <c r="BK6" s="8" t="n">
        <v>212</v>
      </c>
      <c r="BL6" s="8" t="n">
        <v>181.27</v>
      </c>
      <c r="BM6" s="8" t="n">
        <v>198.2633</v>
      </c>
      <c r="BN6" s="17" t="n">
        <v>0.9529</v>
      </c>
      <c r="BO6" s="11">
        <f>IF(M6=N6,0.5,(J6-N6)/(M6-N6))</f>
        <v/>
      </c>
      <c r="BP6" s="18" t="n">
        <v>16.46</v>
      </c>
      <c r="BQ6" s="18" t="n">
        <v>11.419</v>
      </c>
      <c r="BR6" s="19">
        <f>100*(0.4*MIN(1,MAX(0,((U6*100)-(0.0))/((2.5)-(0.0))))+0.3*MIN(1,MAX(0,((V6)-(0.6))/((1.0)-(0.6))))+0.3*MIN(1,MAX(0,((BP6)-(0.0))/((15.0)-(0.0)))))</f>
        <v/>
      </c>
      <c r="BS6" s="19">
        <f>100*(0.4*MIN(1,MAX(0,((MIN(ABS(AA6),ABS(AB6)))-(0.75))/((0.0)-(0.75))))+0.3*MIN(1,MAX(0,((BN6)-(1.2))/((0.6)-(1.2))))+0.3*BO6)</f>
        <v/>
      </c>
      <c r="BT6" s="19">
        <f>100*(0.5*MIN(1,MAX(0,((AK6)-(1.0))/((4.0)-(1.0))))+0.3*MIN(1,MAX(0,((IF(ISNUMBER(AO6),AO6,0)*100)-(0.0))/((8.0)-(0.0))))+0.2*MIN(1,MAX(0,((IF(ISNUMBER(AP6),AP6,0))-(25.0))/((5.0)-(25.0)))))</f>
        <v/>
      </c>
      <c r="BU6" s="19">
        <f>100*(0.35*MIN(1,MAX(0,((ABS(BF6))-(0.3))/((0.05)-(0.3))))+0.3*MIN(1,MAX(0,((BG6)-(0.0))/((0.3)-(0.0))))+0.25*MIN(1,MAX(0,((BH6)-(0.4))/((0.7)-(0.4))))+0.1*IF(BJ6&gt;=2,1,0.5))</f>
        <v/>
      </c>
      <c r="BV6" s="20">
        <f>0.25*BR6+0.25*BS6+0.2*BT6+0.3*BU6</f>
        <v/>
      </c>
      <c r="BW6" s="5" t="inlineStr">
        <is>
          <t>全部通過</t>
        </is>
      </c>
      <c r="BX6" s="5" t="inlineStr"/>
    </row>
    <row r="7">
      <c r="A7" s="5" t="n">
        <v>1</v>
      </c>
      <c r="B7" s="5" t="n">
        <v>6</v>
      </c>
      <c r="C7" s="6" t="inlineStr">
        <is>
          <t>FTNT</t>
        </is>
      </c>
      <c r="D7" s="5" t="inlineStr">
        <is>
          <t>Fortinet Inc.</t>
        </is>
      </c>
      <c r="E7" s="5" t="inlineStr">
        <is>
          <t>NASDAQ</t>
        </is>
      </c>
      <c r="F7" s="5" t="inlineStr">
        <is>
          <t>科技</t>
        </is>
      </c>
      <c r="G7" s="5" t="inlineStr">
        <is>
          <t>Computer peripheral equipment</t>
        </is>
      </c>
      <c r="H7" s="7" t="n">
        <v>131.159</v>
      </c>
      <c r="I7" s="5" t="inlineStr">
        <is>
          <t>大型</t>
        </is>
      </c>
      <c r="J7" s="8" t="n">
        <v>180.95</v>
      </c>
      <c r="K7" s="8" t="n">
        <v>178.72</v>
      </c>
      <c r="L7" s="9">
        <f>J7/K7-1</f>
        <v/>
      </c>
      <c r="M7" s="8" t="n">
        <v>183.09</v>
      </c>
      <c r="N7" s="8" t="n">
        <v>180.04</v>
      </c>
      <c r="O7" s="10" t="n">
        <v>3412200</v>
      </c>
      <c r="P7" s="10" t="n">
        <v>3976270</v>
      </c>
      <c r="Q7" s="11">
        <f>O7/P7</f>
        <v/>
      </c>
      <c r="R7" s="8" t="n">
        <v>176.8402</v>
      </c>
      <c r="S7" s="8" t="n">
        <v>172.0605</v>
      </c>
      <c r="T7" s="8" t="n">
        <v>168.2061</v>
      </c>
      <c r="U7" s="9">
        <f>S7/T7-1</f>
        <v/>
      </c>
      <c r="V7" s="12" t="n">
        <v>1</v>
      </c>
      <c r="W7" s="9">
        <f>J7/R7-1</f>
        <v/>
      </c>
      <c r="X7" s="9">
        <f>J7/S7-1</f>
        <v/>
      </c>
      <c r="Y7" s="8" t="n">
        <v>6.3068</v>
      </c>
      <c r="Z7" s="13">
        <f>Y7/J7</f>
        <v/>
      </c>
      <c r="AA7" s="11">
        <f>(J7-R7)/Y7</f>
        <v/>
      </c>
      <c r="AB7" s="11">
        <f>(J7-S7)/Y7</f>
        <v/>
      </c>
      <c r="AC7" s="5">
        <f>IF(ABS(AA7)&lt;=ABS(AB7),"9EMA","21EMA")</f>
        <v/>
      </c>
      <c r="AD7" s="5" t="inlineStr">
        <is>
          <t>9EMA</t>
        </is>
      </c>
      <c r="AE7" s="5" t="inlineStr">
        <is>
          <t>持續在上方</t>
        </is>
      </c>
      <c r="AF7" s="5" t="inlineStr"/>
      <c r="AG7" s="5" t="inlineStr"/>
      <c r="AH7" s="5" t="inlineStr">
        <is>
          <t>✓</t>
        </is>
      </c>
      <c r="AI7" s="5" t="inlineStr">
        <is>
          <t>2026-09-14</t>
        </is>
      </c>
      <c r="AJ7" s="5" t="n">
        <v>14</v>
      </c>
      <c r="AK7" s="14" t="n">
        <v>4</v>
      </c>
      <c r="AL7" s="5" t="inlineStr">
        <is>
          <t>2026-09-28</t>
        </is>
      </c>
      <c r="AM7" s="8" t="n">
        <v>169.56</v>
      </c>
      <c r="AN7" s="8" t="n">
        <v>166.09</v>
      </c>
      <c r="AO7" s="9">
        <f>IF(ISNUMBER(AN7),AM7/AN7-1,"")</f>
        <v/>
      </c>
      <c r="AP7" s="14" t="n">
        <v>4</v>
      </c>
      <c r="AQ7" s="9">
        <f>IF(ISNUMBER(AM7),J7/AM7-1,"")</f>
        <v/>
      </c>
      <c r="AR7" s="8" t="n">
        <v>180.95</v>
      </c>
      <c r="AS7" s="9">
        <f>J7/AR7-1</f>
        <v/>
      </c>
      <c r="AT7" s="15" t="n">
        <v>4.9944</v>
      </c>
      <c r="AU7" s="15" t="n">
        <v>4.4384</v>
      </c>
      <c r="AV7" s="15" t="n">
        <v>4.2994</v>
      </c>
      <c r="AW7" s="16">
        <f>AU7-AV7</f>
        <v/>
      </c>
      <c r="AX7" s="15" t="n">
        <v>0.5558999999999999</v>
      </c>
      <c r="AY7" s="15" t="n">
        <v>0.5413</v>
      </c>
      <c r="AZ7" s="15" t="n">
        <v>0.6371</v>
      </c>
      <c r="BA7" s="5" t="inlineStr">
        <is>
          <t>深綠</t>
        </is>
      </c>
      <c r="BB7" s="5" t="inlineStr">
        <is>
          <t>淺綠→深綠</t>
        </is>
      </c>
      <c r="BC7" s="5" t="n">
        <v>0</v>
      </c>
      <c r="BD7" s="5" t="inlineStr">
        <is>
          <t>深綠 淺綠 淺綠 淺綠 淺綠 淺綠 淺綠 深綠</t>
        </is>
      </c>
      <c r="BE7" s="5" t="inlineStr">
        <is>
          <t>上升通道</t>
        </is>
      </c>
      <c r="BF7" s="17" t="n">
        <v>0.5825</v>
      </c>
      <c r="BG7" s="17" t="n">
        <v>0.5947</v>
      </c>
      <c r="BH7" s="17" t="n">
        <v>0.5457</v>
      </c>
      <c r="BI7" s="17" t="n">
        <v>0.5427999999999999</v>
      </c>
      <c r="BJ7" s="14" t="n">
        <v>3</v>
      </c>
      <c r="BK7" s="8" t="n">
        <v>183.09</v>
      </c>
      <c r="BL7" s="8" t="n">
        <v>151.8</v>
      </c>
      <c r="BM7" s="8" t="n">
        <v>168.8756</v>
      </c>
      <c r="BN7" s="17" t="n">
        <v>0.9929</v>
      </c>
      <c r="BO7" s="11">
        <f>IF(M7=N7,0.5,(J7-N7)/(M7-N7))</f>
        <v/>
      </c>
      <c r="BP7" s="18" t="n">
        <v>22.13</v>
      </c>
      <c r="BQ7" s="18" t="n">
        <v>17.089</v>
      </c>
      <c r="BR7" s="19">
        <f>100*(0.4*MIN(1,MAX(0,((U7*100)-(0.0))/((2.5)-(0.0))))+0.3*MIN(1,MAX(0,((V7)-(0.6))/((1.0)-(0.6))))+0.3*MIN(1,MAX(0,((BP7)-(0.0))/((15.0)-(0.0)))))</f>
        <v/>
      </c>
      <c r="BS7" s="19">
        <f>100*(0.4*MIN(1,MAX(0,((MIN(ABS(AA7),ABS(AB7)))-(0.75))/((0.0)-(0.75))))+0.3*MIN(1,MAX(0,((BN7)-(1.2))/((0.6)-(1.2))))+0.3*BO7)</f>
        <v/>
      </c>
      <c r="BT7" s="19">
        <f>100*(0.5*MIN(1,MAX(0,((AK7)-(1.0))/((4.0)-(1.0))))+0.3*MIN(1,MAX(0,((IF(ISNUMBER(AO7),AO7,0)*100)-(0.0))/((8.0)-(0.0))))+0.2*MIN(1,MAX(0,((IF(ISNUMBER(AP7),AP7,0))-(25.0))/((5.0)-(25.0)))))</f>
        <v/>
      </c>
      <c r="BU7" s="19">
        <f>100*(0.35*MIN(1,MAX(0,((ABS(BF7))-(0.3))/((0.05)-(0.3))))+0.3*MIN(1,MAX(0,((BG7)-(0.0))/((0.3)-(0.0))))+0.25*MIN(1,MAX(0,((BH7)-(0.4))/((0.7)-(0.4))))+0.1*IF(BJ7&gt;=2,1,0.5))</f>
        <v/>
      </c>
      <c r="BV7" s="20">
        <f>0.25*BR7+0.25*BS7+0.2*BT7+0.3*BU7</f>
        <v/>
      </c>
      <c r="BW7" s="5" t="inlineStr">
        <is>
          <t>全部通過</t>
        </is>
      </c>
      <c r="BX7" s="5" t="inlineStr"/>
    </row>
    <row r="8">
      <c r="A8" s="5" t="n">
        <v>1</v>
      </c>
      <c r="B8" s="5" t="n">
        <v>7</v>
      </c>
      <c r="C8" s="6" t="inlineStr">
        <is>
          <t>PANW</t>
        </is>
      </c>
      <c r="D8" s="5" t="inlineStr">
        <is>
          <t>Palo Alto Networks Inc.</t>
        </is>
      </c>
      <c r="E8" s="5" t="inlineStr">
        <is>
          <t>NASDAQ</t>
        </is>
      </c>
      <c r="F8" s="5" t="inlineStr">
        <is>
          <t>科技</t>
        </is>
      </c>
      <c r="G8" s="5" t="inlineStr">
        <is>
          <t>Computer peripheral equipment</t>
        </is>
      </c>
      <c r="H8" s="7" t="n">
        <v>325</v>
      </c>
      <c r="I8" s="5" t="inlineStr">
        <is>
          <t>大型</t>
        </is>
      </c>
      <c r="J8" s="8" t="n">
        <v>403.24</v>
      </c>
      <c r="K8" s="8" t="n">
        <v>396.25</v>
      </c>
      <c r="L8" s="9">
        <f>J8/K8-1</f>
        <v/>
      </c>
      <c r="M8" s="8" t="n">
        <v>409.5</v>
      </c>
      <c r="N8" s="8" t="n">
        <v>399.95</v>
      </c>
      <c r="O8" s="10" t="n">
        <v>4904700</v>
      </c>
      <c r="P8" s="10" t="n">
        <v>6269560</v>
      </c>
      <c r="Q8" s="11">
        <f>O8/P8</f>
        <v/>
      </c>
      <c r="R8" s="8" t="n">
        <v>389.6546</v>
      </c>
      <c r="S8" s="8" t="n">
        <v>377.5477</v>
      </c>
      <c r="T8" s="8" t="n">
        <v>366.2564</v>
      </c>
      <c r="U8" s="9">
        <f>S8/T8-1</f>
        <v/>
      </c>
      <c r="V8" s="12" t="n">
        <v>1</v>
      </c>
      <c r="W8" s="9">
        <f>J8/R8-1</f>
        <v/>
      </c>
      <c r="X8" s="9">
        <f>J8/S8-1</f>
        <v/>
      </c>
      <c r="Y8" s="8" t="n">
        <v>17.2522</v>
      </c>
      <c r="Z8" s="13">
        <f>Y8/J8</f>
        <v/>
      </c>
      <c r="AA8" s="11">
        <f>(J8-R8)/Y8</f>
        <v/>
      </c>
      <c r="AB8" s="11">
        <f>(J8-S8)/Y8</f>
        <v/>
      </c>
      <c r="AC8" s="5">
        <f>IF(ABS(AA8)&lt;=ABS(AB8),"9EMA","21EMA")</f>
        <v/>
      </c>
      <c r="AD8" s="5" t="inlineStr">
        <is>
          <t>9EMA</t>
        </is>
      </c>
      <c r="AE8" s="5" t="inlineStr">
        <is>
          <t>持續在上方</t>
        </is>
      </c>
      <c r="AF8" s="5" t="inlineStr"/>
      <c r="AG8" s="5" t="inlineStr"/>
      <c r="AH8" s="5" t="inlineStr"/>
      <c r="AI8" s="5" t="inlineStr">
        <is>
          <t>2026-09-15</t>
        </is>
      </c>
      <c r="AJ8" s="5" t="n">
        <v>13</v>
      </c>
      <c r="AK8" s="14" t="n">
        <v>3</v>
      </c>
      <c r="AL8" s="5" t="inlineStr">
        <is>
          <t>2026-09-28</t>
        </is>
      </c>
      <c r="AM8" s="8" t="n">
        <v>367.27</v>
      </c>
      <c r="AN8" s="8" t="n">
        <v>356</v>
      </c>
      <c r="AO8" s="9">
        <f>IF(ISNUMBER(AN8),AM8/AN8-1,"")</f>
        <v/>
      </c>
      <c r="AP8" s="14" t="n">
        <v>4</v>
      </c>
      <c r="AQ8" s="9">
        <f>IF(ISNUMBER(AM8),J8/AM8-1,"")</f>
        <v/>
      </c>
      <c r="AR8" s="8" t="n">
        <v>403.24</v>
      </c>
      <c r="AS8" s="9">
        <f>J8/AR8-1</f>
        <v/>
      </c>
      <c r="AT8" s="15" t="n">
        <v>11.6713</v>
      </c>
      <c r="AU8" s="15" t="n">
        <v>8.779199999999999</v>
      </c>
      <c r="AV8" s="15" t="n">
        <v>8.056100000000001</v>
      </c>
      <c r="AW8" s="16">
        <f>AU8-AV8</f>
        <v/>
      </c>
      <c r="AX8" s="15" t="n">
        <v>2.8921</v>
      </c>
      <c r="AY8" s="15" t="n">
        <v>2.7769</v>
      </c>
      <c r="AZ8" s="15" t="n">
        <v>2.9553</v>
      </c>
      <c r="BA8" s="5" t="inlineStr">
        <is>
          <t>深綠</t>
        </is>
      </c>
      <c r="BB8" s="5" t="inlineStr">
        <is>
          <t>淺綠→深綠</t>
        </is>
      </c>
      <c r="BC8" s="5" t="n">
        <v>0</v>
      </c>
      <c r="BD8" s="5" t="inlineStr">
        <is>
          <t>深綠 深綠 淺綠 深綠 淺綠 深綠 淺綠 深綠</t>
        </is>
      </c>
      <c r="BE8" s="5" t="inlineStr">
        <is>
          <t>上升通道</t>
        </is>
      </c>
      <c r="BF8" s="17" t="n">
        <v>0.6536999999999999</v>
      </c>
      <c r="BG8" s="17" t="n">
        <v>0.6830000000000001</v>
      </c>
      <c r="BH8" s="17" t="n">
        <v>0.5102</v>
      </c>
      <c r="BI8" s="17" t="n">
        <v>0.5065</v>
      </c>
      <c r="BJ8" s="14" t="n">
        <v>2</v>
      </c>
      <c r="BK8" s="8" t="n">
        <v>409.5</v>
      </c>
      <c r="BL8" s="8" t="n">
        <v>321.39</v>
      </c>
      <c r="BM8" s="8" t="n">
        <v>366.3431</v>
      </c>
      <c r="BN8" s="17" t="n">
        <v>0.7854</v>
      </c>
      <c r="BO8" s="11">
        <f>IF(M8=N8,0.5,(J8-N8)/(M8-N8))</f>
        <v/>
      </c>
      <c r="BP8" s="18" t="n">
        <v>27.8</v>
      </c>
      <c r="BQ8" s="18" t="n">
        <v>22.759</v>
      </c>
      <c r="BR8" s="19">
        <f>100*(0.4*MIN(1,MAX(0,((U8*100)-(0.0))/((2.5)-(0.0))))+0.3*MIN(1,MAX(0,((V8)-(0.6))/((1.0)-(0.6))))+0.3*MIN(1,MAX(0,((BP8)-(0.0))/((15.0)-(0.0)))))</f>
        <v/>
      </c>
      <c r="BS8" s="19">
        <f>100*(0.4*MIN(1,MAX(0,((MIN(ABS(AA8),ABS(AB8)))-(0.75))/((0.0)-(0.75))))+0.3*MIN(1,MAX(0,((BN8)-(1.2))/((0.6)-(1.2))))+0.3*BO8)</f>
        <v/>
      </c>
      <c r="BT8" s="19">
        <f>100*(0.5*MIN(1,MAX(0,((AK8)-(1.0))/((4.0)-(1.0))))+0.3*MIN(1,MAX(0,((IF(ISNUMBER(AO8),AO8,0)*100)-(0.0))/((8.0)-(0.0))))+0.2*MIN(1,MAX(0,((IF(ISNUMBER(AP8),AP8,0))-(25.0))/((5.0)-(25.0)))))</f>
        <v/>
      </c>
      <c r="BU8" s="19">
        <f>100*(0.35*MIN(1,MAX(0,((ABS(BF8))-(0.3))/((0.05)-(0.3))))+0.3*MIN(1,MAX(0,((BG8)-(0.0))/((0.3)-(0.0))))+0.25*MIN(1,MAX(0,((BH8)-(0.4))/((0.7)-(0.4))))+0.1*IF(BJ8&gt;=2,1,0.5))</f>
        <v/>
      </c>
      <c r="BV8" s="20">
        <f>0.25*BR8+0.25*BS8+0.2*BT8+0.3*BU8</f>
        <v/>
      </c>
      <c r="BW8" s="5" t="inlineStr">
        <is>
          <t>全部通過</t>
        </is>
      </c>
      <c r="BX8" s="5" t="inlineStr"/>
    </row>
    <row r="9">
      <c r="A9" s="5" t="n">
        <v>1</v>
      </c>
      <c r="B9" s="5" t="n">
        <v>8</v>
      </c>
      <c r="C9" s="6" t="inlineStr">
        <is>
          <t>NEU</t>
        </is>
      </c>
      <c r="D9" s="5" t="inlineStr">
        <is>
          <t>NewMarket Corp</t>
        </is>
      </c>
      <c r="E9" s="5" t="inlineStr">
        <is>
          <t>NYSE</t>
        </is>
      </c>
      <c r="F9" s="5" t="inlineStr">
        <is>
          <t>工業</t>
        </is>
      </c>
      <c r="G9" s="5" t="inlineStr">
        <is>
          <t>Major Chemicals</t>
        </is>
      </c>
      <c r="H9" s="7" t="n">
        <v>8.254</v>
      </c>
      <c r="I9" s="5" t="inlineStr">
        <is>
          <t>中型</t>
        </is>
      </c>
      <c r="J9" s="8" t="n">
        <v>924.0599999999999</v>
      </c>
      <c r="K9" s="8" t="n">
        <v>921.14</v>
      </c>
      <c r="L9" s="9">
        <f>J9/K9-1</f>
        <v/>
      </c>
      <c r="M9" s="8" t="n">
        <v>929.74</v>
      </c>
      <c r="N9" s="8" t="n">
        <v>913.15</v>
      </c>
      <c r="O9" s="10" t="n">
        <v>113500</v>
      </c>
      <c r="P9" s="10" t="n">
        <v>121270</v>
      </c>
      <c r="Q9" s="11">
        <f>O9/P9</f>
        <v/>
      </c>
      <c r="R9" s="8" t="n">
        <v>906.476</v>
      </c>
      <c r="S9" s="8" t="n">
        <v>899.7516000000001</v>
      </c>
      <c r="T9" s="8" t="n">
        <v>891.8104</v>
      </c>
      <c r="U9" s="9">
        <f>S9/T9-1</f>
        <v/>
      </c>
      <c r="V9" s="12" t="n">
        <v>0.7</v>
      </c>
      <c r="W9" s="9">
        <f>J9/R9-1</f>
        <v/>
      </c>
      <c r="X9" s="9">
        <f>J9/S9-1</f>
        <v/>
      </c>
      <c r="Y9" s="8" t="n">
        <v>22.764</v>
      </c>
      <c r="Z9" s="13">
        <f>Y9/J9</f>
        <v/>
      </c>
      <c r="AA9" s="11">
        <f>(J9-R9)/Y9</f>
        <v/>
      </c>
      <c r="AB9" s="11">
        <f>(J9-S9)/Y9</f>
        <v/>
      </c>
      <c r="AC9" s="5">
        <f>IF(ABS(AA9)&lt;=ABS(AB9),"9EMA","21EMA")</f>
        <v/>
      </c>
      <c r="AD9" s="5" t="inlineStr">
        <is>
          <t>9+21EMA</t>
        </is>
      </c>
      <c r="AE9" s="21" t="inlineStr">
        <is>
          <t>剛黃金交叉</t>
        </is>
      </c>
      <c r="AF9" s="5" t="inlineStr">
        <is>
          <t>✓</t>
        </is>
      </c>
      <c r="AG9" s="5" t="inlineStr"/>
      <c r="AH9" s="5" t="inlineStr">
        <is>
          <t>✓</t>
        </is>
      </c>
      <c r="AI9" s="5" t="inlineStr">
        <is>
          <t>2026-09-28</t>
        </is>
      </c>
      <c r="AJ9" s="5" t="n">
        <v>4</v>
      </c>
      <c r="AK9" s="14" t="n">
        <v>4</v>
      </c>
      <c r="AL9" s="5" t="inlineStr">
        <is>
          <t>2026-09-22</t>
        </is>
      </c>
      <c r="AM9" s="8" t="n">
        <v>874.71</v>
      </c>
      <c r="AN9" s="8" t="n">
        <v>833.4299999999999</v>
      </c>
      <c r="AO9" s="9">
        <f>IF(ISNUMBER(AN9),AM9/AN9-1,"")</f>
        <v/>
      </c>
      <c r="AP9" s="14" t="n">
        <v>8</v>
      </c>
      <c r="AQ9" s="9">
        <f>IF(ISNUMBER(AM9),J9/AM9-1,"")</f>
        <v/>
      </c>
      <c r="AR9" s="8" t="n">
        <v>924.0599999999999</v>
      </c>
      <c r="AS9" s="9">
        <f>J9/AR9-1</f>
        <v/>
      </c>
      <c r="AT9" s="15" t="n">
        <v>6.2616</v>
      </c>
      <c r="AU9" s="15" t="n">
        <v>3.3488</v>
      </c>
      <c r="AV9" s="15" t="n">
        <v>2.6206</v>
      </c>
      <c r="AW9" s="16">
        <f>AU9-AV9</f>
        <v/>
      </c>
      <c r="AX9" s="15" t="n">
        <v>2.9128</v>
      </c>
      <c r="AY9" s="15" t="n">
        <v>2.0799</v>
      </c>
      <c r="AZ9" s="15" t="n">
        <v>0.8363</v>
      </c>
      <c r="BA9" s="5" t="inlineStr">
        <is>
          <t>深綠</t>
        </is>
      </c>
      <c r="BB9" s="5" t="inlineStr">
        <is>
          <t>淺綠→深綠</t>
        </is>
      </c>
      <c r="BC9" s="5" t="n">
        <v>1</v>
      </c>
      <c r="BD9" s="5" t="inlineStr">
        <is>
          <t>淺紅 淺紅 淺紅 深綠 深綠 淺綠 深綠 深綠</t>
        </is>
      </c>
      <c r="BE9" s="5" t="inlineStr">
        <is>
          <t>上升三角（平頂）</t>
        </is>
      </c>
      <c r="BF9" s="17" t="n">
        <v>0.0163</v>
      </c>
      <c r="BG9" s="17" t="n">
        <v>0.4964</v>
      </c>
      <c r="BH9" s="17" t="n">
        <v>0.5851</v>
      </c>
      <c r="BI9" s="17" t="n">
        <v>0.5102</v>
      </c>
      <c r="BJ9" s="14" t="n">
        <v>3</v>
      </c>
      <c r="BK9" s="8" t="n">
        <v>936.77</v>
      </c>
      <c r="BL9" s="8" t="n">
        <v>833.4299999999999</v>
      </c>
      <c r="BM9" s="8" t="n">
        <v>893.8933</v>
      </c>
      <c r="BN9" s="17" t="n">
        <v>0.9945000000000001</v>
      </c>
      <c r="BO9" s="11">
        <f>IF(M9=N9,0.5,(J9-N9)/(M9-N9))</f>
        <v/>
      </c>
      <c r="BP9" s="18" t="n">
        <v>6.681</v>
      </c>
      <c r="BQ9" s="18" t="n">
        <v>1.64</v>
      </c>
      <c r="BR9" s="19">
        <f>100*(0.4*MIN(1,MAX(0,((U9*100)-(0.0))/((2.5)-(0.0))))+0.3*MIN(1,MAX(0,((V9)-(0.6))/((1.0)-(0.6))))+0.3*MIN(1,MAX(0,((BP9)-(0.0))/((15.0)-(0.0)))))</f>
        <v/>
      </c>
      <c r="BS9" s="19">
        <f>100*(0.4*MIN(1,MAX(0,((MIN(ABS(AA9),ABS(AB9)))-(0.75))/((0.0)-(0.75))))+0.3*MIN(1,MAX(0,((BN9)-(1.2))/((0.6)-(1.2))))+0.3*BO9)</f>
        <v/>
      </c>
      <c r="BT9" s="19">
        <f>100*(0.5*MIN(1,MAX(0,((AK9)-(1.0))/((4.0)-(1.0))))+0.3*MIN(1,MAX(0,((IF(ISNUMBER(AO9),AO9,0)*100)-(0.0))/((8.0)-(0.0))))+0.2*MIN(1,MAX(0,((IF(ISNUMBER(AP9),AP9,0))-(25.0))/((5.0)-(25.0)))))</f>
        <v/>
      </c>
      <c r="BU9" s="19">
        <f>100*(0.35*MIN(1,MAX(0,((ABS(BF9))-(0.3))/((0.05)-(0.3))))+0.3*MIN(1,MAX(0,((BG9)-(0.0))/((0.3)-(0.0))))+0.25*MIN(1,MAX(0,((BH9)-(0.4))/((0.7)-(0.4))))+0.1*IF(BJ9&gt;=2,1,0.5))</f>
        <v/>
      </c>
      <c r="BV9" s="20">
        <f>0.25*BR9+0.25*BS9+0.2*BT9+0.3*BU9</f>
        <v/>
      </c>
      <c r="BW9" s="5" t="inlineStr">
        <is>
          <t>全部通過</t>
        </is>
      </c>
      <c r="BX9" s="5" t="inlineStr"/>
    </row>
    <row r="10">
      <c r="A10" s="5" t="n">
        <v>1</v>
      </c>
      <c r="B10" s="5" t="n">
        <v>9</v>
      </c>
      <c r="C10" s="6" t="inlineStr">
        <is>
          <t>HNGE</t>
        </is>
      </c>
      <c r="D10" s="5" t="inlineStr">
        <is>
          <t>Hinge Health Inc.</t>
        </is>
      </c>
      <c r="E10" s="5" t="inlineStr">
        <is>
          <t>NYSE</t>
        </is>
      </c>
      <c r="F10" s="5" t="inlineStr">
        <is>
          <t>科技</t>
        </is>
      </c>
      <c r="G10" s="5" t="inlineStr">
        <is>
          <t>EDP Services</t>
        </is>
      </c>
      <c r="H10" s="7" t="n">
        <v>7.847</v>
      </c>
      <c r="I10" s="5" t="inlineStr">
        <is>
          <t>中型</t>
        </is>
      </c>
      <c r="J10" s="8" t="n">
        <v>97.67</v>
      </c>
      <c r="K10" s="8" t="n">
        <v>97.94</v>
      </c>
      <c r="L10" s="9">
        <f>J10/K10-1</f>
        <v/>
      </c>
      <c r="M10" s="8" t="n">
        <v>99.73</v>
      </c>
      <c r="N10" s="8" t="n">
        <v>96.95</v>
      </c>
      <c r="O10" s="10" t="n">
        <v>975300</v>
      </c>
      <c r="P10" s="10" t="n">
        <v>1797980</v>
      </c>
      <c r="Q10" s="11">
        <f>O10/P10</f>
        <v/>
      </c>
      <c r="R10" s="8" t="n">
        <v>95.60080000000001</v>
      </c>
      <c r="S10" s="8" t="n">
        <v>93.65819999999999</v>
      </c>
      <c r="T10" s="8" t="n">
        <v>92.0176</v>
      </c>
      <c r="U10" s="9">
        <f>S10/T10-1</f>
        <v/>
      </c>
      <c r="V10" s="12" t="n">
        <v>1</v>
      </c>
      <c r="W10" s="9">
        <f>J10/R10-1</f>
        <v/>
      </c>
      <c r="X10" s="9">
        <f>J10/S10-1</f>
        <v/>
      </c>
      <c r="Y10" s="8" t="n">
        <v>4.0328</v>
      </c>
      <c r="Z10" s="13">
        <f>Y10/J10</f>
        <v/>
      </c>
      <c r="AA10" s="11">
        <f>(J10-R10)/Y10</f>
        <v/>
      </c>
      <c r="AB10" s="11">
        <f>(J10-S10)/Y10</f>
        <v/>
      </c>
      <c r="AC10" s="5">
        <f>IF(ABS(AA10)&lt;=ABS(AB10),"9EMA","21EMA")</f>
        <v/>
      </c>
      <c r="AD10" s="5" t="inlineStr">
        <is>
          <t>9EMA</t>
        </is>
      </c>
      <c r="AE10" s="5" t="inlineStr">
        <is>
          <t>持續在上方</t>
        </is>
      </c>
      <c r="AF10" s="5" t="inlineStr"/>
      <c r="AG10" s="5" t="inlineStr"/>
      <c r="AH10" s="5" t="inlineStr">
        <is>
          <t>✓</t>
        </is>
      </c>
      <c r="AI10" s="5" t="inlineStr">
        <is>
          <t>2026-08-07</t>
        </is>
      </c>
      <c r="AJ10" s="5" t="n">
        <v>39</v>
      </c>
      <c r="AK10" s="14" t="n">
        <v>5</v>
      </c>
      <c r="AL10" s="5" t="inlineStr">
        <is>
          <t>2026-09-23</t>
        </is>
      </c>
      <c r="AM10" s="8" t="n">
        <v>89.75</v>
      </c>
      <c r="AN10" s="8" t="n">
        <v>86.29000000000001</v>
      </c>
      <c r="AO10" s="9">
        <f>IF(ISNUMBER(AN10),AM10/AN10-1,"")</f>
        <v/>
      </c>
      <c r="AP10" s="14" t="n">
        <v>7</v>
      </c>
      <c r="AQ10" s="9">
        <f>IF(ISNUMBER(AM10),J10/AM10-1,"")</f>
        <v/>
      </c>
      <c r="AR10" s="8" t="n">
        <v>97.94</v>
      </c>
      <c r="AS10" s="9">
        <f>J10/AR10-1</f>
        <v/>
      </c>
      <c r="AT10" s="15" t="n">
        <v>2.1522</v>
      </c>
      <c r="AU10" s="15" t="n">
        <v>1.9662</v>
      </c>
      <c r="AV10" s="15" t="n">
        <v>1.9197</v>
      </c>
      <c r="AW10" s="16">
        <f>AU10-AV10</f>
        <v/>
      </c>
      <c r="AX10" s="15" t="n">
        <v>0.186</v>
      </c>
      <c r="AY10" s="15" t="n">
        <v>0.1384</v>
      </c>
      <c r="AZ10" s="15" t="n">
        <v>-0.0045</v>
      </c>
      <c r="BA10" s="5" t="inlineStr">
        <is>
          <t>深綠</t>
        </is>
      </c>
      <c r="BB10" s="5" t="inlineStr">
        <is>
          <t>深紅→淺紅</t>
        </is>
      </c>
      <c r="BC10" s="5" t="n">
        <v>3</v>
      </c>
      <c r="BD10" s="5" t="inlineStr">
        <is>
          <t>深紅 深紅 淺紅 深紅 淺紅 淺紅 深綠 深綠</t>
        </is>
      </c>
      <c r="BE10" s="5" t="inlineStr">
        <is>
          <t>上升通道</t>
        </is>
      </c>
      <c r="BF10" s="17" t="n">
        <v>0.2509</v>
      </c>
      <c r="BG10" s="17" t="n">
        <v>0.256</v>
      </c>
      <c r="BH10" s="17" t="n">
        <v>0.5031</v>
      </c>
      <c r="BI10" s="17" t="n">
        <v>0.5131</v>
      </c>
      <c r="BJ10" s="14" t="n">
        <v>3</v>
      </c>
      <c r="BK10" s="8" t="n">
        <v>99.73</v>
      </c>
      <c r="BL10" s="8" t="n">
        <v>85.75</v>
      </c>
      <c r="BM10" s="8" t="n">
        <v>92.7834</v>
      </c>
      <c r="BN10" s="17" t="n">
        <v>0.9903</v>
      </c>
      <c r="BO10" s="11">
        <f>IF(M10=N10,0.5,(J10-N10)/(M10-N10))</f>
        <v/>
      </c>
      <c r="BP10" s="18" t="n">
        <v>11.377</v>
      </c>
      <c r="BQ10" s="18" t="n">
        <v>6.336</v>
      </c>
      <c r="BR10" s="19">
        <f>100*(0.4*MIN(1,MAX(0,((U10*100)-(0.0))/((2.5)-(0.0))))+0.3*MIN(1,MAX(0,((V10)-(0.6))/((1.0)-(0.6))))+0.3*MIN(1,MAX(0,((BP10)-(0.0))/((15.0)-(0.0)))))</f>
        <v/>
      </c>
      <c r="BS10" s="19">
        <f>100*(0.4*MIN(1,MAX(0,((MIN(ABS(AA10),ABS(AB10)))-(0.75))/((0.0)-(0.75))))+0.3*MIN(1,MAX(0,((BN10)-(1.2))/((0.6)-(1.2))))+0.3*BO10)</f>
        <v/>
      </c>
      <c r="BT10" s="19">
        <f>100*(0.5*MIN(1,MAX(0,((AK10)-(1.0))/((4.0)-(1.0))))+0.3*MIN(1,MAX(0,((IF(ISNUMBER(AO10),AO10,0)*100)-(0.0))/((8.0)-(0.0))))+0.2*MIN(1,MAX(0,((IF(ISNUMBER(AP10),AP10,0))-(25.0))/((5.0)-(25.0)))))</f>
        <v/>
      </c>
      <c r="BU10" s="19">
        <f>100*(0.35*MIN(1,MAX(0,((ABS(BF10))-(0.3))/((0.05)-(0.3))))+0.3*MIN(1,MAX(0,((BG10)-(0.0))/((0.3)-(0.0))))+0.25*MIN(1,MAX(0,((BH10)-(0.4))/((0.7)-(0.4))))+0.1*IF(BJ10&gt;=2,1,0.5))</f>
        <v/>
      </c>
      <c r="BV10" s="20">
        <f>0.25*BR10+0.25*BS10+0.2*BT10+0.3*BU10</f>
        <v/>
      </c>
      <c r="BW10" s="5" t="inlineStr">
        <is>
          <t>全部通過</t>
        </is>
      </c>
      <c r="BX10" s="5" t="inlineStr"/>
    </row>
    <row r="11">
      <c r="A11" s="5" t="n">
        <v>1</v>
      </c>
      <c r="B11" s="5" t="n">
        <v>10</v>
      </c>
      <c r="C11" s="6" t="inlineStr">
        <is>
          <t>QLYS</t>
        </is>
      </c>
      <c r="D11" s="5" t="inlineStr">
        <is>
          <t>Qualys Inc.</t>
        </is>
      </c>
      <c r="E11" s="5" t="inlineStr">
        <is>
          <t>NASDAQ</t>
        </is>
      </c>
      <c r="F11" s="5" t="inlineStr">
        <is>
          <t>科技</t>
        </is>
      </c>
      <c r="G11" s="5" t="inlineStr">
        <is>
          <t>Computer Software: Prepackaged Software</t>
        </is>
      </c>
      <c r="H11" s="7" t="n">
        <v>6.476</v>
      </c>
      <c r="I11" s="5" t="inlineStr">
        <is>
          <t>中型</t>
        </is>
      </c>
      <c r="J11" s="8" t="n">
        <v>193</v>
      </c>
      <c r="K11" s="8" t="n">
        <v>187.43</v>
      </c>
      <c r="L11" s="9">
        <f>J11/K11-1</f>
        <v/>
      </c>
      <c r="M11" s="8" t="n">
        <v>195.4</v>
      </c>
      <c r="N11" s="8" t="n">
        <v>188.87</v>
      </c>
      <c r="O11" s="10" t="n">
        <v>477400</v>
      </c>
      <c r="P11" s="10" t="n">
        <v>728015</v>
      </c>
      <c r="Q11" s="11">
        <f>O11/P11</f>
        <v/>
      </c>
      <c r="R11" s="8" t="n">
        <v>183.5015</v>
      </c>
      <c r="S11" s="8" t="n">
        <v>179.8278</v>
      </c>
      <c r="T11" s="8" t="n">
        <v>176.7577</v>
      </c>
      <c r="U11" s="9">
        <f>S11/T11-1</f>
        <v/>
      </c>
      <c r="V11" s="12" t="n">
        <v>0.8</v>
      </c>
      <c r="W11" s="9">
        <f>J11/R11-1</f>
        <v/>
      </c>
      <c r="X11" s="9">
        <f>J11/S11-1</f>
        <v/>
      </c>
      <c r="Y11" s="8" t="n">
        <v>9.091100000000001</v>
      </c>
      <c r="Z11" s="13">
        <f>Y11/J11</f>
        <v/>
      </c>
      <c r="AA11" s="11">
        <f>(J11-R11)/Y11</f>
        <v/>
      </c>
      <c r="AB11" s="11">
        <f>(J11-S11)/Y11</f>
        <v/>
      </c>
      <c r="AC11" s="5">
        <f>IF(ABS(AA11)&lt;=ABS(AB11),"9EMA","21EMA")</f>
        <v/>
      </c>
      <c r="AD11" s="5" t="inlineStr">
        <is>
          <t>9+21EMA</t>
        </is>
      </c>
      <c r="AE11" s="5" t="inlineStr">
        <is>
          <t>持續在上方</t>
        </is>
      </c>
      <c r="AF11" s="5" t="inlineStr"/>
      <c r="AG11" s="5" t="inlineStr"/>
      <c r="AH11" s="5" t="inlineStr"/>
      <c r="AI11" s="5" t="inlineStr">
        <is>
          <t>2026-09-16</t>
        </is>
      </c>
      <c r="AJ11" s="5" t="n">
        <v>12</v>
      </c>
      <c r="AK11" s="14" t="n">
        <v>2</v>
      </c>
      <c r="AL11" s="5" t="inlineStr">
        <is>
          <t>2026-09-28</t>
        </is>
      </c>
      <c r="AM11" s="8" t="n">
        <v>168.06</v>
      </c>
      <c r="AN11" s="8" t="n">
        <v>149.13</v>
      </c>
      <c r="AO11" s="9">
        <f>IF(ISNUMBER(AN11),AM11/AN11-1,"")</f>
        <v/>
      </c>
      <c r="AP11" s="14" t="n">
        <v>4</v>
      </c>
      <c r="AQ11" s="9">
        <f>IF(ISNUMBER(AM11),J11/AM11-1,"")</f>
        <v/>
      </c>
      <c r="AR11" s="8" t="n">
        <v>193</v>
      </c>
      <c r="AS11" s="9">
        <f>J11/AR11-1</f>
        <v/>
      </c>
      <c r="AT11" s="15" t="n">
        <v>3.5893</v>
      </c>
      <c r="AU11" s="15" t="n">
        <v>2.4661</v>
      </c>
      <c r="AV11" s="15" t="n">
        <v>2.1853</v>
      </c>
      <c r="AW11" s="16">
        <f>AU11-AV11</f>
        <v/>
      </c>
      <c r="AX11" s="15" t="n">
        <v>1.1232</v>
      </c>
      <c r="AY11" s="15" t="n">
        <v>0.5936</v>
      </c>
      <c r="AZ11" s="15" t="n">
        <v>0.2344</v>
      </c>
      <c r="BA11" s="5" t="inlineStr">
        <is>
          <t>深綠</t>
        </is>
      </c>
      <c r="BB11" s="5" t="inlineStr">
        <is>
          <t>深紅→淺紅</t>
        </is>
      </c>
      <c r="BC11" s="5" t="n">
        <v>3</v>
      </c>
      <c r="BD11" s="5" t="inlineStr">
        <is>
          <t>深綠 深綠 深紅 深紅 淺紅 深綠 深綠 深綠</t>
        </is>
      </c>
      <c r="BE11" s="5" t="inlineStr">
        <is>
          <t>上傾收窄（楔形）</t>
        </is>
      </c>
      <c r="BF11" s="17" t="n">
        <v>0.2221</v>
      </c>
      <c r="BG11" s="17" t="n">
        <v>0.8917</v>
      </c>
      <c r="BH11" s="17" t="n">
        <v>0.5866</v>
      </c>
      <c r="BI11" s="17" t="n">
        <v>0.6085</v>
      </c>
      <c r="BJ11" s="14" t="n">
        <v>1</v>
      </c>
      <c r="BK11" s="8" t="n">
        <v>195.4</v>
      </c>
      <c r="BL11" s="8" t="n">
        <v>149.13</v>
      </c>
      <c r="BM11" s="8" t="n">
        <v>176.2734</v>
      </c>
      <c r="BN11" s="17" t="n">
        <v>0.8695000000000001</v>
      </c>
      <c r="BO11" s="11">
        <f>IF(M11=N11,0.5,(J11-N11)/(M11-N11))</f>
        <v/>
      </c>
      <c r="BP11" s="18" t="n">
        <v>18.019</v>
      </c>
      <c r="BQ11" s="18" t="n">
        <v>12.978</v>
      </c>
      <c r="BR11" s="19">
        <f>100*(0.4*MIN(1,MAX(0,((U11*100)-(0.0))/((2.5)-(0.0))))+0.3*MIN(1,MAX(0,((V11)-(0.6))/((1.0)-(0.6))))+0.3*MIN(1,MAX(0,((BP11)-(0.0))/((15.0)-(0.0)))))</f>
        <v/>
      </c>
      <c r="BS11" s="19">
        <f>100*(0.4*MIN(1,MAX(0,((MIN(ABS(AA11),ABS(AB11)))-(0.75))/((0.0)-(0.75))))+0.3*MIN(1,MAX(0,((BN11)-(1.2))/((0.6)-(1.2))))+0.3*BO11)</f>
        <v/>
      </c>
      <c r="BT11" s="19">
        <f>100*(0.5*MIN(1,MAX(0,((AK11)-(1.0))/((4.0)-(1.0))))+0.3*MIN(1,MAX(0,((IF(ISNUMBER(AO11),AO11,0)*100)-(0.0))/((8.0)-(0.0))))+0.2*MIN(1,MAX(0,((IF(ISNUMBER(AP11),AP11,0))-(25.0))/((5.0)-(25.0)))))</f>
        <v/>
      </c>
      <c r="BU11" s="19">
        <f>100*(0.35*MIN(1,MAX(0,((ABS(BF11))-(0.3))/((0.05)-(0.3))))+0.3*MIN(1,MAX(0,((BG11)-(0.0))/((0.3)-(0.0))))+0.25*MIN(1,MAX(0,((BH11)-(0.4))/((0.7)-(0.4))))+0.1*IF(BJ11&gt;=2,1,0.5))</f>
        <v/>
      </c>
      <c r="BV11" s="20">
        <f>0.25*BR11+0.25*BS11+0.2*BT11+0.3*BU11</f>
        <v/>
      </c>
      <c r="BW11" s="5" t="inlineStr">
        <is>
          <t>全部通過</t>
        </is>
      </c>
      <c r="BX11" s="5" t="inlineStr"/>
    </row>
    <row r="12">
      <c r="A12" s="5" t="n">
        <v>1</v>
      </c>
      <c r="B12" s="5" t="n">
        <v>11</v>
      </c>
      <c r="C12" s="6" t="inlineStr">
        <is>
          <t>CNXN</t>
        </is>
      </c>
      <c r="D12" s="5" t="inlineStr">
        <is>
          <t>PC Connection Inc.</t>
        </is>
      </c>
      <c r="E12" s="5" t="inlineStr">
        <is>
          <t>NASDAQ</t>
        </is>
      </c>
      <c r="F12" s="5" t="inlineStr">
        <is>
          <t>非必需消費</t>
        </is>
      </c>
      <c r="G12" s="5" t="inlineStr">
        <is>
          <t>Catalog/Specialty Distribution</t>
        </is>
      </c>
      <c r="H12" s="7" t="n">
        <v>2.277</v>
      </c>
      <c r="I12" s="5" t="inlineStr">
        <is>
          <t>中型</t>
        </is>
      </c>
      <c r="J12" s="8" t="n">
        <v>92.38</v>
      </c>
      <c r="K12" s="8" t="n">
        <v>92.56999999999999</v>
      </c>
      <c r="L12" s="9">
        <f>J12/K12-1</f>
        <v/>
      </c>
      <c r="M12" s="8" t="n">
        <v>93.89</v>
      </c>
      <c r="N12" s="8" t="n">
        <v>92.27</v>
      </c>
      <c r="O12" s="10" t="n">
        <v>124200</v>
      </c>
      <c r="P12" s="10" t="n">
        <v>146260</v>
      </c>
      <c r="Q12" s="11">
        <f>O12/P12</f>
        <v/>
      </c>
      <c r="R12" s="8" t="n">
        <v>89.95440000000001</v>
      </c>
      <c r="S12" s="8" t="n">
        <v>87.40470000000001</v>
      </c>
      <c r="T12" s="8" t="n">
        <v>85.18810000000001</v>
      </c>
      <c r="U12" s="9">
        <f>S12/T12-1</f>
        <v/>
      </c>
      <c r="V12" s="12" t="n">
        <v>1</v>
      </c>
      <c r="W12" s="9">
        <f>J12/R12-1</f>
        <v/>
      </c>
      <c r="X12" s="9">
        <f>J12/S12-1</f>
        <v/>
      </c>
      <c r="Y12" s="8" t="n">
        <v>2.296</v>
      </c>
      <c r="Z12" s="13">
        <f>Y12/J12</f>
        <v/>
      </c>
      <c r="AA12" s="11">
        <f>(J12-R12)/Y12</f>
        <v/>
      </c>
      <c r="AB12" s="11">
        <f>(J12-S12)/Y12</f>
        <v/>
      </c>
      <c r="AC12" s="5">
        <f>IF(ABS(AA12)&lt;=ABS(AB12),"9EMA","21EMA")</f>
        <v/>
      </c>
      <c r="AD12" s="5" t="inlineStr">
        <is>
          <t>9EMA</t>
        </is>
      </c>
      <c r="AE12" s="5" t="inlineStr">
        <is>
          <t>持續在上方</t>
        </is>
      </c>
      <c r="AF12" s="5" t="inlineStr"/>
      <c r="AG12" s="5" t="inlineStr"/>
      <c r="AH12" s="5" t="inlineStr">
        <is>
          <t>✓</t>
        </is>
      </c>
      <c r="AI12" s="5" t="inlineStr">
        <is>
          <t>2026-09-03</t>
        </is>
      </c>
      <c r="AJ12" s="5" t="n">
        <v>20</v>
      </c>
      <c r="AK12" s="14" t="n">
        <v>3</v>
      </c>
      <c r="AL12" s="5" t="inlineStr">
        <is>
          <t>2026-09-18</t>
        </is>
      </c>
      <c r="AM12" s="8" t="n">
        <v>84.11</v>
      </c>
      <c r="AN12" s="8" t="n">
        <v>77.98</v>
      </c>
      <c r="AO12" s="9">
        <f>IF(ISNUMBER(AN12),AM12/AN12-1,"")</f>
        <v/>
      </c>
      <c r="AP12" s="14" t="n">
        <v>10</v>
      </c>
      <c r="AQ12" s="9">
        <f>IF(ISNUMBER(AM12),J12/AM12-1,"")</f>
        <v/>
      </c>
      <c r="AR12" s="8" t="n">
        <v>92.56999999999999</v>
      </c>
      <c r="AS12" s="9">
        <f>J12/AR12-1</f>
        <v/>
      </c>
      <c r="AT12" s="15" t="n">
        <v>2.5942</v>
      </c>
      <c r="AU12" s="15" t="n">
        <v>2.1766</v>
      </c>
      <c r="AV12" s="15" t="n">
        <v>2.0722</v>
      </c>
      <c r="AW12" s="16">
        <f>AU12-AV12</f>
        <v/>
      </c>
      <c r="AX12" s="15" t="n">
        <v>0.4176</v>
      </c>
      <c r="AY12" s="15" t="n">
        <v>0.4065</v>
      </c>
      <c r="AZ12" s="15" t="n">
        <v>0.3055</v>
      </c>
      <c r="BA12" s="5" t="inlineStr">
        <is>
          <t>深綠</t>
        </is>
      </c>
      <c r="BB12" s="5" t="inlineStr">
        <is>
          <t>淺綠→深綠</t>
        </is>
      </c>
      <c r="BC12" s="5" t="n">
        <v>1</v>
      </c>
      <c r="BD12" s="5" t="inlineStr">
        <is>
          <t>深綠 深綠 深綠 淺綠 淺綠 淺綠 深綠 深綠</t>
        </is>
      </c>
      <c r="BE12" s="5" t="inlineStr">
        <is>
          <t>上升通道</t>
        </is>
      </c>
      <c r="BF12" s="17" t="n">
        <v>0.5602</v>
      </c>
      <c r="BG12" s="17" t="n">
        <v>0.553</v>
      </c>
      <c r="BH12" s="17" t="n">
        <v>0.5245</v>
      </c>
      <c r="BI12" s="17" t="n">
        <v>0.5159</v>
      </c>
      <c r="BJ12" s="14" t="n">
        <v>2</v>
      </c>
      <c r="BK12" s="8" t="n">
        <v>93.89</v>
      </c>
      <c r="BL12" s="8" t="n">
        <v>77.98</v>
      </c>
      <c r="BM12" s="8" t="n">
        <v>86.3246</v>
      </c>
      <c r="BN12" s="17" t="n">
        <v>0.9912</v>
      </c>
      <c r="BO12" s="11">
        <f>IF(M12=N12,0.5,(J12-N12)/(M12-N12))</f>
        <v/>
      </c>
      <c r="BP12" s="18" t="n">
        <v>19.133</v>
      </c>
      <c r="BQ12" s="18" t="n">
        <v>14.092</v>
      </c>
      <c r="BR12" s="19">
        <f>100*(0.4*MIN(1,MAX(0,((U12*100)-(0.0))/((2.5)-(0.0))))+0.3*MIN(1,MAX(0,((V12)-(0.6))/((1.0)-(0.6))))+0.3*MIN(1,MAX(0,((BP12)-(0.0))/((15.0)-(0.0)))))</f>
        <v/>
      </c>
      <c r="BS12" s="19">
        <f>100*(0.4*MIN(1,MAX(0,((MIN(ABS(AA12),ABS(AB12)))-(0.75))/((0.0)-(0.75))))+0.3*MIN(1,MAX(0,((BN12)-(1.2))/((0.6)-(1.2))))+0.3*BO12)</f>
        <v/>
      </c>
      <c r="BT12" s="19">
        <f>100*(0.5*MIN(1,MAX(0,((AK12)-(1.0))/((4.0)-(1.0))))+0.3*MIN(1,MAX(0,((IF(ISNUMBER(AO12),AO12,0)*100)-(0.0))/((8.0)-(0.0))))+0.2*MIN(1,MAX(0,((IF(ISNUMBER(AP12),AP12,0))-(25.0))/((5.0)-(25.0)))))</f>
        <v/>
      </c>
      <c r="BU12" s="19">
        <f>100*(0.35*MIN(1,MAX(0,((ABS(BF12))-(0.3))/((0.05)-(0.3))))+0.3*MIN(1,MAX(0,((BG12)-(0.0))/((0.3)-(0.0))))+0.25*MIN(1,MAX(0,((BH12)-(0.4))/((0.7)-(0.4))))+0.1*IF(BJ12&gt;=2,1,0.5))</f>
        <v/>
      </c>
      <c r="BV12" s="20">
        <f>0.25*BR12+0.25*BS12+0.2*BT12+0.3*BU12</f>
        <v/>
      </c>
      <c r="BW12" s="5" t="inlineStr">
        <is>
          <t>全部通過</t>
        </is>
      </c>
      <c r="BX12" s="5" t="inlineStr"/>
    </row>
    <row r="13">
      <c r="A13" s="5" t="n">
        <v>1</v>
      </c>
      <c r="B13" s="5" t="n">
        <v>12</v>
      </c>
      <c r="C13" s="6" t="inlineStr">
        <is>
          <t>CRVL</t>
        </is>
      </c>
      <c r="D13" s="5" t="inlineStr">
        <is>
          <t>CorVel Corp.</t>
        </is>
      </c>
      <c r="E13" s="5" t="inlineStr">
        <is>
          <t>NASDAQ</t>
        </is>
      </c>
      <c r="F13" s="5" t="inlineStr">
        <is>
          <t>金融</t>
        </is>
      </c>
      <c r="G13" s="5" t="inlineStr">
        <is>
          <t>Specialty Insurers</t>
        </is>
      </c>
      <c r="H13" s="7" t="n">
        <v>3.766</v>
      </c>
      <c r="I13" s="5" t="inlineStr">
        <is>
          <t>中型</t>
        </is>
      </c>
      <c r="J13" s="8" t="n">
        <v>75.47</v>
      </c>
      <c r="K13" s="8" t="n">
        <v>74.72</v>
      </c>
      <c r="L13" s="9">
        <f>J13/K13-1</f>
        <v/>
      </c>
      <c r="M13" s="8" t="n">
        <v>76</v>
      </c>
      <c r="N13" s="8" t="n">
        <v>74.37</v>
      </c>
      <c r="O13" s="10" t="n">
        <v>168800</v>
      </c>
      <c r="P13" s="10" t="n">
        <v>224250</v>
      </c>
      <c r="Q13" s="11">
        <f>O13/P13</f>
        <v/>
      </c>
      <c r="R13" s="8" t="n">
        <v>74.0124</v>
      </c>
      <c r="S13" s="8" t="n">
        <v>72.2092</v>
      </c>
      <c r="T13" s="8" t="n">
        <v>70.7026</v>
      </c>
      <c r="U13" s="9">
        <f>S13/T13-1</f>
        <v/>
      </c>
      <c r="V13" s="12" t="n">
        <v>1</v>
      </c>
      <c r="W13" s="9">
        <f>J13/R13-1</f>
        <v/>
      </c>
      <c r="X13" s="9">
        <f>J13/S13-1</f>
        <v/>
      </c>
      <c r="Y13" s="8" t="n">
        <v>1.7655</v>
      </c>
      <c r="Z13" s="13">
        <f>Y13/J13</f>
        <v/>
      </c>
      <c r="AA13" s="11">
        <f>(J13-R13)/Y13</f>
        <v/>
      </c>
      <c r="AB13" s="11">
        <f>(J13-S13)/Y13</f>
        <v/>
      </c>
      <c r="AC13" s="5">
        <f>IF(ABS(AA13)&lt;=ABS(AB13),"9EMA","21EMA")</f>
        <v/>
      </c>
      <c r="AD13" s="5" t="inlineStr">
        <is>
          <t>9EMA</t>
        </is>
      </c>
      <c r="AE13" s="5" t="inlineStr">
        <is>
          <t>持續在上方</t>
        </is>
      </c>
      <c r="AF13" s="5" t="inlineStr"/>
      <c r="AG13" s="5" t="inlineStr"/>
      <c r="AH13" s="5" t="inlineStr">
        <is>
          <t>✓</t>
        </is>
      </c>
      <c r="AI13" s="5" t="inlineStr">
        <is>
          <t>2026-08-06</t>
        </is>
      </c>
      <c r="AJ13" s="5" t="n">
        <v>40</v>
      </c>
      <c r="AK13" s="14" t="n">
        <v>2</v>
      </c>
      <c r="AL13" s="5" t="inlineStr">
        <is>
          <t>2026-09-18</t>
        </is>
      </c>
      <c r="AM13" s="8" t="n">
        <v>69.15000000000001</v>
      </c>
      <c r="AN13" s="8" t="n">
        <v>65.18000000000001</v>
      </c>
      <c r="AO13" s="9">
        <f>IF(ISNUMBER(AN13),AM13/AN13-1,"")</f>
        <v/>
      </c>
      <c r="AP13" s="14" t="n">
        <v>10</v>
      </c>
      <c r="AQ13" s="9">
        <f>IF(ISNUMBER(AM13),J13/AM13-1,"")</f>
        <v/>
      </c>
      <c r="AR13" s="8" t="n">
        <v>75.47</v>
      </c>
      <c r="AS13" s="9">
        <f>J13/AR13-1</f>
        <v/>
      </c>
      <c r="AT13" s="15" t="n">
        <v>1.9798</v>
      </c>
      <c r="AU13" s="15" t="n">
        <v>1.8442</v>
      </c>
      <c r="AV13" s="15" t="n">
        <v>1.8103</v>
      </c>
      <c r="AW13" s="16">
        <f>AU13-AV13</f>
        <v/>
      </c>
      <c r="AX13" s="15" t="n">
        <v>0.1356</v>
      </c>
      <c r="AY13" s="15" t="n">
        <v>0.13</v>
      </c>
      <c r="AZ13" s="15" t="n">
        <v>0.1602</v>
      </c>
      <c r="BA13" s="5" t="inlineStr">
        <is>
          <t>深綠</t>
        </is>
      </c>
      <c r="BB13" s="5" t="inlineStr">
        <is>
          <t>淺綠→深綠</t>
        </is>
      </c>
      <c r="BC13" s="5" t="n">
        <v>0</v>
      </c>
      <c r="BD13" s="5" t="inlineStr">
        <is>
          <t>深綠 深綠 深綠 淺綠 淺綠 淺綠 淺綠 深綠</t>
        </is>
      </c>
      <c r="BE13" s="5" t="inlineStr">
        <is>
          <t>上傾收窄（楔形）</t>
        </is>
      </c>
      <c r="BF13" s="17" t="n">
        <v>0.2766</v>
      </c>
      <c r="BG13" s="17" t="n">
        <v>0.7514999999999999</v>
      </c>
      <c r="BH13" s="17" t="n">
        <v>0.5653</v>
      </c>
      <c r="BI13" s="17" t="n">
        <v>0.5377999999999999</v>
      </c>
      <c r="BJ13" s="14" t="n">
        <v>5</v>
      </c>
      <c r="BK13" s="8" t="n">
        <v>76</v>
      </c>
      <c r="BL13" s="8" t="n">
        <v>65.18000000000001</v>
      </c>
      <c r="BM13" s="8" t="n">
        <v>71.2961</v>
      </c>
      <c r="BN13" s="17" t="n">
        <v>1.0296</v>
      </c>
      <c r="BO13" s="11">
        <f>IF(M13=N13,0.5,(J13-N13)/(M13-N13))</f>
        <v/>
      </c>
      <c r="BP13" s="18" t="n">
        <v>12.258</v>
      </c>
      <c r="BQ13" s="18" t="n">
        <v>7.217</v>
      </c>
      <c r="BR13" s="19">
        <f>100*(0.4*MIN(1,MAX(0,((U13*100)-(0.0))/((2.5)-(0.0))))+0.3*MIN(1,MAX(0,((V13)-(0.6))/((1.0)-(0.6))))+0.3*MIN(1,MAX(0,((BP13)-(0.0))/((15.0)-(0.0)))))</f>
        <v/>
      </c>
      <c r="BS13" s="19">
        <f>100*(0.4*MIN(1,MAX(0,((MIN(ABS(AA13),ABS(AB13)))-(0.75))/((0.0)-(0.75))))+0.3*MIN(1,MAX(0,((BN13)-(1.2))/((0.6)-(1.2))))+0.3*BO13)</f>
        <v/>
      </c>
      <c r="BT13" s="19">
        <f>100*(0.5*MIN(1,MAX(0,((AK13)-(1.0))/((4.0)-(1.0))))+0.3*MIN(1,MAX(0,((IF(ISNUMBER(AO13),AO13,0)*100)-(0.0))/((8.0)-(0.0))))+0.2*MIN(1,MAX(0,((IF(ISNUMBER(AP13),AP13,0))-(25.0))/((5.0)-(25.0)))))</f>
        <v/>
      </c>
      <c r="BU13" s="19">
        <f>100*(0.35*MIN(1,MAX(0,((ABS(BF13))-(0.3))/((0.05)-(0.3))))+0.3*MIN(1,MAX(0,((BG13)-(0.0))/((0.3)-(0.0))))+0.25*MIN(1,MAX(0,((BH13)-(0.4))/((0.7)-(0.4))))+0.1*IF(BJ13&gt;=2,1,0.5))</f>
        <v/>
      </c>
      <c r="BV13" s="20">
        <f>0.25*BR13+0.25*BS13+0.2*BT13+0.3*BU13</f>
        <v/>
      </c>
      <c r="BW13" s="5" t="inlineStr">
        <is>
          <t>全部通過</t>
        </is>
      </c>
      <c r="BX13" s="5" t="inlineStr"/>
    </row>
    <row r="14">
      <c r="A14" s="5" t="n">
        <v>1</v>
      </c>
      <c r="B14" s="5" t="n">
        <v>13</v>
      </c>
      <c r="C14" s="6" t="inlineStr">
        <is>
          <t>NVDA</t>
        </is>
      </c>
      <c r="D14" s="5" t="inlineStr">
        <is>
          <t>NVIDIA Corporation</t>
        </is>
      </c>
      <c r="E14" s="5" t="inlineStr">
        <is>
          <t>NASDAQ</t>
        </is>
      </c>
      <c r="F14" s="5" t="inlineStr">
        <is>
          <t>科技</t>
        </is>
      </c>
      <c r="G14" s="5" t="inlineStr">
        <is>
          <t>Semiconductors</t>
        </is>
      </c>
      <c r="H14" s="7" t="n">
        <v>5503.958</v>
      </c>
      <c r="I14" s="5" t="inlineStr">
        <is>
          <t>大型</t>
        </is>
      </c>
      <c r="J14" s="8" t="n">
        <v>233.95</v>
      </c>
      <c r="K14" s="8" t="n">
        <v>230.86</v>
      </c>
      <c r="L14" s="9">
        <f>J14/K14-1</f>
        <v/>
      </c>
      <c r="M14" s="8" t="n">
        <v>237.88</v>
      </c>
      <c r="N14" s="8" t="n">
        <v>233.6</v>
      </c>
      <c r="O14" s="10" t="n">
        <v>134914600</v>
      </c>
      <c r="P14" s="10" t="n">
        <v>109953295</v>
      </c>
      <c r="Q14" s="11">
        <f>O14/P14</f>
        <v/>
      </c>
      <c r="R14" s="8" t="n">
        <v>228.2091</v>
      </c>
      <c r="S14" s="8" t="n">
        <v>224.6694</v>
      </c>
      <c r="T14" s="8" t="n">
        <v>221.3392</v>
      </c>
      <c r="U14" s="9">
        <f>S14/T14-1</f>
        <v/>
      </c>
      <c r="V14" s="12" t="n">
        <v>1</v>
      </c>
      <c r="W14" s="9">
        <f>J14/R14-1</f>
        <v/>
      </c>
      <c r="X14" s="9">
        <f>J14/S14-1</f>
        <v/>
      </c>
      <c r="Y14" s="8" t="n">
        <v>5.9101</v>
      </c>
      <c r="Z14" s="13">
        <f>Y14/J14</f>
        <v/>
      </c>
      <c r="AA14" s="11">
        <f>(J14-R14)/Y14</f>
        <v/>
      </c>
      <c r="AB14" s="11">
        <f>(J14-S14)/Y14</f>
        <v/>
      </c>
      <c r="AC14" s="5">
        <f>IF(ABS(AA14)&lt;=ABS(AB14),"9EMA","21EMA")</f>
        <v/>
      </c>
      <c r="AD14" s="5" t="inlineStr">
        <is>
          <t>—</t>
        </is>
      </c>
      <c r="AE14" s="5" t="inlineStr">
        <is>
          <t>持續在上方</t>
        </is>
      </c>
      <c r="AF14" s="5" t="inlineStr"/>
      <c r="AG14" s="5" t="inlineStr"/>
      <c r="AH14" s="5" t="inlineStr"/>
      <c r="AI14" s="5" t="inlineStr">
        <is>
          <t>2026-09-18</t>
        </is>
      </c>
      <c r="AJ14" s="5" t="n">
        <v>10</v>
      </c>
      <c r="AK14" s="14" t="n">
        <v>2</v>
      </c>
      <c r="AL14" s="5" t="inlineStr">
        <is>
          <t>2026-09-24</t>
        </is>
      </c>
      <c r="AM14" s="8" t="n">
        <v>221.09</v>
      </c>
      <c r="AN14" s="8" t="n">
        <v>208.93</v>
      </c>
      <c r="AO14" s="9">
        <f>IF(ISNUMBER(AN14),AM14/AN14-1,"")</f>
        <v/>
      </c>
      <c r="AP14" s="14" t="n">
        <v>6</v>
      </c>
      <c r="AQ14" s="9">
        <f>IF(ISNUMBER(AM14),J14/AM14-1,"")</f>
        <v/>
      </c>
      <c r="AR14" s="8" t="n">
        <v>233.95</v>
      </c>
      <c r="AS14" s="9">
        <f>J14/AR14-1</f>
        <v/>
      </c>
      <c r="AT14" s="15" t="n">
        <v>3.4886</v>
      </c>
      <c r="AU14" s="15" t="n">
        <v>2.6614</v>
      </c>
      <c r="AV14" s="15" t="n">
        <v>2.4546</v>
      </c>
      <c r="AW14" s="16">
        <f>AU14-AV14</f>
        <v/>
      </c>
      <c r="AX14" s="15" t="n">
        <v>0.8272</v>
      </c>
      <c r="AY14" s="15" t="n">
        <v>0.6141</v>
      </c>
      <c r="AZ14" s="15" t="n">
        <v>0.5017</v>
      </c>
      <c r="BA14" s="5" t="inlineStr">
        <is>
          <t>深綠</t>
        </is>
      </c>
      <c r="BB14" s="5" t="inlineStr">
        <is>
          <t>淺綠→深綠</t>
        </is>
      </c>
      <c r="BC14" s="5" t="n">
        <v>2</v>
      </c>
      <c r="BD14" s="5" t="inlineStr">
        <is>
          <t>深綠 淺綠 淺綠 深綠 淺綠 深綠 深綠 深綠</t>
        </is>
      </c>
      <c r="BE14" s="5" t="inlineStr">
        <is>
          <t>上升三角（平頂）</t>
        </is>
      </c>
      <c r="BF14" s="17" t="n">
        <v>-0.0743</v>
      </c>
      <c r="BG14" s="17" t="n">
        <v>0.16</v>
      </c>
      <c r="BH14" s="17" t="n">
        <v>0.5016</v>
      </c>
      <c r="BI14" s="17" t="n">
        <v>0.5433</v>
      </c>
      <c r="BJ14" s="14" t="n">
        <v>2</v>
      </c>
      <c r="BK14" s="8" t="n">
        <v>237.88</v>
      </c>
      <c r="BL14" s="8" t="n">
        <v>208.93</v>
      </c>
      <c r="BM14" s="8" t="n">
        <v>223.4515</v>
      </c>
      <c r="BN14" s="17" t="n">
        <v>0.79</v>
      </c>
      <c r="BO14" s="11">
        <f>IF(M14=N14,0.5,(J14-N14)/(M14-N14))</f>
        <v/>
      </c>
      <c r="BP14" s="18" t="n">
        <v>9.292</v>
      </c>
      <c r="BQ14" s="18" t="n">
        <v>4.251</v>
      </c>
      <c r="BR14" s="19">
        <f>100*(0.4*MIN(1,MAX(0,((U14*100)-(0.0))/((2.5)-(0.0))))+0.3*MIN(1,MAX(0,((V14)-(0.6))/((1.0)-(0.6))))+0.3*MIN(1,MAX(0,((BP14)-(0.0))/((15.0)-(0.0)))))</f>
        <v/>
      </c>
      <c r="BS14" s="19">
        <f>100*(0.4*MIN(1,MAX(0,((MIN(ABS(AA14),ABS(AB14)))-(0.75))/((0.0)-(0.75))))+0.3*MIN(1,MAX(0,((BN14)-(1.2))/((0.6)-(1.2))))+0.3*BO14)</f>
        <v/>
      </c>
      <c r="BT14" s="19">
        <f>100*(0.5*MIN(1,MAX(0,((AK14)-(1.0))/((4.0)-(1.0))))+0.3*MIN(1,MAX(0,((IF(ISNUMBER(AO14),AO14,0)*100)-(0.0))/((8.0)-(0.0))))+0.2*MIN(1,MAX(0,((IF(ISNUMBER(AP14),AP14,0))-(25.0))/((5.0)-(25.0)))))</f>
        <v/>
      </c>
      <c r="BU14" s="19">
        <f>100*(0.35*MIN(1,MAX(0,((ABS(BF14))-(0.3))/((0.05)-(0.3))))+0.3*MIN(1,MAX(0,((BG14)-(0.0))/((0.3)-(0.0))))+0.25*MIN(1,MAX(0,((BH14)-(0.4))/((0.7)-(0.4))))+0.1*IF(BJ14&gt;=2,1,0.5))</f>
        <v/>
      </c>
      <c r="BV14" s="20">
        <f>0.25*BR14+0.25*BS14+0.2*BT14+0.3*BU14</f>
        <v/>
      </c>
      <c r="BW14" s="5" t="inlineStr">
        <is>
          <t>全部通過</t>
        </is>
      </c>
      <c r="BX14" s="5" t="inlineStr"/>
    </row>
    <row r="15">
      <c r="A15" s="5" t="n">
        <v>1</v>
      </c>
      <c r="B15" s="5" t="n">
        <v>14</v>
      </c>
      <c r="C15" s="6" t="inlineStr">
        <is>
          <t>LEGH</t>
        </is>
      </c>
      <c r="D15" s="5" t="inlineStr">
        <is>
          <t>Legacy Housing Corporation</t>
        </is>
      </c>
      <c r="E15" s="5" t="inlineStr">
        <is>
          <t>NASDAQ</t>
        </is>
      </c>
      <c r="F15" s="5" t="inlineStr">
        <is>
          <t>非必需消費</t>
        </is>
      </c>
      <c r="G15" s="5" t="inlineStr">
        <is>
          <t>Homebuilding</t>
        </is>
      </c>
      <c r="H15" s="7" t="n">
        <v>0.6820000000000001</v>
      </c>
      <c r="I15" s="5" t="inlineStr">
        <is>
          <t>小型</t>
        </is>
      </c>
      <c r="J15" s="8" t="n">
        <v>29.35</v>
      </c>
      <c r="K15" s="8" t="n">
        <v>29.19</v>
      </c>
      <c r="L15" s="9">
        <f>J15/K15-1</f>
        <v/>
      </c>
      <c r="M15" s="8" t="n">
        <v>29.87</v>
      </c>
      <c r="N15" s="8" t="n">
        <v>29.05</v>
      </c>
      <c r="O15" s="10" t="n">
        <v>53800</v>
      </c>
      <c r="P15" s="10" t="n">
        <v>77855</v>
      </c>
      <c r="Q15" s="11">
        <f>O15/P15</f>
        <v/>
      </c>
      <c r="R15" s="8" t="n">
        <v>28.9334</v>
      </c>
      <c r="S15" s="8" t="n">
        <v>28.5714</v>
      </c>
      <c r="T15" s="8" t="n">
        <v>28.2677</v>
      </c>
      <c r="U15" s="9">
        <f>S15/T15-1</f>
        <v/>
      </c>
      <c r="V15" s="12" t="n">
        <v>1</v>
      </c>
      <c r="W15" s="9">
        <f>J15/R15-1</f>
        <v/>
      </c>
      <c r="X15" s="9">
        <f>J15/S15-1</f>
        <v/>
      </c>
      <c r="Y15" s="8" t="n">
        <v>0.9189000000000001</v>
      </c>
      <c r="Z15" s="13">
        <f>Y15/J15</f>
        <v/>
      </c>
      <c r="AA15" s="11">
        <f>(J15-R15)/Y15</f>
        <v/>
      </c>
      <c r="AB15" s="11">
        <f>(J15-S15)/Y15</f>
        <v/>
      </c>
      <c r="AC15" s="5">
        <f>IF(ABS(AA15)&lt;=ABS(AB15),"9EMA","21EMA")</f>
        <v/>
      </c>
      <c r="AD15" s="5" t="inlineStr">
        <is>
          <t>9+21EMA</t>
        </is>
      </c>
      <c r="AE15" s="5" t="inlineStr">
        <is>
          <t>持續在上方</t>
        </is>
      </c>
      <c r="AF15" s="5" t="inlineStr"/>
      <c r="AG15" s="5" t="inlineStr"/>
      <c r="AH15" s="5" t="inlineStr">
        <is>
          <t>✓</t>
        </is>
      </c>
      <c r="AI15" s="5" t="inlineStr">
        <is>
          <t>2026-09-21</t>
        </is>
      </c>
      <c r="AJ15" s="5" t="n">
        <v>9</v>
      </c>
      <c r="AK15" s="14" t="n">
        <v>2</v>
      </c>
      <c r="AL15" s="5" t="inlineStr">
        <is>
          <t>2026-09-29</t>
        </is>
      </c>
      <c r="AM15" s="8" t="n">
        <v>28.28</v>
      </c>
      <c r="AN15" s="8" t="n">
        <v>26.37</v>
      </c>
      <c r="AO15" s="9">
        <f>IF(ISNUMBER(AN15),AM15/AN15-1,"")</f>
        <v/>
      </c>
      <c r="AP15" s="14" t="n">
        <v>3</v>
      </c>
      <c r="AQ15" s="9">
        <f>IF(ISNUMBER(AM15),J15/AM15-1,"")</f>
        <v/>
      </c>
      <c r="AR15" s="8" t="n">
        <v>29.35</v>
      </c>
      <c r="AS15" s="9">
        <f>J15/AR15-1</f>
        <v/>
      </c>
      <c r="AT15" s="15" t="n">
        <v>0.3552</v>
      </c>
      <c r="AU15" s="15" t="n">
        <v>0.2682</v>
      </c>
      <c r="AV15" s="15" t="n">
        <v>0.2465</v>
      </c>
      <c r="AW15" s="16">
        <f>AU15-AV15</f>
        <v/>
      </c>
      <c r="AX15" s="15" t="n">
        <v>0.08690000000000001</v>
      </c>
      <c r="AY15" s="15" t="n">
        <v>0.0829</v>
      </c>
      <c r="AZ15" s="15" t="n">
        <v>0.0822</v>
      </c>
      <c r="BA15" s="5" t="inlineStr">
        <is>
          <t>深綠</t>
        </is>
      </c>
      <c r="BB15" s="5" t="inlineStr">
        <is>
          <t>淺綠→深綠</t>
        </is>
      </c>
      <c r="BC15" s="5" t="n">
        <v>1</v>
      </c>
      <c r="BD15" s="5" t="inlineStr">
        <is>
          <t>深綠 深綠 深綠 淺綠 淺綠 淺綠 深綠 深綠</t>
        </is>
      </c>
      <c r="BE15" s="5" t="inlineStr">
        <is>
          <t>上傾擴張</t>
        </is>
      </c>
      <c r="BF15" s="17" t="n">
        <v>0.3672</v>
      </c>
      <c r="BG15" s="17" t="n">
        <v>0.2189</v>
      </c>
      <c r="BH15" s="17" t="n">
        <v>0.5591</v>
      </c>
      <c r="BI15" s="17" t="n">
        <v>0.5433</v>
      </c>
      <c r="BJ15" s="14" t="n">
        <v>4</v>
      </c>
      <c r="BK15" s="8" t="n">
        <v>29.87</v>
      </c>
      <c r="BL15" s="8" t="n">
        <v>26.37</v>
      </c>
      <c r="BM15" s="8" t="n">
        <v>28.327</v>
      </c>
      <c r="BN15" s="17" t="n">
        <v>0.797</v>
      </c>
      <c r="BO15" s="11">
        <f>IF(M15=N15,0.5,(J15-N15)/(M15-N15))</f>
        <v/>
      </c>
      <c r="BP15" s="18" t="n">
        <v>10.731</v>
      </c>
      <c r="BQ15" s="18" t="n">
        <v>5.69</v>
      </c>
      <c r="BR15" s="19">
        <f>100*(0.4*MIN(1,MAX(0,((U15*100)-(0.0))/((2.5)-(0.0))))+0.3*MIN(1,MAX(0,((V15)-(0.6))/((1.0)-(0.6))))+0.3*MIN(1,MAX(0,((BP15)-(0.0))/((15.0)-(0.0)))))</f>
        <v/>
      </c>
      <c r="BS15" s="19">
        <f>100*(0.4*MIN(1,MAX(0,((MIN(ABS(AA15),ABS(AB15)))-(0.75))/((0.0)-(0.75))))+0.3*MIN(1,MAX(0,((BN15)-(1.2))/((0.6)-(1.2))))+0.3*BO15)</f>
        <v/>
      </c>
      <c r="BT15" s="19">
        <f>100*(0.5*MIN(1,MAX(0,((AK15)-(1.0))/((4.0)-(1.0))))+0.3*MIN(1,MAX(0,((IF(ISNUMBER(AO15),AO15,0)*100)-(0.0))/((8.0)-(0.0))))+0.2*MIN(1,MAX(0,((IF(ISNUMBER(AP15),AP15,0))-(25.0))/((5.0)-(25.0)))))</f>
        <v/>
      </c>
      <c r="BU15" s="19">
        <f>100*(0.35*MIN(1,MAX(0,((ABS(BF15))-(0.3))/((0.05)-(0.3))))+0.3*MIN(1,MAX(0,((BG15)-(0.0))/((0.3)-(0.0))))+0.25*MIN(1,MAX(0,((BH15)-(0.4))/((0.7)-(0.4))))+0.1*IF(BJ15&gt;=2,1,0.5))</f>
        <v/>
      </c>
      <c r="BV15" s="20">
        <f>0.25*BR15+0.25*BS15+0.2*BT15+0.3*BU15</f>
        <v/>
      </c>
      <c r="BW15" s="5" t="inlineStr">
        <is>
          <t>全部通過</t>
        </is>
      </c>
      <c r="BX15" s="5" t="inlineStr"/>
    </row>
    <row r="16">
      <c r="A16" s="5" t="n">
        <v>1</v>
      </c>
      <c r="B16" s="5" t="n">
        <v>15</v>
      </c>
      <c r="C16" s="6" t="inlineStr">
        <is>
          <t>TENB</t>
        </is>
      </c>
      <c r="D16" s="5" t="inlineStr">
        <is>
          <t>Tenable Holdings Inc.</t>
        </is>
      </c>
      <c r="E16" s="5" t="inlineStr">
        <is>
          <t>NASDAQ</t>
        </is>
      </c>
      <c r="F16" s="5" t="inlineStr">
        <is>
          <t>科技</t>
        </is>
      </c>
      <c r="G16" s="5" t="inlineStr">
        <is>
          <t>Computer Software: Prepackaged Software</t>
        </is>
      </c>
      <c r="H16" s="7" t="n">
        <v>4.008</v>
      </c>
      <c r="I16" s="5" t="inlineStr">
        <is>
          <t>中型</t>
        </is>
      </c>
      <c r="J16" s="8" t="n">
        <v>36.85</v>
      </c>
      <c r="K16" s="8" t="n">
        <v>36.11</v>
      </c>
      <c r="L16" s="9">
        <f>J16/K16-1</f>
        <v/>
      </c>
      <c r="M16" s="8" t="n">
        <v>37.24</v>
      </c>
      <c r="N16" s="8" t="n">
        <v>36.15</v>
      </c>
      <c r="O16" s="10" t="n">
        <v>2044500</v>
      </c>
      <c r="P16" s="10" t="n">
        <v>4744640</v>
      </c>
      <c r="Q16" s="11">
        <f>O16/P16</f>
        <v/>
      </c>
      <c r="R16" s="8" t="n">
        <v>35.7646</v>
      </c>
      <c r="S16" s="8" t="n">
        <v>35.4596</v>
      </c>
      <c r="T16" s="8" t="n">
        <v>35.2075</v>
      </c>
      <c r="U16" s="9">
        <f>S16/T16-1</f>
        <v/>
      </c>
      <c r="V16" s="12" t="n">
        <v>0.7</v>
      </c>
      <c r="W16" s="9">
        <f>J16/R16-1</f>
        <v/>
      </c>
      <c r="X16" s="9">
        <f>J16/S16-1</f>
        <v/>
      </c>
      <c r="Y16" s="8" t="n">
        <v>2.0802</v>
      </c>
      <c r="Z16" s="13">
        <f>Y16/J16</f>
        <v/>
      </c>
      <c r="AA16" s="11">
        <f>(J16-R16)/Y16</f>
        <v/>
      </c>
      <c r="AB16" s="11">
        <f>(J16-S16)/Y16</f>
        <v/>
      </c>
      <c r="AC16" s="5">
        <f>IF(ABS(AA16)&lt;=ABS(AB16),"9EMA","21EMA")</f>
        <v/>
      </c>
      <c r="AD16" s="5" t="inlineStr">
        <is>
          <t>9+21EMA</t>
        </is>
      </c>
      <c r="AE16" s="21" t="inlineStr">
        <is>
          <t>剛黃金交叉</t>
        </is>
      </c>
      <c r="AF16" s="5" t="inlineStr">
        <is>
          <t>✓</t>
        </is>
      </c>
      <c r="AG16" s="5" t="inlineStr"/>
      <c r="AH16" s="5" t="inlineStr"/>
      <c r="AI16" s="5" t="inlineStr">
        <is>
          <t>2026-09-30</t>
        </is>
      </c>
      <c r="AJ16" s="5" t="n">
        <v>2</v>
      </c>
      <c r="AK16" s="14" t="n">
        <v>2</v>
      </c>
      <c r="AL16" s="5" t="inlineStr">
        <is>
          <t>2026-09-28</t>
        </is>
      </c>
      <c r="AM16" s="8" t="n">
        <v>32.49</v>
      </c>
      <c r="AN16" s="8" t="n">
        <v>29.97</v>
      </c>
      <c r="AO16" s="9">
        <f>IF(ISNUMBER(AN16),AM16/AN16-1,"")</f>
        <v/>
      </c>
      <c r="AP16" s="14" t="n">
        <v>4</v>
      </c>
      <c r="AQ16" s="9">
        <f>IF(ISNUMBER(AM16),J16/AM16-1,"")</f>
        <v/>
      </c>
      <c r="AR16" s="8" t="n">
        <v>38.09</v>
      </c>
      <c r="AS16" s="9">
        <f>J16/AR16-1</f>
        <v/>
      </c>
      <c r="AT16" s="15" t="n">
        <v>0.2487</v>
      </c>
      <c r="AU16" s="15" t="n">
        <v>0.1031</v>
      </c>
      <c r="AV16" s="15" t="n">
        <v>0.0667</v>
      </c>
      <c r="AW16" s="16">
        <f>AU16-AV16</f>
        <v/>
      </c>
      <c r="AX16" s="15" t="n">
        <v>0.1456</v>
      </c>
      <c r="AY16" s="15" t="n">
        <v>0.07920000000000001</v>
      </c>
      <c r="AZ16" s="15" t="n">
        <v>0.041</v>
      </c>
      <c r="BA16" s="5" t="inlineStr">
        <is>
          <t>深綠</t>
        </is>
      </c>
      <c r="BB16" s="5" t="inlineStr">
        <is>
          <t>深紅→淺紅</t>
        </is>
      </c>
      <c r="BC16" s="5" t="n">
        <v>3</v>
      </c>
      <c r="BD16" s="5" t="inlineStr">
        <is>
          <t>深綠 淺綠 深紅 深紅 淺紅 深綠 深綠 深綠</t>
        </is>
      </c>
      <c r="BE16" s="5" t="inlineStr">
        <is>
          <t>上升三角（平頂）</t>
        </is>
      </c>
      <c r="BF16" s="17" t="n">
        <v>0.0516</v>
      </c>
      <c r="BG16" s="17" t="n">
        <v>0.0319</v>
      </c>
      <c r="BH16" s="17" t="n">
        <v>0.5809</v>
      </c>
      <c r="BI16" s="17" t="n">
        <v>0.6271</v>
      </c>
      <c r="BJ16" s="14" t="n">
        <v>2</v>
      </c>
      <c r="BK16" s="8" t="n">
        <v>38.89</v>
      </c>
      <c r="BL16" s="8" t="n">
        <v>29.97</v>
      </c>
      <c r="BM16" s="8" t="n">
        <v>35.1516</v>
      </c>
      <c r="BN16" s="17" t="n">
        <v>0.8987000000000001</v>
      </c>
      <c r="BO16" s="11">
        <f>IF(M16=N16,0.5,(J16-N16)/(M16-N16))</f>
        <v/>
      </c>
      <c r="BP16" s="18" t="n">
        <v>12.664</v>
      </c>
      <c r="BQ16" s="18" t="n">
        <v>7.623</v>
      </c>
      <c r="BR16" s="19">
        <f>100*(0.4*MIN(1,MAX(0,((U16*100)-(0.0))/((2.5)-(0.0))))+0.3*MIN(1,MAX(0,((V16)-(0.6))/((1.0)-(0.6))))+0.3*MIN(1,MAX(0,((BP16)-(0.0))/((15.0)-(0.0)))))</f>
        <v/>
      </c>
      <c r="BS16" s="19">
        <f>100*(0.4*MIN(1,MAX(0,((MIN(ABS(AA16),ABS(AB16)))-(0.75))/((0.0)-(0.75))))+0.3*MIN(1,MAX(0,((BN16)-(1.2))/((0.6)-(1.2))))+0.3*BO16)</f>
        <v/>
      </c>
      <c r="BT16" s="19">
        <f>100*(0.5*MIN(1,MAX(0,((AK16)-(1.0))/((4.0)-(1.0))))+0.3*MIN(1,MAX(0,((IF(ISNUMBER(AO16),AO16,0)*100)-(0.0))/((8.0)-(0.0))))+0.2*MIN(1,MAX(0,((IF(ISNUMBER(AP16),AP16,0))-(25.0))/((5.0)-(25.0)))))</f>
        <v/>
      </c>
      <c r="BU16" s="19">
        <f>100*(0.35*MIN(1,MAX(0,((ABS(BF16))-(0.3))/((0.05)-(0.3))))+0.3*MIN(1,MAX(0,((BG16)-(0.0))/((0.3)-(0.0))))+0.25*MIN(1,MAX(0,((BH16)-(0.4))/((0.7)-(0.4))))+0.1*IF(BJ16&gt;=2,1,0.5))</f>
        <v/>
      </c>
      <c r="BV16" s="20">
        <f>0.25*BR16+0.25*BS16+0.2*BT16+0.3*BU16</f>
        <v/>
      </c>
      <c r="BW16" s="5" t="inlineStr">
        <is>
          <t>全部通過</t>
        </is>
      </c>
      <c r="BX16" s="5" t="inlineStr"/>
    </row>
    <row r="17">
      <c r="A17" s="5" t="n">
        <v>1</v>
      </c>
      <c r="B17" s="5" t="n">
        <v>16</v>
      </c>
      <c r="C17" s="6" t="inlineStr">
        <is>
          <t>NHC</t>
        </is>
      </c>
      <c r="D17" s="5" t="inlineStr">
        <is>
          <t>National HealthCare Corporation</t>
        </is>
      </c>
      <c r="E17" s="5" t="inlineStr">
        <is>
          <t>AMEX</t>
        </is>
      </c>
      <c r="F17" s="5" t="inlineStr">
        <is>
          <t>醫療保健</t>
        </is>
      </c>
      <c r="G17" s="5" t="inlineStr">
        <is>
          <t>Hospital/Nursing Management</t>
        </is>
      </c>
      <c r="H17" s="7" t="n">
        <v>3.438</v>
      </c>
      <c r="I17" s="5" t="inlineStr">
        <is>
          <t>中型</t>
        </is>
      </c>
      <c r="J17" s="8" t="n">
        <v>227.66</v>
      </c>
      <c r="K17" s="8" t="n">
        <v>223.35</v>
      </c>
      <c r="L17" s="9">
        <f>J17/K17-1</f>
        <v/>
      </c>
      <c r="M17" s="8" t="n">
        <v>229.53</v>
      </c>
      <c r="N17" s="8" t="n">
        <v>223.8</v>
      </c>
      <c r="O17" s="10" t="n">
        <v>88300</v>
      </c>
      <c r="P17" s="10" t="n">
        <v>106730</v>
      </c>
      <c r="Q17" s="11">
        <f>O17/P17</f>
        <v/>
      </c>
      <c r="R17" s="8" t="n">
        <v>224.3309</v>
      </c>
      <c r="S17" s="8" t="n">
        <v>224.0502</v>
      </c>
      <c r="T17" s="8" t="n">
        <v>223.9601</v>
      </c>
      <c r="U17" s="9">
        <f>S17/T17-1</f>
        <v/>
      </c>
      <c r="V17" s="12" t="n">
        <v>0.5</v>
      </c>
      <c r="W17" s="9">
        <f>J17/R17-1</f>
        <v/>
      </c>
      <c r="X17" s="9">
        <f>J17/S17-1</f>
        <v/>
      </c>
      <c r="Y17" s="8" t="n">
        <v>6.2622</v>
      </c>
      <c r="Z17" s="13">
        <f>Y17/J17</f>
        <v/>
      </c>
      <c r="AA17" s="11">
        <f>(J17-R17)/Y17</f>
        <v/>
      </c>
      <c r="AB17" s="11">
        <f>(J17-S17)/Y17</f>
        <v/>
      </c>
      <c r="AC17" s="5">
        <f>IF(ABS(AA17)&lt;=ABS(AB17),"9EMA","21EMA")</f>
        <v/>
      </c>
      <c r="AD17" s="5" t="inlineStr">
        <is>
          <t>9+21EMA</t>
        </is>
      </c>
      <c r="AE17" s="21" t="inlineStr">
        <is>
          <t>剛黃金交叉</t>
        </is>
      </c>
      <c r="AF17" s="5" t="inlineStr">
        <is>
          <t>✓</t>
        </is>
      </c>
      <c r="AG17" s="5" t="inlineStr"/>
      <c r="AH17" s="5" t="inlineStr">
        <is>
          <t>✓</t>
        </is>
      </c>
      <c r="AI17" s="5" t="inlineStr">
        <is>
          <t>2026-10-02</t>
        </is>
      </c>
      <c r="AJ17" s="5" t="n">
        <v>0</v>
      </c>
      <c r="AK17" s="14" t="n">
        <v>4</v>
      </c>
      <c r="AL17" s="5" t="inlineStr">
        <is>
          <t>2026-09-24</t>
        </is>
      </c>
      <c r="AM17" s="8" t="n">
        <v>219.72</v>
      </c>
      <c r="AN17" s="8" t="n">
        <v>214.15</v>
      </c>
      <c r="AO17" s="9">
        <f>IF(ISNUMBER(AN17),AM17/AN17-1,"")</f>
        <v/>
      </c>
      <c r="AP17" s="14" t="n">
        <v>6</v>
      </c>
      <c r="AQ17" s="9">
        <f>IF(ISNUMBER(AM17),J17/AM17-1,"")</f>
        <v/>
      </c>
      <c r="AR17" s="8" t="n">
        <v>227.76</v>
      </c>
      <c r="AS17" s="9">
        <f>J17/AR17-1</f>
        <v/>
      </c>
      <c r="AT17" s="15" t="n">
        <v>0.3934</v>
      </c>
      <c r="AU17" s="15" t="n">
        <v>0.3868</v>
      </c>
      <c r="AV17" s="15" t="n">
        <v>0.3851</v>
      </c>
      <c r="AW17" s="16">
        <f>AU17-AV17</f>
        <v/>
      </c>
      <c r="AX17" s="15" t="n">
        <v>0.0067</v>
      </c>
      <c r="AY17" s="15" t="n">
        <v>-0.3081</v>
      </c>
      <c r="AZ17" s="15" t="n">
        <v>-0.3512</v>
      </c>
      <c r="BA17" s="5" t="inlineStr">
        <is>
          <t>深綠</t>
        </is>
      </c>
      <c r="BB17" s="5" t="inlineStr">
        <is>
          <t>深紅→淺紅</t>
        </is>
      </c>
      <c r="BC17" s="5" t="n">
        <v>1</v>
      </c>
      <c r="BD17" s="5" t="inlineStr">
        <is>
          <t>淺紅 深紅 淺紅 深綠 深紅 深紅 淺紅 深綠</t>
        </is>
      </c>
      <c r="BE17" s="5" t="inlineStr">
        <is>
          <t>上升三角（平頂）</t>
        </is>
      </c>
      <c r="BF17" s="17" t="n">
        <v>-0.0226</v>
      </c>
      <c r="BG17" s="17" t="n">
        <v>0.1439</v>
      </c>
      <c r="BH17" s="17" t="n">
        <v>0.5531</v>
      </c>
      <c r="BI17" s="17" t="n">
        <v>0.5731000000000001</v>
      </c>
      <c r="BJ17" s="14" t="n">
        <v>12</v>
      </c>
      <c r="BK17" s="8" t="n">
        <v>230.09</v>
      </c>
      <c r="BL17" s="8" t="n">
        <v>214.15</v>
      </c>
      <c r="BM17" s="8" t="n">
        <v>222.9659</v>
      </c>
      <c r="BN17" s="17" t="n">
        <v>0.8442</v>
      </c>
      <c r="BO17" s="11">
        <f>IF(M17=N17,0.5,(J17-N17)/(M17-N17))</f>
        <v/>
      </c>
      <c r="BP17" s="18" t="n">
        <v>9.789</v>
      </c>
      <c r="BQ17" s="18" t="n">
        <v>4.748</v>
      </c>
      <c r="BR17" s="19">
        <f>100*(0.4*MIN(1,MAX(0,((U17*100)-(0.0))/((2.5)-(0.0))))+0.3*MIN(1,MAX(0,((V17)-(0.6))/((1.0)-(0.6))))+0.3*MIN(1,MAX(0,((BP17)-(0.0))/((15.0)-(0.0)))))</f>
        <v/>
      </c>
      <c r="BS17" s="19">
        <f>100*(0.4*MIN(1,MAX(0,((MIN(ABS(AA17),ABS(AB17)))-(0.75))/((0.0)-(0.75))))+0.3*MIN(1,MAX(0,((BN17)-(1.2))/((0.6)-(1.2))))+0.3*BO17)</f>
        <v/>
      </c>
      <c r="BT17" s="19">
        <f>100*(0.5*MIN(1,MAX(0,((AK17)-(1.0))/((4.0)-(1.0))))+0.3*MIN(1,MAX(0,((IF(ISNUMBER(AO17),AO17,0)*100)-(0.0))/((8.0)-(0.0))))+0.2*MIN(1,MAX(0,((IF(ISNUMBER(AP17),AP17,0))-(25.0))/((5.0)-(25.0)))))</f>
        <v/>
      </c>
      <c r="BU17" s="19">
        <f>100*(0.35*MIN(1,MAX(0,((ABS(BF17))-(0.3))/((0.05)-(0.3))))+0.3*MIN(1,MAX(0,((BG17)-(0.0))/((0.3)-(0.0))))+0.25*MIN(1,MAX(0,((BH17)-(0.4))/((0.7)-(0.4))))+0.1*IF(BJ17&gt;=2,1,0.5))</f>
        <v/>
      </c>
      <c r="BV17" s="20">
        <f>0.25*BR17+0.25*BS17+0.2*BT17+0.3*BU17</f>
        <v/>
      </c>
      <c r="BW17" s="5" t="inlineStr">
        <is>
          <t>全部通過</t>
        </is>
      </c>
      <c r="BX17" s="5" t="inlineStr"/>
    </row>
    <row r="18">
      <c r="A18" s="5" t="n">
        <v>1</v>
      </c>
      <c r="B18" s="5" t="n">
        <v>17</v>
      </c>
      <c r="C18" s="6" t="inlineStr">
        <is>
          <t>SLAB</t>
        </is>
      </c>
      <c r="D18" s="5" t="inlineStr">
        <is>
          <t>Silicon Laboratories Inc.</t>
        </is>
      </c>
      <c r="E18" s="5" t="inlineStr">
        <is>
          <t>NASDAQ</t>
        </is>
      </c>
      <c r="F18" s="5" t="inlineStr">
        <is>
          <t>科技</t>
        </is>
      </c>
      <c r="G18" s="5" t="inlineStr">
        <is>
          <t>Semiconductors</t>
        </is>
      </c>
      <c r="H18" s="7" t="n">
        <v>7.393</v>
      </c>
      <c r="I18" s="5" t="inlineStr">
        <is>
          <t>中型</t>
        </is>
      </c>
      <c r="J18" s="8" t="n">
        <v>222.76</v>
      </c>
      <c r="K18" s="8" t="n">
        <v>222.51</v>
      </c>
      <c r="L18" s="9">
        <f>J18/K18-1</f>
        <v/>
      </c>
      <c r="M18" s="8" t="n">
        <v>223.5</v>
      </c>
      <c r="N18" s="8" t="n">
        <v>222.24</v>
      </c>
      <c r="O18" s="10" t="n">
        <v>304300</v>
      </c>
      <c r="P18" s="10" t="n">
        <v>281205</v>
      </c>
      <c r="Q18" s="11">
        <f>O18/P18</f>
        <v/>
      </c>
      <c r="R18" s="8" t="n">
        <v>221.6417</v>
      </c>
      <c r="S18" s="8" t="n">
        <v>220.8472</v>
      </c>
      <c r="T18" s="8" t="n">
        <v>220.2034</v>
      </c>
      <c r="U18" s="9">
        <f>S18/T18-1</f>
        <v/>
      </c>
      <c r="V18" s="12" t="n">
        <v>1</v>
      </c>
      <c r="W18" s="9">
        <f>J18/R18-1</f>
        <v/>
      </c>
      <c r="X18" s="9">
        <f>J18/S18-1</f>
        <v/>
      </c>
      <c r="Y18" s="8" t="n">
        <v>1.0866</v>
      </c>
      <c r="Z18" s="13">
        <f>Y18/J18</f>
        <v/>
      </c>
      <c r="AA18" s="11">
        <f>(J18-R18)/Y18</f>
        <v/>
      </c>
      <c r="AB18" s="11">
        <f>(J18-S18)/Y18</f>
        <v/>
      </c>
      <c r="AC18" s="5">
        <f>IF(ABS(AA18)&lt;=ABS(AB18),"9EMA","21EMA")</f>
        <v/>
      </c>
      <c r="AD18" s="5" t="inlineStr">
        <is>
          <t>9+21EMA</t>
        </is>
      </c>
      <c r="AE18" s="5" t="inlineStr">
        <is>
          <t>持續在上方</t>
        </is>
      </c>
      <c r="AF18" s="5" t="inlineStr"/>
      <c r="AG18" s="5" t="inlineStr"/>
      <c r="AH18" s="5" t="inlineStr">
        <is>
          <t>✓</t>
        </is>
      </c>
      <c r="AI18" s="5" t="inlineStr">
        <is>
          <t>2026-08-06</t>
        </is>
      </c>
      <c r="AJ18" s="5" t="n">
        <v>40</v>
      </c>
      <c r="AK18" s="14" t="n">
        <v>2</v>
      </c>
      <c r="AL18" s="5" t="inlineStr">
        <is>
          <t>2026-09-28</t>
        </is>
      </c>
      <c r="AM18" s="8" t="n">
        <v>220.78</v>
      </c>
      <c r="AN18" s="8" t="n">
        <v>216.88</v>
      </c>
      <c r="AO18" s="9">
        <f>IF(ISNUMBER(AN18),AM18/AN18-1,"")</f>
        <v/>
      </c>
      <c r="AP18" s="14" t="n">
        <v>4</v>
      </c>
      <c r="AQ18" s="9">
        <f>IF(ISNUMBER(AM18),J18/AM18-1,"")</f>
        <v/>
      </c>
      <c r="AR18" s="8" t="n">
        <v>222.76</v>
      </c>
      <c r="AS18" s="9">
        <f>J18/AR18-1</f>
        <v/>
      </c>
      <c r="AT18" s="15" t="n">
        <v>0.8013</v>
      </c>
      <c r="AU18" s="15" t="n">
        <v>0.6571</v>
      </c>
      <c r="AV18" s="15" t="n">
        <v>0.6211</v>
      </c>
      <c r="AW18" s="16">
        <f>AU18-AV18</f>
        <v/>
      </c>
      <c r="AX18" s="15" t="n">
        <v>0.1442</v>
      </c>
      <c r="AY18" s="15" t="n">
        <v>0.1064</v>
      </c>
      <c r="AZ18" s="15" t="n">
        <v>0.0535</v>
      </c>
      <c r="BA18" s="5" t="inlineStr">
        <is>
          <t>深綠</t>
        </is>
      </c>
      <c r="BB18" s="5" t="inlineStr">
        <is>
          <t>淺綠→深綠</t>
        </is>
      </c>
      <c r="BC18" s="5" t="n">
        <v>2</v>
      </c>
      <c r="BD18" s="5" t="inlineStr">
        <is>
          <t>淺綠 淺綠 淺綠 淺綠 淺綠 深綠 深綠 深綠</t>
        </is>
      </c>
      <c r="BE18" s="5" t="inlineStr">
        <is>
          <t>上升三角（平頂）</t>
        </is>
      </c>
      <c r="BF18" s="17" t="n">
        <v>-0.0049</v>
      </c>
      <c r="BG18" s="17" t="n">
        <v>0.0704</v>
      </c>
      <c r="BH18" s="17" t="n">
        <v>0.5444</v>
      </c>
      <c r="BI18" s="17" t="n">
        <v>0.4606</v>
      </c>
      <c r="BJ18" s="14" t="n">
        <v>19</v>
      </c>
      <c r="BK18" s="8" t="n">
        <v>223.5</v>
      </c>
      <c r="BL18" s="8" t="n">
        <v>216.88</v>
      </c>
      <c r="BM18" s="8" t="n">
        <v>220.4838</v>
      </c>
      <c r="BN18" s="17" t="n">
        <v>0.4699</v>
      </c>
      <c r="BO18" s="11">
        <f>IF(M18=N18,0.5,(J18-N18)/(M18-N18))</f>
        <v/>
      </c>
      <c r="BP18" s="18" t="n">
        <v>6.19</v>
      </c>
      <c r="BQ18" s="18" t="n">
        <v>1.149</v>
      </c>
      <c r="BR18" s="19">
        <f>100*(0.4*MIN(1,MAX(0,((U18*100)-(0.0))/((2.5)-(0.0))))+0.3*MIN(1,MAX(0,((V18)-(0.6))/((1.0)-(0.6))))+0.3*MIN(1,MAX(0,((BP18)-(0.0))/((15.0)-(0.0)))))</f>
        <v/>
      </c>
      <c r="BS18" s="19">
        <f>100*(0.4*MIN(1,MAX(0,((MIN(ABS(AA18),ABS(AB18)))-(0.75))/((0.0)-(0.75))))+0.3*MIN(1,MAX(0,((BN18)-(1.2))/((0.6)-(1.2))))+0.3*BO18)</f>
        <v/>
      </c>
      <c r="BT18" s="19">
        <f>100*(0.5*MIN(1,MAX(0,((AK18)-(1.0))/((4.0)-(1.0))))+0.3*MIN(1,MAX(0,((IF(ISNUMBER(AO18),AO18,0)*100)-(0.0))/((8.0)-(0.0))))+0.2*MIN(1,MAX(0,((IF(ISNUMBER(AP18),AP18,0))-(25.0))/((5.0)-(25.0)))))</f>
        <v/>
      </c>
      <c r="BU18" s="19">
        <f>100*(0.35*MIN(1,MAX(0,((ABS(BF18))-(0.3))/((0.05)-(0.3))))+0.3*MIN(1,MAX(0,((BG18)-(0.0))/((0.3)-(0.0))))+0.25*MIN(1,MAX(0,((BH18)-(0.4))/((0.7)-(0.4))))+0.1*IF(BJ18&gt;=2,1,0.5))</f>
        <v/>
      </c>
      <c r="BV18" s="20">
        <f>0.25*BR18+0.25*BS18+0.2*BT18+0.3*BU18</f>
        <v/>
      </c>
      <c r="BW18" s="5" t="inlineStr">
        <is>
          <t>全部通過</t>
        </is>
      </c>
      <c r="BX18" s="5" t="inlineStr"/>
    </row>
    <row r="19">
      <c r="A19" s="5" t="n">
        <v>1</v>
      </c>
      <c r="B19" s="5" t="n">
        <v>18</v>
      </c>
      <c r="C19" s="6" t="inlineStr">
        <is>
          <t>FAST</t>
        </is>
      </c>
      <c r="D19" s="5" t="inlineStr">
        <is>
          <t>Fastenal Company</t>
        </is>
      </c>
      <c r="E19" s="5" t="inlineStr">
        <is>
          <t>NASDAQ</t>
        </is>
      </c>
      <c r="F19" s="5" t="inlineStr">
        <is>
          <t>非必需消費</t>
        </is>
      </c>
      <c r="G19" s="5" t="inlineStr">
        <is>
          <t>RETAIL: Building Materials</t>
        </is>
      </c>
      <c r="H19" s="7" t="n">
        <v>56.836</v>
      </c>
      <c r="I19" s="5" t="inlineStr">
        <is>
          <t>大型</t>
        </is>
      </c>
      <c r="J19" s="8" t="n">
        <v>50.75</v>
      </c>
      <c r="K19" s="8" t="n">
        <v>50.23</v>
      </c>
      <c r="L19" s="9">
        <f>J19/K19-1</f>
        <v/>
      </c>
      <c r="M19" s="8" t="n">
        <v>51.04</v>
      </c>
      <c r="N19" s="8" t="n">
        <v>50.43</v>
      </c>
      <c r="O19" s="10" t="n">
        <v>7156900</v>
      </c>
      <c r="P19" s="10" t="n">
        <v>7019355</v>
      </c>
      <c r="Q19" s="11">
        <f>O19/P19</f>
        <v/>
      </c>
      <c r="R19" s="8" t="n">
        <v>50.1801</v>
      </c>
      <c r="S19" s="8" t="n">
        <v>49.9633</v>
      </c>
      <c r="T19" s="8" t="n">
        <v>49.8128</v>
      </c>
      <c r="U19" s="9">
        <f>S19/T19-1</f>
        <v/>
      </c>
      <c r="V19" s="12" t="n">
        <v>0.9</v>
      </c>
      <c r="W19" s="9">
        <f>J19/R19-1</f>
        <v/>
      </c>
      <c r="X19" s="9">
        <f>J19/S19-1</f>
        <v/>
      </c>
      <c r="Y19" s="8" t="n">
        <v>0.9691</v>
      </c>
      <c r="Z19" s="13">
        <f>Y19/J19</f>
        <v/>
      </c>
      <c r="AA19" s="11">
        <f>(J19-R19)/Y19</f>
        <v/>
      </c>
      <c r="AB19" s="11">
        <f>(J19-S19)/Y19</f>
        <v/>
      </c>
      <c r="AC19" s="5">
        <f>IF(ABS(AA19)&lt;=ABS(AB19),"9EMA","21EMA")</f>
        <v/>
      </c>
      <c r="AD19" s="5" t="inlineStr">
        <is>
          <t>9+21EMA</t>
        </is>
      </c>
      <c r="AE19" s="5" t="inlineStr">
        <is>
          <t>持續在上方</t>
        </is>
      </c>
      <c r="AF19" s="5" t="inlineStr"/>
      <c r="AG19" s="5" t="inlineStr"/>
      <c r="AH19" s="5" t="inlineStr">
        <is>
          <t>✓</t>
        </is>
      </c>
      <c r="AI19" s="5" t="inlineStr">
        <is>
          <t>2026-09-23</t>
        </is>
      </c>
      <c r="AJ19" s="5" t="n">
        <v>7</v>
      </c>
      <c r="AK19" s="14" t="n">
        <v>3</v>
      </c>
      <c r="AL19" s="5" t="inlineStr">
        <is>
          <t>2026-09-21</t>
        </is>
      </c>
      <c r="AM19" s="8" t="n">
        <v>48.53</v>
      </c>
      <c r="AN19" s="8" t="n">
        <v>48.06</v>
      </c>
      <c r="AO19" s="9">
        <f>IF(ISNUMBER(AN19),AM19/AN19-1,"")</f>
        <v/>
      </c>
      <c r="AP19" s="14" t="n">
        <v>9</v>
      </c>
      <c r="AQ19" s="9">
        <f>IF(ISNUMBER(AM19),J19/AM19-1,"")</f>
        <v/>
      </c>
      <c r="AR19" s="8" t="n">
        <v>50.99</v>
      </c>
      <c r="AS19" s="9">
        <f>J19/AR19-1</f>
        <v/>
      </c>
      <c r="AT19" s="15" t="n">
        <v>0.2121</v>
      </c>
      <c r="AU19" s="15" t="n">
        <v>0.1468</v>
      </c>
      <c r="AV19" s="15" t="n">
        <v>0.1305</v>
      </c>
      <c r="AW19" s="16">
        <f>AU19-AV19</f>
        <v/>
      </c>
      <c r="AX19" s="15" t="n">
        <v>0.0653</v>
      </c>
      <c r="AY19" s="15" t="n">
        <v>0.033</v>
      </c>
      <c r="AZ19" s="15" t="n">
        <v>0.0296</v>
      </c>
      <c r="BA19" s="5" t="inlineStr">
        <is>
          <t>深綠</t>
        </is>
      </c>
      <c r="BB19" s="5" t="inlineStr">
        <is>
          <t>淺綠→深綠</t>
        </is>
      </c>
      <c r="BC19" s="5" t="n">
        <v>1</v>
      </c>
      <c r="BD19" s="5" t="inlineStr">
        <is>
          <t>深綠 深綠 淺綠 淺綠 淺綠 淺綠 深綠 深綠</t>
        </is>
      </c>
      <c r="BE19" s="5" t="inlineStr">
        <is>
          <t>上升三角（平頂）</t>
        </is>
      </c>
      <c r="BF19" s="17" t="n">
        <v>0.0067</v>
      </c>
      <c r="BG19" s="17" t="n">
        <v>0.1437</v>
      </c>
      <c r="BH19" s="17" t="n">
        <v>0.5113</v>
      </c>
      <c r="BI19" s="17" t="n">
        <v>0.5552</v>
      </c>
      <c r="BJ19" s="14" t="n">
        <v>6</v>
      </c>
      <c r="BK19" s="8" t="n">
        <v>51.52</v>
      </c>
      <c r="BL19" s="8" t="n">
        <v>47.65</v>
      </c>
      <c r="BM19" s="8" t="n">
        <v>49.6288</v>
      </c>
      <c r="BN19" s="17" t="n">
        <v>1.3414</v>
      </c>
      <c r="BO19" s="11">
        <f>IF(M19=N19,0.5,(J19-N19)/(M19-N19))</f>
        <v/>
      </c>
      <c r="BP19" s="18" t="n">
        <v>10.925</v>
      </c>
      <c r="BQ19" s="18" t="n">
        <v>5.884</v>
      </c>
      <c r="BR19" s="19">
        <f>100*(0.4*MIN(1,MAX(0,((U19*100)-(0.0))/((2.5)-(0.0))))+0.3*MIN(1,MAX(0,((V19)-(0.6))/((1.0)-(0.6))))+0.3*MIN(1,MAX(0,((BP19)-(0.0))/((15.0)-(0.0)))))</f>
        <v/>
      </c>
      <c r="BS19" s="19">
        <f>100*(0.4*MIN(1,MAX(0,((MIN(ABS(AA19),ABS(AB19)))-(0.75))/((0.0)-(0.75))))+0.3*MIN(1,MAX(0,((BN19)-(1.2))/((0.6)-(1.2))))+0.3*BO19)</f>
        <v/>
      </c>
      <c r="BT19" s="19">
        <f>100*(0.5*MIN(1,MAX(0,((AK19)-(1.0))/((4.0)-(1.0))))+0.3*MIN(1,MAX(0,((IF(ISNUMBER(AO19),AO19,0)*100)-(0.0))/((8.0)-(0.0))))+0.2*MIN(1,MAX(0,((IF(ISNUMBER(AP19),AP19,0))-(25.0))/((5.0)-(25.0)))))</f>
        <v/>
      </c>
      <c r="BU19" s="19">
        <f>100*(0.35*MIN(1,MAX(0,((ABS(BF19))-(0.3))/((0.05)-(0.3))))+0.3*MIN(1,MAX(0,((BG19)-(0.0))/((0.3)-(0.0))))+0.25*MIN(1,MAX(0,((BH19)-(0.4))/((0.7)-(0.4))))+0.1*IF(BJ19&gt;=2,1,0.5))</f>
        <v/>
      </c>
      <c r="BV19" s="20">
        <f>0.25*BR19+0.25*BS19+0.2*BT19+0.3*BU19</f>
        <v/>
      </c>
      <c r="BW19" s="5" t="inlineStr">
        <is>
          <t>全部通過</t>
        </is>
      </c>
      <c r="BX19" s="5" t="inlineStr"/>
    </row>
    <row r="20">
      <c r="A20" s="5" t="n">
        <v>1</v>
      </c>
      <c r="B20" s="5" t="n">
        <v>19</v>
      </c>
      <c r="C20" s="6" t="inlineStr">
        <is>
          <t>STRL</t>
        </is>
      </c>
      <c r="D20" s="5" t="inlineStr">
        <is>
          <t>Sterling Infrastructure Inc.</t>
        </is>
      </c>
      <c r="E20" s="5" t="inlineStr">
        <is>
          <t>NASDAQ</t>
        </is>
      </c>
      <c r="F20" s="5" t="inlineStr">
        <is>
          <t>工業</t>
        </is>
      </c>
      <c r="G20" s="5" t="inlineStr">
        <is>
          <t>Military/Government/Technical</t>
        </is>
      </c>
      <c r="H20" s="7" t="n">
        <v>15.043</v>
      </c>
      <c r="I20" s="5" t="inlineStr">
        <is>
          <t>大型</t>
        </is>
      </c>
      <c r="J20" s="8" t="n">
        <v>533.42</v>
      </c>
      <c r="K20" s="8" t="n">
        <v>505.12</v>
      </c>
      <c r="L20" s="9">
        <f>J20/K20-1</f>
        <v/>
      </c>
      <c r="M20" s="8" t="n">
        <v>537.01</v>
      </c>
      <c r="N20" s="8" t="n">
        <v>513.87</v>
      </c>
      <c r="O20" s="10" t="n">
        <v>606100</v>
      </c>
      <c r="P20" s="10" t="n">
        <v>536050</v>
      </c>
      <c r="Q20" s="11">
        <f>O20/P20</f>
        <v/>
      </c>
      <c r="R20" s="8" t="n">
        <v>509.023</v>
      </c>
      <c r="S20" s="8" t="n">
        <v>506.9403</v>
      </c>
      <c r="T20" s="8" t="n">
        <v>506.2181</v>
      </c>
      <c r="U20" s="9">
        <f>S20/T20-1</f>
        <v/>
      </c>
      <c r="V20" s="12" t="n">
        <v>0.7</v>
      </c>
      <c r="W20" s="9">
        <f>J20/R20-1</f>
        <v/>
      </c>
      <c r="X20" s="9">
        <f>J20/S20-1</f>
        <v/>
      </c>
      <c r="Y20" s="8" t="n">
        <v>26.4427</v>
      </c>
      <c r="Z20" s="13">
        <f>Y20/J20</f>
        <v/>
      </c>
      <c r="AA20" s="11">
        <f>(J20-R20)/Y20</f>
        <v/>
      </c>
      <c r="AB20" s="11">
        <f>(J20-S20)/Y20</f>
        <v/>
      </c>
      <c r="AC20" s="5">
        <f>IF(ABS(AA20)&lt;=ABS(AB20),"9EMA","21EMA")</f>
        <v/>
      </c>
      <c r="AD20" s="5" t="inlineStr">
        <is>
          <t>9+21EMA</t>
        </is>
      </c>
      <c r="AE20" s="21" t="inlineStr">
        <is>
          <t>剛黃金交叉</t>
        </is>
      </c>
      <c r="AF20" s="5" t="inlineStr">
        <is>
          <t>✓</t>
        </is>
      </c>
      <c r="AG20" s="5" t="inlineStr"/>
      <c r="AH20" s="5" t="inlineStr"/>
      <c r="AI20" s="5" t="inlineStr">
        <is>
          <t>2026-10-02</t>
        </is>
      </c>
      <c r="AJ20" s="5" t="n">
        <v>0</v>
      </c>
      <c r="AK20" s="14" t="n">
        <v>3</v>
      </c>
      <c r="AL20" s="5" t="inlineStr">
        <is>
          <t>2026-09-24</t>
        </is>
      </c>
      <c r="AM20" s="8" t="n">
        <v>485</v>
      </c>
      <c r="AN20" s="8" t="n">
        <v>458.51</v>
      </c>
      <c r="AO20" s="9">
        <f>IF(ISNUMBER(AN20),AM20/AN20-1,"")</f>
        <v/>
      </c>
      <c r="AP20" s="14" t="n">
        <v>6</v>
      </c>
      <c r="AQ20" s="9">
        <f>IF(ISNUMBER(AM20),J20/AM20-1,"")</f>
        <v/>
      </c>
      <c r="AR20" s="8" t="n">
        <v>533.42</v>
      </c>
      <c r="AS20" s="9">
        <f>J20/AR20-1</f>
        <v/>
      </c>
      <c r="AT20" s="15" t="n">
        <v>-3.0345</v>
      </c>
      <c r="AU20" s="15" t="n">
        <v>-8.5052</v>
      </c>
      <c r="AV20" s="15" t="n">
        <v>-9.8729</v>
      </c>
      <c r="AW20" s="16">
        <f>AU20-AV20</f>
        <v/>
      </c>
      <c r="AX20" s="15" t="n">
        <v>5.4707</v>
      </c>
      <c r="AY20" s="15" t="n">
        <v>3.9241</v>
      </c>
      <c r="AZ20" s="15" t="n">
        <v>4.1535</v>
      </c>
      <c r="BA20" s="5" t="inlineStr">
        <is>
          <t>深綠</t>
        </is>
      </c>
      <c r="BB20" s="5" t="inlineStr">
        <is>
          <t>淺綠→深綠</t>
        </is>
      </c>
      <c r="BC20" s="5" t="n">
        <v>0</v>
      </c>
      <c r="BD20" s="5" t="inlineStr">
        <is>
          <t>淺綠 淺綠 淺綠 淺綠 淺綠 淺綠 淺綠 深綠</t>
        </is>
      </c>
      <c r="BE20" s="5" t="inlineStr">
        <is>
          <t>上升通道</t>
        </is>
      </c>
      <c r="BF20" s="17" t="n">
        <v>0.439</v>
      </c>
      <c r="BG20" s="17" t="n">
        <v>0.5017</v>
      </c>
      <c r="BH20" s="17" t="n">
        <v>0.5227000000000001</v>
      </c>
      <c r="BI20" s="17" t="n">
        <v>0.4754</v>
      </c>
      <c r="BJ20" s="14" t="n">
        <v>2</v>
      </c>
      <c r="BK20" s="8" t="n">
        <v>537.01</v>
      </c>
      <c r="BL20" s="8" t="n">
        <v>444.52</v>
      </c>
      <c r="BM20" s="8" t="n">
        <v>492.8614</v>
      </c>
      <c r="BN20" s="17" t="n">
        <v>0.9802</v>
      </c>
      <c r="BO20" s="11">
        <f>IF(M20=N20,0.5,(J20-N20)/(M20-N20))</f>
        <v/>
      </c>
      <c r="BP20" s="18" t="n">
        <v>21.61</v>
      </c>
      <c r="BQ20" s="18" t="n">
        <v>16.569</v>
      </c>
      <c r="BR20" s="19">
        <f>100*(0.4*MIN(1,MAX(0,((U20*100)-(0.0))/((2.5)-(0.0))))+0.3*MIN(1,MAX(0,((V20)-(0.6))/((1.0)-(0.6))))+0.3*MIN(1,MAX(0,((BP20)-(0.0))/((15.0)-(0.0)))))</f>
        <v/>
      </c>
      <c r="BS20" s="19">
        <f>100*(0.4*MIN(1,MAX(0,((MIN(ABS(AA20),ABS(AB20)))-(0.75))/((0.0)-(0.75))))+0.3*MIN(1,MAX(0,((BN20)-(1.2))/((0.6)-(1.2))))+0.3*BO20)</f>
        <v/>
      </c>
      <c r="BT20" s="19">
        <f>100*(0.5*MIN(1,MAX(0,((AK20)-(1.0))/((4.0)-(1.0))))+0.3*MIN(1,MAX(0,((IF(ISNUMBER(AO20),AO20,0)*100)-(0.0))/((8.0)-(0.0))))+0.2*MIN(1,MAX(0,((IF(ISNUMBER(AP20),AP20,0))-(25.0))/((5.0)-(25.0)))))</f>
        <v/>
      </c>
      <c r="BU20" s="19">
        <f>100*(0.35*MIN(1,MAX(0,((ABS(BF20))-(0.3))/((0.05)-(0.3))))+0.3*MIN(1,MAX(0,((BG20)-(0.0))/((0.3)-(0.0))))+0.25*MIN(1,MAX(0,((BH20)-(0.4))/((0.7)-(0.4))))+0.1*IF(BJ20&gt;=2,1,0.5))</f>
        <v/>
      </c>
      <c r="BV20" s="20">
        <f>0.25*BR20+0.25*BS20+0.2*BT20+0.3*BU20</f>
        <v/>
      </c>
      <c r="BW20" s="5" t="inlineStr">
        <is>
          <t>全部通過</t>
        </is>
      </c>
      <c r="BX20" s="5" t="inlineStr"/>
    </row>
    <row r="21">
      <c r="A21" s="5" t="n">
        <v>1</v>
      </c>
      <c r="B21" s="5" t="n">
        <v>20</v>
      </c>
      <c r="C21" s="6" t="inlineStr">
        <is>
          <t>VSTS</t>
        </is>
      </c>
      <c r="D21" s="5" t="inlineStr">
        <is>
          <t>Vestis Corporation</t>
        </is>
      </c>
      <c r="E21" s="5" t="inlineStr">
        <is>
          <t>NYSE</t>
        </is>
      </c>
      <c r="F21" s="5" t="inlineStr">
        <is>
          <t>非必需消費</t>
        </is>
      </c>
      <c r="G21" s="5" t="inlineStr">
        <is>
          <t>Consumer Specialties</t>
        </is>
      </c>
      <c r="H21" s="7" t="n">
        <v>1.766</v>
      </c>
      <c r="I21" s="5" t="inlineStr">
        <is>
          <t>小型</t>
        </is>
      </c>
      <c r="J21" s="8" t="n">
        <v>14.03</v>
      </c>
      <c r="K21" s="8" t="n">
        <v>13.78</v>
      </c>
      <c r="L21" s="9">
        <f>J21/K21-1</f>
        <v/>
      </c>
      <c r="M21" s="8" t="n">
        <v>14.51</v>
      </c>
      <c r="N21" s="8" t="n">
        <v>13.67</v>
      </c>
      <c r="O21" s="10" t="n">
        <v>1981200</v>
      </c>
      <c r="P21" s="10" t="n">
        <v>1693705</v>
      </c>
      <c r="Q21" s="11">
        <f>O21/P21</f>
        <v/>
      </c>
      <c r="R21" s="8" t="n">
        <v>13.7087</v>
      </c>
      <c r="S21" s="8" t="n">
        <v>13.5821</v>
      </c>
      <c r="T21" s="8" t="n">
        <v>13.5437</v>
      </c>
      <c r="U21" s="9">
        <f>S21/T21-1</f>
        <v/>
      </c>
      <c r="V21" s="12" t="n">
        <v>0.7</v>
      </c>
      <c r="W21" s="9">
        <f>J21/R21-1</f>
        <v/>
      </c>
      <c r="X21" s="9">
        <f>J21/S21-1</f>
        <v/>
      </c>
      <c r="Y21" s="8" t="n">
        <v>0.5673</v>
      </c>
      <c r="Z21" s="13">
        <f>Y21/J21</f>
        <v/>
      </c>
      <c r="AA21" s="11">
        <f>(J21-R21)/Y21</f>
        <v/>
      </c>
      <c r="AB21" s="11">
        <f>(J21-S21)/Y21</f>
        <v/>
      </c>
      <c r="AC21" s="5">
        <f>IF(ABS(AA21)&lt;=ABS(AB21),"9EMA","21EMA")</f>
        <v/>
      </c>
      <c r="AD21" s="5" t="inlineStr">
        <is>
          <t>9+21EMA</t>
        </is>
      </c>
      <c r="AE21" s="5" t="inlineStr">
        <is>
          <t>持續在上方</t>
        </is>
      </c>
      <c r="AF21" s="5" t="inlineStr"/>
      <c r="AG21" s="5" t="inlineStr"/>
      <c r="AH21" s="5" t="inlineStr">
        <is>
          <t>✓</t>
        </is>
      </c>
      <c r="AI21" s="5" t="inlineStr">
        <is>
          <t>2026-09-16</t>
        </is>
      </c>
      <c r="AJ21" s="5" t="n">
        <v>12</v>
      </c>
      <c r="AK21" s="14" t="n">
        <v>3</v>
      </c>
      <c r="AL21" s="5" t="inlineStr">
        <is>
          <t>2026-09-28</t>
        </is>
      </c>
      <c r="AM21" s="8" t="n">
        <v>13.01</v>
      </c>
      <c r="AN21" s="8" t="n">
        <v>12.765</v>
      </c>
      <c r="AO21" s="9">
        <f>IF(ISNUMBER(AN21),AM21/AN21-1,"")</f>
        <v/>
      </c>
      <c r="AP21" s="14" t="n">
        <v>4</v>
      </c>
      <c r="AQ21" s="9">
        <f>IF(ISNUMBER(AM21),J21/AM21-1,"")</f>
        <v/>
      </c>
      <c r="AR21" s="8" t="n">
        <v>14.43</v>
      </c>
      <c r="AS21" s="9">
        <f>J21/AR21-1</f>
        <v/>
      </c>
      <c r="AT21" s="15" t="n">
        <v>0.1085</v>
      </c>
      <c r="AU21" s="15" t="n">
        <v>0.07779999999999999</v>
      </c>
      <c r="AV21" s="15" t="n">
        <v>0.0701</v>
      </c>
      <c r="AW21" s="16">
        <f>AU21-AV21</f>
        <v/>
      </c>
      <c r="AX21" s="15" t="n">
        <v>0.0307</v>
      </c>
      <c r="AY21" s="15" t="n">
        <v>0.0106</v>
      </c>
      <c r="AZ21" s="15" t="n">
        <v>0.002</v>
      </c>
      <c r="BA21" s="5" t="inlineStr">
        <is>
          <t>深綠</t>
        </is>
      </c>
      <c r="BB21" s="5" t="inlineStr">
        <is>
          <t>淺綠→深綠</t>
        </is>
      </c>
      <c r="BC21" s="5" t="n">
        <v>1</v>
      </c>
      <c r="BD21" s="5" t="inlineStr">
        <is>
          <t>淺綠 淺綠 淺綠 淺綠 淺綠 淺綠 深綠 深綠</t>
        </is>
      </c>
      <c r="BE21" s="5" t="inlineStr">
        <is>
          <t>上傾擴張</t>
        </is>
      </c>
      <c r="BF21" s="17" t="n">
        <v>0.6123</v>
      </c>
      <c r="BG21" s="17" t="n">
        <v>0.3722</v>
      </c>
      <c r="BH21" s="17" t="n">
        <v>0.5265</v>
      </c>
      <c r="BI21" s="17" t="n">
        <v>0.5668</v>
      </c>
      <c r="BJ21" s="14" t="n">
        <v>4</v>
      </c>
      <c r="BK21" s="8" t="n">
        <v>14.66</v>
      </c>
      <c r="BL21" s="8" t="n">
        <v>12.07</v>
      </c>
      <c r="BM21" s="8" t="n">
        <v>13.4336</v>
      </c>
      <c r="BN21" s="17" t="n">
        <v>0.7942</v>
      </c>
      <c r="BO21" s="11">
        <f>IF(M21=N21,0.5,(J21-N21)/(M21-N21))</f>
        <v/>
      </c>
      <c r="BP21" s="18" t="n">
        <v>20.324</v>
      </c>
      <c r="BQ21" s="18" t="n">
        <v>15.283</v>
      </c>
      <c r="BR21" s="19">
        <f>100*(0.4*MIN(1,MAX(0,((U21*100)-(0.0))/((2.5)-(0.0))))+0.3*MIN(1,MAX(0,((V21)-(0.6))/((1.0)-(0.6))))+0.3*MIN(1,MAX(0,((BP21)-(0.0))/((15.0)-(0.0)))))</f>
        <v/>
      </c>
      <c r="BS21" s="19">
        <f>100*(0.4*MIN(1,MAX(0,((MIN(ABS(AA21),ABS(AB21)))-(0.75))/((0.0)-(0.75))))+0.3*MIN(1,MAX(0,((BN21)-(1.2))/((0.6)-(1.2))))+0.3*BO21)</f>
        <v/>
      </c>
      <c r="BT21" s="19">
        <f>100*(0.5*MIN(1,MAX(0,((AK21)-(1.0))/((4.0)-(1.0))))+0.3*MIN(1,MAX(0,((IF(ISNUMBER(AO21),AO21,0)*100)-(0.0))/((8.0)-(0.0))))+0.2*MIN(1,MAX(0,((IF(ISNUMBER(AP21),AP21,0))-(25.0))/((5.0)-(25.0)))))</f>
        <v/>
      </c>
      <c r="BU21" s="19">
        <f>100*(0.35*MIN(1,MAX(0,((ABS(BF21))-(0.3))/((0.05)-(0.3))))+0.3*MIN(1,MAX(0,((BG21)-(0.0))/((0.3)-(0.0))))+0.25*MIN(1,MAX(0,((BH21)-(0.4))/((0.7)-(0.4))))+0.1*IF(BJ21&gt;=2,1,0.5))</f>
        <v/>
      </c>
      <c r="BV21" s="20">
        <f>0.25*BR21+0.25*BS21+0.2*BT21+0.3*BU21</f>
        <v/>
      </c>
      <c r="BW21" s="5" t="inlineStr">
        <is>
          <t>全部通過</t>
        </is>
      </c>
      <c r="BX21" s="5" t="inlineStr"/>
    </row>
    <row r="22">
      <c r="A22" s="5" t="n">
        <v>1</v>
      </c>
      <c r="B22" s="5" t="n">
        <v>21</v>
      </c>
      <c r="C22" s="6" t="inlineStr">
        <is>
          <t>GSAT</t>
        </is>
      </c>
      <c r="D22" s="5" t="inlineStr">
        <is>
          <t>Globalstar Inc.</t>
        </is>
      </c>
      <c r="E22" s="5" t="inlineStr">
        <is>
          <t>NASDAQ</t>
        </is>
      </c>
      <c r="F22" s="5" t="inlineStr">
        <is>
          <t>非必需消費</t>
        </is>
      </c>
      <c r="G22" s="5" t="inlineStr">
        <is>
          <t>Telecommunications Equipment</t>
        </is>
      </c>
      <c r="H22" s="7" t="n">
        <v>10.74</v>
      </c>
      <c r="I22" s="5" t="inlineStr">
        <is>
          <t>大型</t>
        </is>
      </c>
      <c r="J22" s="8" t="n">
        <v>83.22</v>
      </c>
      <c r="K22" s="8" t="n">
        <v>82.88</v>
      </c>
      <c r="L22" s="9">
        <f>J22/K22-1</f>
        <v/>
      </c>
      <c r="M22" s="8" t="n">
        <v>83.42</v>
      </c>
      <c r="N22" s="8" t="n">
        <v>83</v>
      </c>
      <c r="O22" s="10" t="n">
        <v>535000</v>
      </c>
      <c r="P22" s="10" t="n">
        <v>565670</v>
      </c>
      <c r="Q22" s="11">
        <f>O22/P22</f>
        <v/>
      </c>
      <c r="R22" s="8" t="n">
        <v>82.7604</v>
      </c>
      <c r="S22" s="8" t="n">
        <v>82.51349999999999</v>
      </c>
      <c r="T22" s="8" t="n">
        <v>82.32470000000001</v>
      </c>
      <c r="U22" s="9">
        <f>S22/T22-1</f>
        <v/>
      </c>
      <c r="V22" s="12" t="n">
        <v>1</v>
      </c>
      <c r="W22" s="9">
        <f>J22/R22-1</f>
        <v/>
      </c>
      <c r="X22" s="9">
        <f>J22/S22-1</f>
        <v/>
      </c>
      <c r="Y22" s="8" t="n">
        <v>0.6496</v>
      </c>
      <c r="Z22" s="13">
        <f>Y22/J22</f>
        <v/>
      </c>
      <c r="AA22" s="11">
        <f>(J22-R22)/Y22</f>
        <v/>
      </c>
      <c r="AB22" s="11">
        <f>(J22-S22)/Y22</f>
        <v/>
      </c>
      <c r="AC22" s="5">
        <f>IF(ABS(AA22)&lt;=ABS(AB22),"9EMA","21EMA")</f>
        <v/>
      </c>
      <c r="AD22" s="5" t="inlineStr">
        <is>
          <t>9+21EMA</t>
        </is>
      </c>
      <c r="AE22" s="5" t="inlineStr">
        <is>
          <t>持續在上方</t>
        </is>
      </c>
      <c r="AF22" s="5" t="inlineStr"/>
      <c r="AG22" s="5" t="inlineStr"/>
      <c r="AH22" s="5" t="inlineStr">
        <is>
          <t>✓</t>
        </is>
      </c>
      <c r="AI22" s="5" t="inlineStr">
        <is>
          <t>2026-09-17</t>
        </is>
      </c>
      <c r="AJ22" s="5" t="n">
        <v>11</v>
      </c>
      <c r="AK22" s="14" t="n">
        <v>4</v>
      </c>
      <c r="AL22" s="5" t="inlineStr">
        <is>
          <t>2026-09-23</t>
        </is>
      </c>
      <c r="AM22" s="8" t="n">
        <v>81.95</v>
      </c>
      <c r="AN22" s="8" t="n">
        <v>81.55</v>
      </c>
      <c r="AO22" s="9">
        <f>IF(ISNUMBER(AN22),AM22/AN22-1,"")</f>
        <v/>
      </c>
      <c r="AP22" s="14" t="n">
        <v>7</v>
      </c>
      <c r="AQ22" s="9">
        <f>IF(ISNUMBER(AM22),J22/AM22-1,"")</f>
        <v/>
      </c>
      <c r="AR22" s="8" t="n">
        <v>83.22</v>
      </c>
      <c r="AS22" s="9">
        <f>J22/AR22-1</f>
        <v/>
      </c>
      <c r="AT22" s="15" t="n">
        <v>0.2467</v>
      </c>
      <c r="AU22" s="15" t="n">
        <v>0.1921</v>
      </c>
      <c r="AV22" s="15" t="n">
        <v>0.1784</v>
      </c>
      <c r="AW22" s="16">
        <f>AU22-AV22</f>
        <v/>
      </c>
      <c r="AX22" s="15" t="n">
        <v>0.0547</v>
      </c>
      <c r="AY22" s="15" t="n">
        <v>0.0334</v>
      </c>
      <c r="AZ22" s="15" t="n">
        <v>0.0286</v>
      </c>
      <c r="BA22" s="5" t="inlineStr">
        <is>
          <t>深綠</t>
        </is>
      </c>
      <c r="BB22" s="5" t="inlineStr">
        <is>
          <t>淺綠→深綠</t>
        </is>
      </c>
      <c r="BC22" s="5" t="n">
        <v>2</v>
      </c>
      <c r="BD22" s="5" t="inlineStr">
        <is>
          <t>淺綠 淺綠 深綠 淺綠 淺綠 深綠 深綠 深綠</t>
        </is>
      </c>
      <c r="BE22" s="5" t="inlineStr">
        <is>
          <t>上升三角（平頂）</t>
        </is>
      </c>
      <c r="BF22" s="17" t="n">
        <v>0.0906</v>
      </c>
      <c r="BG22" s="17" t="n">
        <v>0.0757</v>
      </c>
      <c r="BH22" s="17" t="n">
        <v>0.5308</v>
      </c>
      <c r="BI22" s="17" t="n">
        <v>0.4994</v>
      </c>
      <c r="BJ22" s="14" t="n">
        <v>19</v>
      </c>
      <c r="BK22" s="8" t="n">
        <v>83.42</v>
      </c>
      <c r="BL22" s="8" t="n">
        <v>81.02</v>
      </c>
      <c r="BM22" s="8" t="n">
        <v>82.294</v>
      </c>
      <c r="BN22" s="17" t="n">
        <v>1.1639</v>
      </c>
      <c r="BO22" s="11">
        <f>IF(M22=N22,0.5,(J22-N22)/(M22-N22))</f>
        <v/>
      </c>
      <c r="BP22" s="18" t="n">
        <v>7.202</v>
      </c>
      <c r="BQ22" s="18" t="n">
        <v>2.161</v>
      </c>
      <c r="BR22" s="19">
        <f>100*(0.4*MIN(1,MAX(0,((U22*100)-(0.0))/((2.5)-(0.0))))+0.3*MIN(1,MAX(0,((V22)-(0.6))/((1.0)-(0.6))))+0.3*MIN(1,MAX(0,((BP22)-(0.0))/((15.0)-(0.0)))))</f>
        <v/>
      </c>
      <c r="BS22" s="19">
        <f>100*(0.4*MIN(1,MAX(0,((MIN(ABS(AA22),ABS(AB22)))-(0.75))/((0.0)-(0.75))))+0.3*MIN(1,MAX(0,((BN22)-(1.2))/((0.6)-(1.2))))+0.3*BO22)</f>
        <v/>
      </c>
      <c r="BT22" s="19">
        <f>100*(0.5*MIN(1,MAX(0,((AK22)-(1.0))/((4.0)-(1.0))))+0.3*MIN(1,MAX(0,((IF(ISNUMBER(AO22),AO22,0)*100)-(0.0))/((8.0)-(0.0))))+0.2*MIN(1,MAX(0,((IF(ISNUMBER(AP22),AP22,0))-(25.0))/((5.0)-(25.0)))))</f>
        <v/>
      </c>
      <c r="BU22" s="19">
        <f>100*(0.35*MIN(1,MAX(0,((ABS(BF22))-(0.3))/((0.05)-(0.3))))+0.3*MIN(1,MAX(0,((BG22)-(0.0))/((0.3)-(0.0))))+0.25*MIN(1,MAX(0,((BH22)-(0.4))/((0.7)-(0.4))))+0.1*IF(BJ22&gt;=2,1,0.5))</f>
        <v/>
      </c>
      <c r="BV22" s="20">
        <f>0.25*BR22+0.25*BS22+0.2*BT22+0.3*BU22</f>
        <v/>
      </c>
      <c r="BW22" s="5" t="inlineStr">
        <is>
          <t>全部通過</t>
        </is>
      </c>
      <c r="BX22" s="5" t="inlineStr"/>
    </row>
    <row r="23">
      <c r="A23" s="5" t="n">
        <v>1</v>
      </c>
      <c r="B23" s="5" t="n">
        <v>22</v>
      </c>
      <c r="C23" s="6" t="inlineStr">
        <is>
          <t>EGBN</t>
        </is>
      </c>
      <c r="D23" s="5" t="inlineStr">
        <is>
          <t>Eagle Bancorp Inc.</t>
        </is>
      </c>
      <c r="E23" s="5" t="inlineStr">
        <is>
          <t>NASDAQ</t>
        </is>
      </c>
      <c r="F23" s="5" t="inlineStr">
        <is>
          <t>金融</t>
        </is>
      </c>
      <c r="G23" s="5" t="inlineStr">
        <is>
          <t>Major Banks</t>
        </is>
      </c>
      <c r="H23" s="7" t="n">
        <v>0.847</v>
      </c>
      <c r="I23" s="5" t="inlineStr">
        <is>
          <t>小型</t>
        </is>
      </c>
      <c r="J23" s="8" t="n">
        <v>28.38</v>
      </c>
      <c r="K23" s="8" t="n">
        <v>28.21</v>
      </c>
      <c r="L23" s="9">
        <f>J23/K23-1</f>
        <v/>
      </c>
      <c r="M23" s="8" t="n">
        <v>28.96</v>
      </c>
      <c r="N23" s="8" t="n">
        <v>28.25</v>
      </c>
      <c r="O23" s="10" t="n">
        <v>208200</v>
      </c>
      <c r="P23" s="10" t="n">
        <v>336765</v>
      </c>
      <c r="Q23" s="11">
        <f>O23/P23</f>
        <v/>
      </c>
      <c r="R23" s="8" t="n">
        <v>28.1745</v>
      </c>
      <c r="S23" s="8" t="n">
        <v>28.0807</v>
      </c>
      <c r="T23" s="8" t="n">
        <v>28.0312</v>
      </c>
      <c r="U23" s="9">
        <f>S23/T23-1</f>
        <v/>
      </c>
      <c r="V23" s="12" t="n">
        <v>0.8</v>
      </c>
      <c r="W23" s="9">
        <f>J23/R23-1</f>
        <v/>
      </c>
      <c r="X23" s="9">
        <f>J23/S23-1</f>
        <v/>
      </c>
      <c r="Y23" s="8" t="n">
        <v>0.6667999999999999</v>
      </c>
      <c r="Z23" s="13">
        <f>Y23/J23</f>
        <v/>
      </c>
      <c r="AA23" s="11">
        <f>(J23-R23)/Y23</f>
        <v/>
      </c>
      <c r="AB23" s="11">
        <f>(J23-S23)/Y23</f>
        <v/>
      </c>
      <c r="AC23" s="5">
        <f>IF(ABS(AA23)&lt;=ABS(AB23),"9EMA","21EMA")</f>
        <v/>
      </c>
      <c r="AD23" s="5" t="inlineStr">
        <is>
          <t>9+21EMA</t>
        </is>
      </c>
      <c r="AE23" s="5" t="inlineStr">
        <is>
          <t>持續在上方</t>
        </is>
      </c>
      <c r="AF23" s="5" t="inlineStr"/>
      <c r="AG23" s="5" t="inlineStr"/>
      <c r="AH23" s="5" t="inlineStr">
        <is>
          <t>✓</t>
        </is>
      </c>
      <c r="AI23" s="5" t="inlineStr">
        <is>
          <t>2026-09-15</t>
        </is>
      </c>
      <c r="AJ23" s="5" t="n">
        <v>13</v>
      </c>
      <c r="AK23" s="14" t="n">
        <v>2</v>
      </c>
      <c r="AL23" s="5" t="inlineStr">
        <is>
          <t>2026-09-10</t>
        </is>
      </c>
      <c r="AM23" s="8" t="n">
        <v>27.12</v>
      </c>
      <c r="AN23" s="8" t="n">
        <v>26.52</v>
      </c>
      <c r="AO23" s="9">
        <f>IF(ISNUMBER(AN23),AM23/AN23-1,"")</f>
        <v/>
      </c>
      <c r="AP23" s="14" t="n">
        <v>16</v>
      </c>
      <c r="AQ23" s="9">
        <f>IF(ISNUMBER(AM23),J23/AM23-1,"")</f>
        <v/>
      </c>
      <c r="AR23" s="8" t="n">
        <v>28.54</v>
      </c>
      <c r="AS23" s="9">
        <f>J23/AR23-1</f>
        <v/>
      </c>
      <c r="AT23" s="15" t="n">
        <v>0.0984</v>
      </c>
      <c r="AU23" s="15" t="n">
        <v>0.0887</v>
      </c>
      <c r="AV23" s="15" t="n">
        <v>0.0863</v>
      </c>
      <c r="AW23" s="16">
        <f>AU23-AV23</f>
        <v/>
      </c>
      <c r="AX23" s="15" t="n">
        <v>0.0097</v>
      </c>
      <c r="AY23" s="15" t="n">
        <v>-0.0035</v>
      </c>
      <c r="AZ23" s="15" t="n">
        <v>-0.008200000000000001</v>
      </c>
      <c r="BA23" s="5" t="inlineStr">
        <is>
          <t>深綠</t>
        </is>
      </c>
      <c r="BB23" s="5" t="inlineStr">
        <is>
          <t>深紅→淺紅</t>
        </is>
      </c>
      <c r="BC23" s="5" t="n">
        <v>1</v>
      </c>
      <c r="BD23" s="5" t="inlineStr">
        <is>
          <t>淺綠 深綠 深綠 深綠 淺綠 深紅 淺紅 深綠</t>
        </is>
      </c>
      <c r="BE23" s="5" t="inlineStr">
        <is>
          <t>上傾收窄（楔形）</t>
        </is>
      </c>
      <c r="BF23" s="17" t="n">
        <v>0.1857</v>
      </c>
      <c r="BG23" s="17" t="n">
        <v>0.3524</v>
      </c>
      <c r="BH23" s="17" t="n">
        <v>0.6051</v>
      </c>
      <c r="BI23" s="17" t="n">
        <v>0.6964</v>
      </c>
      <c r="BJ23" s="14" t="n">
        <v>5</v>
      </c>
      <c r="BK23" s="8" t="n">
        <v>28.99</v>
      </c>
      <c r="BL23" s="8" t="n">
        <v>26.52</v>
      </c>
      <c r="BM23" s="8" t="n">
        <v>28.0147</v>
      </c>
      <c r="BN23" s="17" t="n">
        <v>0.9716</v>
      </c>
      <c r="BO23" s="11">
        <f>IF(M23=N23,0.5,(J23-N23)/(M23-N23))</f>
        <v/>
      </c>
      <c r="BP23" s="18" t="n">
        <v>7.496</v>
      </c>
      <c r="BQ23" s="18" t="n">
        <v>2.455</v>
      </c>
      <c r="BR23" s="19">
        <f>100*(0.4*MIN(1,MAX(0,((U23*100)-(0.0))/((2.5)-(0.0))))+0.3*MIN(1,MAX(0,((V23)-(0.6))/((1.0)-(0.6))))+0.3*MIN(1,MAX(0,((BP23)-(0.0))/((15.0)-(0.0)))))</f>
        <v/>
      </c>
      <c r="BS23" s="19">
        <f>100*(0.4*MIN(1,MAX(0,((MIN(ABS(AA23),ABS(AB23)))-(0.75))/((0.0)-(0.75))))+0.3*MIN(1,MAX(0,((BN23)-(1.2))/((0.6)-(1.2))))+0.3*BO23)</f>
        <v/>
      </c>
      <c r="BT23" s="19">
        <f>100*(0.5*MIN(1,MAX(0,((AK23)-(1.0))/((4.0)-(1.0))))+0.3*MIN(1,MAX(0,((IF(ISNUMBER(AO23),AO23,0)*100)-(0.0))/((8.0)-(0.0))))+0.2*MIN(1,MAX(0,((IF(ISNUMBER(AP23),AP23,0))-(25.0))/((5.0)-(25.0)))))</f>
        <v/>
      </c>
      <c r="BU23" s="19">
        <f>100*(0.35*MIN(1,MAX(0,((ABS(BF23))-(0.3))/((0.05)-(0.3))))+0.3*MIN(1,MAX(0,((BG23)-(0.0))/((0.3)-(0.0))))+0.25*MIN(1,MAX(0,((BH23)-(0.4))/((0.7)-(0.4))))+0.1*IF(BJ23&gt;=2,1,0.5))</f>
        <v/>
      </c>
      <c r="BV23" s="20">
        <f>0.25*BR23+0.25*BS23+0.2*BT23+0.3*BU23</f>
        <v/>
      </c>
      <c r="BW23" s="5" t="inlineStr">
        <is>
          <t>全部通過</t>
        </is>
      </c>
      <c r="BX23" s="5" t="inlineStr"/>
    </row>
    <row r="24">
      <c r="A24" s="5" t="n">
        <v>1</v>
      </c>
      <c r="B24" s="5" t="n">
        <v>23</v>
      </c>
      <c r="C24" s="6" t="inlineStr">
        <is>
          <t>APXT</t>
        </is>
      </c>
      <c r="D24" s="5" t="inlineStr">
        <is>
          <t>Apex Treasury Corporation</t>
        </is>
      </c>
      <c r="E24" s="5" t="inlineStr">
        <is>
          <t>NASDAQ</t>
        </is>
      </c>
      <c r="F24" s="5" t="inlineStr">
        <is>
          <t>金融</t>
        </is>
      </c>
      <c r="G24" s="5" t="inlineStr">
        <is>
          <t>Blank Checks</t>
        </is>
      </c>
      <c r="H24" s="7" t="n"/>
      <c r="I24" s="5" t="inlineStr">
        <is>
          <t>未分類</t>
        </is>
      </c>
      <c r="J24" s="8" t="n">
        <v>10.15</v>
      </c>
      <c r="K24" s="8" t="n">
        <v>10.15</v>
      </c>
      <c r="L24" s="9">
        <f>J24/K24-1</f>
        <v/>
      </c>
      <c r="M24" s="8" t="n">
        <v>10.15</v>
      </c>
      <c r="N24" s="8" t="n">
        <v>10.14</v>
      </c>
      <c r="O24" s="10" t="n">
        <v>214300</v>
      </c>
      <c r="P24" s="10" t="n">
        <v>146760</v>
      </c>
      <c r="Q24" s="11">
        <f>O24/P24</f>
        <v/>
      </c>
      <c r="R24" s="8" t="n">
        <v>10.1407</v>
      </c>
      <c r="S24" s="8" t="n">
        <v>10.1354</v>
      </c>
      <c r="T24" s="8" t="n">
        <v>10.131</v>
      </c>
      <c r="U24" s="9">
        <f>S24/T24-1</f>
        <v/>
      </c>
      <c r="V24" s="12" t="n">
        <v>0.8</v>
      </c>
      <c r="W24" s="9">
        <f>J24/R24-1</f>
        <v/>
      </c>
      <c r="X24" s="9">
        <f>J24/S24-1</f>
        <v/>
      </c>
      <c r="Y24" s="8" t="n">
        <v>0.0126</v>
      </c>
      <c r="Z24" s="13">
        <f>Y24/J24</f>
        <v/>
      </c>
      <c r="AA24" s="11">
        <f>(J24-R24)/Y24</f>
        <v/>
      </c>
      <c r="AB24" s="11">
        <f>(J24-S24)/Y24</f>
        <v/>
      </c>
      <c r="AC24" s="5">
        <f>IF(ABS(AA24)&lt;=ABS(AB24),"9EMA","21EMA")</f>
        <v/>
      </c>
      <c r="AD24" s="5" t="inlineStr">
        <is>
          <t>9+21EMA</t>
        </is>
      </c>
      <c r="AE24" s="5" t="inlineStr">
        <is>
          <t>持續在上方</t>
        </is>
      </c>
      <c r="AF24" s="5" t="inlineStr"/>
      <c r="AG24" s="5" t="inlineStr"/>
      <c r="AH24" s="5" t="inlineStr">
        <is>
          <t>✓</t>
        </is>
      </c>
      <c r="AI24" s="5" t="inlineStr">
        <is>
          <t>2026-04-06</t>
        </is>
      </c>
      <c r="AJ24" s="5" t="n">
        <v>125</v>
      </c>
      <c r="AK24" s="14" t="n">
        <v>3</v>
      </c>
      <c r="AL24" s="5" t="inlineStr">
        <is>
          <t>2026-09-29</t>
        </is>
      </c>
      <c r="AM24" s="8" t="n">
        <v>10.13</v>
      </c>
      <c r="AN24" s="8" t="n">
        <v>10.12</v>
      </c>
      <c r="AO24" s="9">
        <f>IF(ISNUMBER(AN24),AM24/AN24-1,"")</f>
        <v/>
      </c>
      <c r="AP24" s="14" t="n">
        <v>3</v>
      </c>
      <c r="AQ24" s="9">
        <f>IF(ISNUMBER(AM24),J24/AM24-1,"")</f>
        <v/>
      </c>
      <c r="AR24" s="8" t="n">
        <v>10.15</v>
      </c>
      <c r="AS24" s="9">
        <f>J24/AR24-1</f>
        <v/>
      </c>
      <c r="AT24" s="15" t="n">
        <v>0.0062</v>
      </c>
      <c r="AU24" s="15" t="n">
        <v>0.006</v>
      </c>
      <c r="AV24" s="15" t="n">
        <v>0.0059</v>
      </c>
      <c r="AW24" s="16">
        <f>AU24-AV24</f>
        <v/>
      </c>
      <c r="AX24" s="15" t="n">
        <v>0.0002</v>
      </c>
      <c r="AY24" s="15" t="n">
        <v>-0.0003</v>
      </c>
      <c r="AZ24" s="15" t="n">
        <v>-0.0012</v>
      </c>
      <c r="BA24" s="5" t="inlineStr">
        <is>
          <t>深綠</t>
        </is>
      </c>
      <c r="BB24" s="5" t="inlineStr">
        <is>
          <t>深紅→淺紅</t>
        </is>
      </c>
      <c r="BC24" s="5" t="n">
        <v>1</v>
      </c>
      <c r="BD24" s="5" t="inlineStr">
        <is>
          <t>深紅 淺紅 淺紅 淺紅 淺紅 深紅 淺紅 深綠</t>
        </is>
      </c>
      <c r="BE24" s="5" t="inlineStr">
        <is>
          <t>上升三角（平頂）</t>
        </is>
      </c>
      <c r="BF24" s="17" t="n">
        <v>0</v>
      </c>
      <c r="BG24" s="17" t="n">
        <v>0.0164</v>
      </c>
      <c r="BH24" s="17" t="n">
        <v>0.5571</v>
      </c>
      <c r="BI24" s="17" t="n">
        <v>0.5571</v>
      </c>
      <c r="BJ24" s="14" t="n">
        <v>25</v>
      </c>
      <c r="BK24" s="8" t="n">
        <v>10.15</v>
      </c>
      <c r="BL24" s="8" t="n">
        <v>10.12</v>
      </c>
      <c r="BM24" s="8" t="n">
        <v>10.1367</v>
      </c>
      <c r="BN24" s="17" t="n">
        <v>1.0407</v>
      </c>
      <c r="BO24" s="11">
        <f>IF(M24=N24,0.5,(J24-N24)/(M24-N24))</f>
        <v/>
      </c>
      <c r="BP24" s="18" t="n">
        <v>5.288</v>
      </c>
      <c r="BQ24" s="18" t="n">
        <v>0.247</v>
      </c>
      <c r="BR24" s="19">
        <f>100*(0.4*MIN(1,MAX(0,((U24*100)-(0.0))/((2.5)-(0.0))))+0.3*MIN(1,MAX(0,((V24)-(0.6))/((1.0)-(0.6))))+0.3*MIN(1,MAX(0,((BP24)-(0.0))/((15.0)-(0.0)))))</f>
        <v/>
      </c>
      <c r="BS24" s="19">
        <f>100*(0.4*MIN(1,MAX(0,((MIN(ABS(AA24),ABS(AB24)))-(0.75))/((0.0)-(0.75))))+0.3*MIN(1,MAX(0,((BN24)-(1.2))/((0.6)-(1.2))))+0.3*BO24)</f>
        <v/>
      </c>
      <c r="BT24" s="19">
        <f>100*(0.5*MIN(1,MAX(0,((AK24)-(1.0))/((4.0)-(1.0))))+0.3*MIN(1,MAX(0,((IF(ISNUMBER(AO24),AO24,0)*100)-(0.0))/((8.0)-(0.0))))+0.2*MIN(1,MAX(0,((IF(ISNUMBER(AP24),AP24,0))-(25.0))/((5.0)-(25.0)))))</f>
        <v/>
      </c>
      <c r="BU24" s="19">
        <f>100*(0.35*MIN(1,MAX(0,((ABS(BF24))-(0.3))/((0.05)-(0.3))))+0.3*MIN(1,MAX(0,((BG24)-(0.0))/((0.3)-(0.0))))+0.25*MIN(1,MAX(0,((BH24)-(0.4))/((0.7)-(0.4))))+0.1*IF(BJ24&gt;=2,1,0.5))</f>
        <v/>
      </c>
      <c r="BV24" s="20">
        <f>0.25*BR24+0.25*BS24+0.2*BT24+0.3*BU24</f>
        <v/>
      </c>
      <c r="BW24" s="5" t="inlineStr">
        <is>
          <t>全部通過</t>
        </is>
      </c>
      <c r="BX24" s="5" t="inlineStr"/>
    </row>
    <row r="25">
      <c r="A25" s="5" t="n">
        <v>1</v>
      </c>
      <c r="B25" s="5" t="n">
        <v>24</v>
      </c>
      <c r="C25" s="6" t="inlineStr">
        <is>
          <t>OPY</t>
        </is>
      </c>
      <c r="D25" s="5" t="inlineStr">
        <is>
          <t>Oppenheimer Holdings Inc.</t>
        </is>
      </c>
      <c r="E25" s="5" t="inlineStr">
        <is>
          <t>NYSE</t>
        </is>
      </c>
      <c r="F25" s="5" t="inlineStr">
        <is>
          <t>金融</t>
        </is>
      </c>
      <c r="G25" s="5" t="inlineStr">
        <is>
          <t>Investment Bankers/Brokers/Service</t>
        </is>
      </c>
      <c r="H25" s="7" t="n">
        <v>1.263</v>
      </c>
      <c r="I25" s="5" t="inlineStr">
        <is>
          <t>小型</t>
        </is>
      </c>
      <c r="J25" s="8" t="n">
        <v>120.13</v>
      </c>
      <c r="K25" s="8" t="n">
        <v>119.47</v>
      </c>
      <c r="L25" s="9">
        <f>J25/K25-1</f>
        <v/>
      </c>
      <c r="M25" s="8" t="n">
        <v>124.02</v>
      </c>
      <c r="N25" s="8" t="n">
        <v>119.91</v>
      </c>
      <c r="O25" s="10" t="n">
        <v>185000</v>
      </c>
      <c r="P25" s="10" t="n">
        <v>122170</v>
      </c>
      <c r="Q25" s="11">
        <f>O25/P25</f>
        <v/>
      </c>
      <c r="R25" s="8" t="n">
        <v>118.7478</v>
      </c>
      <c r="S25" s="8" t="n">
        <v>118.3189</v>
      </c>
      <c r="T25" s="8" t="n">
        <v>117.7539</v>
      </c>
      <c r="U25" s="9">
        <f>S25/T25-1</f>
        <v/>
      </c>
      <c r="V25" s="12" t="n">
        <v>0.7</v>
      </c>
      <c r="W25" s="9">
        <f>J25/R25-1</f>
        <v/>
      </c>
      <c r="X25" s="9">
        <f>J25/S25-1</f>
        <v/>
      </c>
      <c r="Y25" s="8" t="n">
        <v>4.7074</v>
      </c>
      <c r="Z25" s="13">
        <f>Y25/J25</f>
        <v/>
      </c>
      <c r="AA25" s="11">
        <f>(J25-R25)/Y25</f>
        <v/>
      </c>
      <c r="AB25" s="11">
        <f>(J25-S25)/Y25</f>
        <v/>
      </c>
      <c r="AC25" s="5">
        <f>IF(ABS(AA25)&lt;=ABS(AB25),"9EMA","21EMA")</f>
        <v/>
      </c>
      <c r="AD25" s="5" t="inlineStr">
        <is>
          <t>9+21EMA</t>
        </is>
      </c>
      <c r="AE25" s="21" t="inlineStr">
        <is>
          <t>剛黃金交叉</t>
        </is>
      </c>
      <c r="AF25" s="5" t="inlineStr">
        <is>
          <t>✓</t>
        </is>
      </c>
      <c r="AG25" s="5" t="inlineStr"/>
      <c r="AH25" s="5" t="inlineStr">
        <is>
          <t>✓</t>
        </is>
      </c>
      <c r="AI25" s="5" t="inlineStr">
        <is>
          <t>2026-09-28</t>
        </is>
      </c>
      <c r="AJ25" s="5" t="n">
        <v>4</v>
      </c>
      <c r="AK25" s="14" t="n">
        <v>2</v>
      </c>
      <c r="AL25" s="5" t="inlineStr">
        <is>
          <t>2026-09-22</t>
        </is>
      </c>
      <c r="AM25" s="8" t="n">
        <v>111.05</v>
      </c>
      <c r="AN25" s="8" t="n">
        <v>110.35</v>
      </c>
      <c r="AO25" s="9">
        <f>IF(ISNUMBER(AN25),AM25/AN25-1,"")</f>
        <v/>
      </c>
      <c r="AP25" s="14" t="n">
        <v>8</v>
      </c>
      <c r="AQ25" s="9">
        <f>IF(ISNUMBER(AM25),J25/AM25-1,"")</f>
        <v/>
      </c>
      <c r="AR25" s="8" t="n">
        <v>123.29</v>
      </c>
      <c r="AS25" s="9">
        <f>J25/AR25-1</f>
        <v/>
      </c>
      <c r="AT25" s="15" t="n">
        <v>0.5409</v>
      </c>
      <c r="AU25" s="15" t="n">
        <v>0.497</v>
      </c>
      <c r="AV25" s="15" t="n">
        <v>0.486</v>
      </c>
      <c r="AW25" s="16">
        <f>AU25-AV25</f>
        <v/>
      </c>
      <c r="AX25" s="15" t="n">
        <v>0.0439</v>
      </c>
      <c r="AY25" s="15" t="n">
        <v>-0.0564</v>
      </c>
      <c r="AZ25" s="15" t="n">
        <v>-0.1516</v>
      </c>
      <c r="BA25" s="5" t="inlineStr">
        <is>
          <t>深綠</t>
        </is>
      </c>
      <c r="BB25" s="5" t="inlineStr">
        <is>
          <t>深紅→淺紅</t>
        </is>
      </c>
      <c r="BC25" s="5" t="n">
        <v>1</v>
      </c>
      <c r="BD25" s="5" t="inlineStr">
        <is>
          <t>淺紅 淺紅 淺紅 淺紅 淺紅 深紅 淺紅 深綠</t>
        </is>
      </c>
      <c r="BE25" s="5" t="inlineStr">
        <is>
          <t>上升三角（平頂）</t>
        </is>
      </c>
      <c r="BF25" s="17" t="n">
        <v>0.0419</v>
      </c>
      <c r="BG25" s="17" t="n">
        <v>0.1457</v>
      </c>
      <c r="BH25" s="17" t="n">
        <v>0.5496</v>
      </c>
      <c r="BI25" s="17" t="n">
        <v>0.5039</v>
      </c>
      <c r="BJ25" s="14" t="n">
        <v>8</v>
      </c>
      <c r="BK25" s="8" t="n">
        <v>125.88</v>
      </c>
      <c r="BL25" s="8" t="n">
        <v>110.35</v>
      </c>
      <c r="BM25" s="8" t="n">
        <v>118.886</v>
      </c>
      <c r="BN25" s="17" t="n">
        <v>1.0601</v>
      </c>
      <c r="BO25" s="11">
        <f>IF(M25=N25,0.5,(J25-N25)/(M25-N25))</f>
        <v/>
      </c>
      <c r="BP25" s="18" t="n">
        <v>7.401</v>
      </c>
      <c r="BQ25" s="18" t="n">
        <v>2.36</v>
      </c>
      <c r="BR25" s="19">
        <f>100*(0.4*MIN(1,MAX(0,((U25*100)-(0.0))/((2.5)-(0.0))))+0.3*MIN(1,MAX(0,((V25)-(0.6))/((1.0)-(0.6))))+0.3*MIN(1,MAX(0,((BP25)-(0.0))/((15.0)-(0.0)))))</f>
        <v/>
      </c>
      <c r="BS25" s="19">
        <f>100*(0.4*MIN(1,MAX(0,((MIN(ABS(AA25),ABS(AB25)))-(0.75))/((0.0)-(0.75))))+0.3*MIN(1,MAX(0,((BN25)-(1.2))/((0.6)-(1.2))))+0.3*BO25)</f>
        <v/>
      </c>
      <c r="BT25" s="19">
        <f>100*(0.5*MIN(1,MAX(0,((AK25)-(1.0))/((4.0)-(1.0))))+0.3*MIN(1,MAX(0,((IF(ISNUMBER(AO25),AO25,0)*100)-(0.0))/((8.0)-(0.0))))+0.2*MIN(1,MAX(0,((IF(ISNUMBER(AP25),AP25,0))-(25.0))/((5.0)-(25.0)))))</f>
        <v/>
      </c>
      <c r="BU25" s="19">
        <f>100*(0.35*MIN(1,MAX(0,((ABS(BF25))-(0.3))/((0.05)-(0.3))))+0.3*MIN(1,MAX(0,((BG25)-(0.0))/((0.3)-(0.0))))+0.25*MIN(1,MAX(0,((BH25)-(0.4))/((0.7)-(0.4))))+0.1*IF(BJ25&gt;=2,1,0.5))</f>
        <v/>
      </c>
      <c r="BV25" s="20">
        <f>0.25*BR25+0.25*BS25+0.2*BT25+0.3*BU25</f>
        <v/>
      </c>
      <c r="BW25" s="5" t="inlineStr">
        <is>
          <t>全部通過</t>
        </is>
      </c>
      <c r="BX25" s="5" t="inlineStr"/>
    </row>
    <row r="26">
      <c r="A26" s="5" t="n">
        <v>1</v>
      </c>
      <c r="B26" s="5" t="n">
        <v>25</v>
      </c>
      <c r="C26" s="6" t="inlineStr">
        <is>
          <t>TRNS</t>
        </is>
      </c>
      <c r="D26" s="5" t="inlineStr">
        <is>
          <t>Transcat Inc.</t>
        </is>
      </c>
      <c r="E26" s="5" t="inlineStr">
        <is>
          <t>NASDAQ</t>
        </is>
      </c>
      <c r="F26" s="5" t="inlineStr">
        <is>
          <t>工業</t>
        </is>
      </c>
      <c r="G26" s="5" t="inlineStr">
        <is>
          <t>Electrical Products</t>
        </is>
      </c>
      <c r="H26" s="7" t="n">
        <v>0.83</v>
      </c>
      <c r="I26" s="5" t="inlineStr">
        <is>
          <t>小型</t>
        </is>
      </c>
      <c r="J26" s="8" t="n">
        <v>90.39</v>
      </c>
      <c r="K26" s="8" t="n">
        <v>90.18000000000001</v>
      </c>
      <c r="L26" s="9">
        <f>J26/K26-1</f>
        <v/>
      </c>
      <c r="M26" s="8" t="n">
        <v>92.48999999999999</v>
      </c>
      <c r="N26" s="8" t="n">
        <v>89.8</v>
      </c>
      <c r="O26" s="10" t="n">
        <v>101200</v>
      </c>
      <c r="P26" s="10" t="n">
        <v>122430</v>
      </c>
      <c r="Q26" s="11">
        <f>O26/P26</f>
        <v/>
      </c>
      <c r="R26" s="8" t="n">
        <v>88.34180000000001</v>
      </c>
      <c r="S26" s="8" t="n">
        <v>87.5059</v>
      </c>
      <c r="T26" s="8" t="n">
        <v>86.76560000000001</v>
      </c>
      <c r="U26" s="9">
        <f>S26/T26-1</f>
        <v/>
      </c>
      <c r="V26" s="12" t="n">
        <v>0.8</v>
      </c>
      <c r="W26" s="9">
        <f>J26/R26-1</f>
        <v/>
      </c>
      <c r="X26" s="9">
        <f>J26/S26-1</f>
        <v/>
      </c>
      <c r="Y26" s="8" t="n">
        <v>3.4718</v>
      </c>
      <c r="Z26" s="13">
        <f>Y26/J26</f>
        <v/>
      </c>
      <c r="AA26" s="11">
        <f>(J26-R26)/Y26</f>
        <v/>
      </c>
      <c r="AB26" s="11">
        <f>(J26-S26)/Y26</f>
        <v/>
      </c>
      <c r="AC26" s="5">
        <f>IF(ABS(AA26)&lt;=ABS(AB26),"9EMA","21EMA")</f>
        <v/>
      </c>
      <c r="AD26" s="5" t="inlineStr">
        <is>
          <t>9+21EMA</t>
        </is>
      </c>
      <c r="AE26" s="5" t="inlineStr">
        <is>
          <t>持續在上方</t>
        </is>
      </c>
      <c r="AF26" s="5" t="inlineStr"/>
      <c r="AG26" s="5" t="inlineStr"/>
      <c r="AH26" s="5" t="inlineStr">
        <is>
          <t>✓</t>
        </is>
      </c>
      <c r="AI26" s="5" t="inlineStr">
        <is>
          <t>2026-09-23</t>
        </is>
      </c>
      <c r="AJ26" s="5" t="n">
        <v>7</v>
      </c>
      <c r="AK26" s="14" t="n">
        <v>2</v>
      </c>
      <c r="AL26" s="5" t="inlineStr">
        <is>
          <t>2026-09-28</t>
        </is>
      </c>
      <c r="AM26" s="8" t="n">
        <v>83.5</v>
      </c>
      <c r="AN26" s="8" t="n">
        <v>79.68000000000001</v>
      </c>
      <c r="AO26" s="9">
        <f>IF(ISNUMBER(AN26),AM26/AN26-1,"")</f>
        <v/>
      </c>
      <c r="AP26" s="14" t="n">
        <v>4</v>
      </c>
      <c r="AQ26" s="9">
        <f>IF(ISNUMBER(AM26),J26/AM26-1,"")</f>
        <v/>
      </c>
      <c r="AR26" s="8" t="n">
        <v>91.83</v>
      </c>
      <c r="AS26" s="9">
        <f>J26/AR26-1</f>
        <v/>
      </c>
      <c r="AT26" s="15" t="n">
        <v>0.4725</v>
      </c>
      <c r="AU26" s="15" t="n">
        <v>-0.1513</v>
      </c>
      <c r="AV26" s="15" t="n">
        <v>-0.3072</v>
      </c>
      <c r="AW26" s="16">
        <f>AU26-AV26</f>
        <v/>
      </c>
      <c r="AX26" s="15" t="n">
        <v>0.6237</v>
      </c>
      <c r="AY26" s="15" t="n">
        <v>0.5697</v>
      </c>
      <c r="AZ26" s="15" t="n">
        <v>0.4617</v>
      </c>
      <c r="BA26" s="5" t="inlineStr">
        <is>
          <t>深綠</t>
        </is>
      </c>
      <c r="BB26" s="5" t="inlineStr">
        <is>
          <t>淺綠→深綠</t>
        </is>
      </c>
      <c r="BC26" s="5" t="n">
        <v>2</v>
      </c>
      <c r="BD26" s="5" t="inlineStr">
        <is>
          <t>深綠 淺綠 淺綠 淺綠 淺綠 深綠 深綠 深綠</t>
        </is>
      </c>
      <c r="BE26" s="5" t="inlineStr">
        <is>
          <t>上傾擴張</t>
        </is>
      </c>
      <c r="BF26" s="17" t="n">
        <v>0.54</v>
      </c>
      <c r="BG26" s="17" t="n">
        <v>0.1624</v>
      </c>
      <c r="BH26" s="17" t="n">
        <v>0.5333</v>
      </c>
      <c r="BI26" s="17" t="n">
        <v>0.5089</v>
      </c>
      <c r="BJ26" s="14" t="n">
        <v>5</v>
      </c>
      <c r="BK26" s="8" t="n">
        <v>92.48999999999999</v>
      </c>
      <c r="BL26" s="8" t="n">
        <v>79.68000000000001</v>
      </c>
      <c r="BM26" s="8" t="n">
        <v>86.5111</v>
      </c>
      <c r="BN26" s="17" t="n">
        <v>1.1669</v>
      </c>
      <c r="BO26" s="11">
        <f>IF(M26=N26,0.5,(J26-N26)/(M26-N26))</f>
        <v/>
      </c>
      <c r="BP26" s="18" t="n">
        <v>10.686</v>
      </c>
      <c r="BQ26" s="18" t="n">
        <v>5.645</v>
      </c>
      <c r="BR26" s="19">
        <f>100*(0.4*MIN(1,MAX(0,((U26*100)-(0.0))/((2.5)-(0.0))))+0.3*MIN(1,MAX(0,((V26)-(0.6))/((1.0)-(0.6))))+0.3*MIN(1,MAX(0,((BP26)-(0.0))/((15.0)-(0.0)))))</f>
        <v/>
      </c>
      <c r="BS26" s="19">
        <f>100*(0.4*MIN(1,MAX(0,((MIN(ABS(AA26),ABS(AB26)))-(0.75))/((0.0)-(0.75))))+0.3*MIN(1,MAX(0,((BN26)-(1.2))/((0.6)-(1.2))))+0.3*BO26)</f>
        <v/>
      </c>
      <c r="BT26" s="19">
        <f>100*(0.5*MIN(1,MAX(0,((AK26)-(1.0))/((4.0)-(1.0))))+0.3*MIN(1,MAX(0,((IF(ISNUMBER(AO26),AO26,0)*100)-(0.0))/((8.0)-(0.0))))+0.2*MIN(1,MAX(0,((IF(ISNUMBER(AP26),AP26,0))-(25.0))/((5.0)-(25.0)))))</f>
        <v/>
      </c>
      <c r="BU26" s="19">
        <f>100*(0.35*MIN(1,MAX(0,((ABS(BF26))-(0.3))/((0.05)-(0.3))))+0.3*MIN(1,MAX(0,((BG26)-(0.0))/((0.3)-(0.0))))+0.25*MIN(1,MAX(0,((BH26)-(0.4))/((0.7)-(0.4))))+0.1*IF(BJ26&gt;=2,1,0.5))</f>
        <v/>
      </c>
      <c r="BV26" s="20">
        <f>0.25*BR26+0.25*BS26+0.2*BT26+0.3*BU26</f>
        <v/>
      </c>
      <c r="BW26" s="5" t="inlineStr">
        <is>
          <t>全部通過</t>
        </is>
      </c>
      <c r="BX26" s="5" t="inlineStr"/>
    </row>
    <row r="27">
      <c r="A27" s="5" t="n">
        <v>1</v>
      </c>
      <c r="B27" s="5" t="n">
        <v>26</v>
      </c>
      <c r="C27" s="6" t="inlineStr">
        <is>
          <t>BJ</t>
        </is>
      </c>
      <c r="D27" s="5" t="inlineStr">
        <is>
          <t>BJ's Wholesale Club Holdings Inc.</t>
        </is>
      </c>
      <c r="E27" s="5" t="inlineStr">
        <is>
          <t>NYSE</t>
        </is>
      </c>
      <c r="F27" s="5" t="inlineStr">
        <is>
          <t>非必需消費</t>
        </is>
      </c>
      <c r="G27" s="5" t="inlineStr">
        <is>
          <t>Department/Specialty Retail Stores</t>
        </is>
      </c>
      <c r="H27" s="7" t="n">
        <v>11.621</v>
      </c>
      <c r="I27" s="5" t="inlineStr">
        <is>
          <t>大型</t>
        </is>
      </c>
      <c r="J27" s="8" t="n">
        <v>94.95999999999999</v>
      </c>
      <c r="K27" s="8" t="n">
        <v>94.36</v>
      </c>
      <c r="L27" s="9">
        <f>J27/K27-1</f>
        <v/>
      </c>
      <c r="M27" s="8" t="n">
        <v>95.55</v>
      </c>
      <c r="N27" s="8" t="n">
        <v>93.075</v>
      </c>
      <c r="O27" s="10" t="n">
        <v>2439100</v>
      </c>
      <c r="P27" s="10" t="n">
        <v>1831645</v>
      </c>
      <c r="Q27" s="11">
        <f>O27/P27</f>
        <v/>
      </c>
      <c r="R27" s="8" t="n">
        <v>93.78870000000001</v>
      </c>
      <c r="S27" s="8" t="n">
        <v>93.2333</v>
      </c>
      <c r="T27" s="8" t="n">
        <v>92.3738</v>
      </c>
      <c r="U27" s="9">
        <f>S27/T27-1</f>
        <v/>
      </c>
      <c r="V27" s="12" t="n">
        <v>0.5</v>
      </c>
      <c r="W27" s="9">
        <f>J27/R27-1</f>
        <v/>
      </c>
      <c r="X27" s="9">
        <f>J27/S27-1</f>
        <v/>
      </c>
      <c r="Y27" s="8" t="n">
        <v>2.7701</v>
      </c>
      <c r="Z27" s="13">
        <f>Y27/J27</f>
        <v/>
      </c>
      <c r="AA27" s="11">
        <f>(J27-R27)/Y27</f>
        <v/>
      </c>
      <c r="AB27" s="11">
        <f>(J27-S27)/Y27</f>
        <v/>
      </c>
      <c r="AC27" s="5">
        <f>IF(ABS(AA27)&lt;=ABS(AB27),"9EMA","21EMA")</f>
        <v/>
      </c>
      <c r="AD27" s="5" t="inlineStr">
        <is>
          <t>9+21EMA</t>
        </is>
      </c>
      <c r="AE27" s="21" t="inlineStr">
        <is>
          <t>剛黃金交叉</t>
        </is>
      </c>
      <c r="AF27" s="5" t="inlineStr">
        <is>
          <t>✓</t>
        </is>
      </c>
      <c r="AG27" s="5" t="inlineStr"/>
      <c r="AH27" s="5" t="inlineStr">
        <is>
          <t>✓</t>
        </is>
      </c>
      <c r="AI27" s="5" t="inlineStr">
        <is>
          <t>2026-09-28</t>
        </is>
      </c>
      <c r="AJ27" s="5" t="n">
        <v>4</v>
      </c>
      <c r="AK27" s="14" t="n">
        <v>2</v>
      </c>
      <c r="AL27" s="5" t="inlineStr">
        <is>
          <t>2026-09-23</t>
        </is>
      </c>
      <c r="AM27" s="8" t="n">
        <v>89.89</v>
      </c>
      <c r="AN27" s="8" t="n">
        <v>87.72</v>
      </c>
      <c r="AO27" s="9">
        <f>IF(ISNUMBER(AN27),AM27/AN27-1,"")</f>
        <v/>
      </c>
      <c r="AP27" s="14" t="n">
        <v>7</v>
      </c>
      <c r="AQ27" s="9">
        <f>IF(ISNUMBER(AM27),J27/AM27-1,"")</f>
        <v/>
      </c>
      <c r="AR27" s="8" t="n">
        <v>96.81</v>
      </c>
      <c r="AS27" s="9">
        <f>J27/AR27-1</f>
        <v/>
      </c>
      <c r="AT27" s="15" t="n">
        <v>0.4088</v>
      </c>
      <c r="AU27" s="15" t="n">
        <v>0.1061</v>
      </c>
      <c r="AV27" s="15" t="n">
        <v>0.0304</v>
      </c>
      <c r="AW27" s="16">
        <f>AU27-AV27</f>
        <v/>
      </c>
      <c r="AX27" s="15" t="n">
        <v>0.3027</v>
      </c>
      <c r="AY27" s="15" t="n">
        <v>0.2689</v>
      </c>
      <c r="AZ27" s="15" t="n">
        <v>0.2531</v>
      </c>
      <c r="BA27" s="5" t="inlineStr">
        <is>
          <t>深綠</t>
        </is>
      </c>
      <c r="BB27" s="5" t="inlineStr">
        <is>
          <t>淺綠→深綠</t>
        </is>
      </c>
      <c r="BC27" s="5" t="n">
        <v>1</v>
      </c>
      <c r="BD27" s="5" t="inlineStr">
        <is>
          <t>深紅 淺紅 深綠 深綠 深綠 淺綠 深綠 深綠</t>
        </is>
      </c>
      <c r="BE27" s="5" t="inlineStr">
        <is>
          <t>上傾擴張</t>
        </is>
      </c>
      <c r="BF27" s="17" t="n">
        <v>0.239</v>
      </c>
      <c r="BG27" s="17" t="n">
        <v>0.003</v>
      </c>
      <c r="BH27" s="17" t="n">
        <v>0.5125999999999999</v>
      </c>
      <c r="BI27" s="17" t="n">
        <v>0.4965</v>
      </c>
      <c r="BJ27" s="14" t="n">
        <v>3</v>
      </c>
      <c r="BK27" s="8" t="n">
        <v>97.3</v>
      </c>
      <c r="BL27" s="8" t="n">
        <v>87.72</v>
      </c>
      <c r="BM27" s="8" t="n">
        <v>92.6306</v>
      </c>
      <c r="BN27" s="17" t="n">
        <v>1.0862</v>
      </c>
      <c r="BO27" s="11">
        <f>IF(M27=N27,0.5,(J27-N27)/(M27-N27))</f>
        <v/>
      </c>
      <c r="BP27" s="18" t="n">
        <v>7.424</v>
      </c>
      <c r="BQ27" s="18" t="n">
        <v>2.383</v>
      </c>
      <c r="BR27" s="19">
        <f>100*(0.4*MIN(1,MAX(0,((U27*100)-(0.0))/((2.5)-(0.0))))+0.3*MIN(1,MAX(0,((V27)-(0.6))/((1.0)-(0.6))))+0.3*MIN(1,MAX(0,((BP27)-(0.0))/((15.0)-(0.0)))))</f>
        <v/>
      </c>
      <c r="BS27" s="19">
        <f>100*(0.4*MIN(1,MAX(0,((MIN(ABS(AA27),ABS(AB27)))-(0.75))/((0.0)-(0.75))))+0.3*MIN(1,MAX(0,((BN27)-(1.2))/((0.6)-(1.2))))+0.3*BO27)</f>
        <v/>
      </c>
      <c r="BT27" s="19">
        <f>100*(0.5*MIN(1,MAX(0,((AK27)-(1.0))/((4.0)-(1.0))))+0.3*MIN(1,MAX(0,((IF(ISNUMBER(AO27),AO27,0)*100)-(0.0))/((8.0)-(0.0))))+0.2*MIN(1,MAX(0,((IF(ISNUMBER(AP27),AP27,0))-(25.0))/((5.0)-(25.0)))))</f>
        <v/>
      </c>
      <c r="BU27" s="19">
        <f>100*(0.35*MIN(1,MAX(0,((ABS(BF27))-(0.3))/((0.05)-(0.3))))+0.3*MIN(1,MAX(0,((BG27)-(0.0))/((0.3)-(0.0))))+0.25*MIN(1,MAX(0,((BH27)-(0.4))/((0.7)-(0.4))))+0.1*IF(BJ27&gt;=2,1,0.5))</f>
        <v/>
      </c>
      <c r="BV27" s="20">
        <f>0.25*BR27+0.25*BS27+0.2*BT27+0.3*BU27</f>
        <v/>
      </c>
      <c r="BW27" s="5" t="inlineStr">
        <is>
          <t>全部通過</t>
        </is>
      </c>
      <c r="BX27" s="5" t="inlineStr"/>
    </row>
    <row r="28">
      <c r="A28" s="22" t="n">
        <v>2</v>
      </c>
      <c r="B28" s="22" t="n">
        <v>1</v>
      </c>
      <c r="C28" s="23" t="inlineStr">
        <is>
          <t>DOCS</t>
        </is>
      </c>
      <c r="D28" s="22" t="inlineStr">
        <is>
          <t>Doximity Inc.</t>
        </is>
      </c>
      <c r="E28" s="22" t="inlineStr">
        <is>
          <t>NYSE</t>
        </is>
      </c>
      <c r="F28" s="22" t="inlineStr">
        <is>
          <t>科技</t>
        </is>
      </c>
      <c r="G28" s="22" t="inlineStr">
        <is>
          <t>EDP Services</t>
        </is>
      </c>
      <c r="H28" s="24" t="n">
        <v>5.051</v>
      </c>
      <c r="I28" s="22" t="inlineStr">
        <is>
          <t>中型</t>
        </is>
      </c>
      <c r="J28" s="25" t="n">
        <v>27.93</v>
      </c>
      <c r="K28" s="25" t="n">
        <v>28.5</v>
      </c>
      <c r="L28" s="26">
        <f>J28/K28-1</f>
        <v/>
      </c>
      <c r="M28" s="25" t="n">
        <v>29.2</v>
      </c>
      <c r="N28" s="25" t="n">
        <v>27.795</v>
      </c>
      <c r="O28" s="27" t="n">
        <v>2672100</v>
      </c>
      <c r="P28" s="27" t="n">
        <v>2977815</v>
      </c>
      <c r="Q28" s="28">
        <f>O28/P28</f>
        <v/>
      </c>
      <c r="R28" s="25" t="n">
        <v>27.2352</v>
      </c>
      <c r="S28" s="25" t="n">
        <v>26.5334</v>
      </c>
      <c r="T28" s="25" t="n">
        <v>25.8834</v>
      </c>
      <c r="U28" s="26">
        <f>S28/T28-1</f>
        <v/>
      </c>
      <c r="V28" s="29" t="n">
        <v>1</v>
      </c>
      <c r="W28" s="26">
        <f>J28/R28-1</f>
        <v/>
      </c>
      <c r="X28" s="26">
        <f>J28/S28-1</f>
        <v/>
      </c>
      <c r="Y28" s="25" t="n">
        <v>1.2021</v>
      </c>
      <c r="Z28" s="30">
        <f>Y28/J28</f>
        <v/>
      </c>
      <c r="AA28" s="28">
        <f>(J28-R28)/Y28</f>
        <v/>
      </c>
      <c r="AB28" s="28">
        <f>(J28-S28)/Y28</f>
        <v/>
      </c>
      <c r="AC28" s="22">
        <f>IF(ABS(AA28)&lt;=ABS(AB28),"9EMA","21EMA")</f>
        <v/>
      </c>
      <c r="AD28" s="22" t="inlineStr">
        <is>
          <t>9EMA</t>
        </is>
      </c>
      <c r="AE28" s="22" t="inlineStr">
        <is>
          <t>持續在上方</t>
        </is>
      </c>
      <c r="AF28" s="22" t="inlineStr"/>
      <c r="AG28" s="22" t="inlineStr"/>
      <c r="AH28" s="22" t="inlineStr">
        <is>
          <t>✓</t>
        </is>
      </c>
      <c r="AI28" s="22" t="inlineStr">
        <is>
          <t>2026-08-07</t>
        </is>
      </c>
      <c r="AJ28" s="22" t="n">
        <v>39</v>
      </c>
      <c r="AK28" s="31" t="n">
        <v>2</v>
      </c>
      <c r="AL28" s="22" t="inlineStr">
        <is>
          <t>2026-09-28</t>
        </is>
      </c>
      <c r="AM28" s="25" t="n">
        <v>25.33</v>
      </c>
      <c r="AN28" s="25" t="n">
        <v>23.955</v>
      </c>
      <c r="AO28" s="26">
        <f>IF(ISNUMBER(AN28),AM28/AN28-1,"")</f>
        <v/>
      </c>
      <c r="AP28" s="31" t="n">
        <v>4</v>
      </c>
      <c r="AQ28" s="26">
        <f>IF(ISNUMBER(AM28),J28/AM28-1,"")</f>
        <v/>
      </c>
      <c r="AR28" s="25" t="n">
        <v>28.5</v>
      </c>
      <c r="AS28" s="26">
        <f>J28/AR28-1</f>
        <v/>
      </c>
      <c r="AT28" s="32" t="n">
        <v>0.7219</v>
      </c>
      <c r="AU28" s="32" t="n">
        <v>0.583</v>
      </c>
      <c r="AV28" s="32" t="n">
        <v>0.5483</v>
      </c>
      <c r="AW28" s="33">
        <f>AU28-AV28</f>
        <v/>
      </c>
      <c r="AX28" s="32" t="n">
        <v>0.1388</v>
      </c>
      <c r="AY28" s="32" t="n">
        <v>0.1384</v>
      </c>
      <c r="AZ28" s="32" t="n">
        <v>0.0601</v>
      </c>
      <c r="BA28" s="22" t="inlineStr">
        <is>
          <t>深綠</t>
        </is>
      </c>
      <c r="BB28" s="22" t="inlineStr">
        <is>
          <t>深紅→淺紅</t>
        </is>
      </c>
      <c r="BC28" s="22" t="n">
        <v>3</v>
      </c>
      <c r="BD28" s="22" t="inlineStr">
        <is>
          <t>淺紅 深紅 深紅 深紅 淺紅 深綠 深綠 深綠</t>
        </is>
      </c>
      <c r="BE28" s="22" t="inlineStr">
        <is>
          <t>上升三角（平頂）</t>
        </is>
      </c>
      <c r="BF28" s="34" t="n">
        <v>0.0477</v>
      </c>
      <c r="BG28" s="34" t="n">
        <v>0.3787</v>
      </c>
      <c r="BH28" s="34" t="n">
        <v>0.4676</v>
      </c>
      <c r="BI28" s="34" t="n">
        <v>0.5145999999999999</v>
      </c>
      <c r="BJ28" s="31" t="n">
        <v>2</v>
      </c>
      <c r="BK28" s="25" t="n">
        <v>29.2</v>
      </c>
      <c r="BL28" s="25" t="n">
        <v>23.955</v>
      </c>
      <c r="BM28" s="25" t="n">
        <v>26.4077</v>
      </c>
      <c r="BN28" s="34" t="n">
        <v>0.8506</v>
      </c>
      <c r="BO28" s="28">
        <f>IF(M28=N28,0.5,(J28-N28)/(M28-N28))</f>
        <v/>
      </c>
      <c r="BP28" s="35" t="n">
        <v>11.158</v>
      </c>
      <c r="BQ28" s="35" t="n">
        <v>6.117</v>
      </c>
      <c r="BR28" s="36">
        <f>100*(0.4*MIN(1,MAX(0,((U28*100)-(0.0))/((2.5)-(0.0))))+0.3*MIN(1,MAX(0,((V28)-(0.6))/((1.0)-(0.6))))+0.3*MIN(1,MAX(0,((BP28)-(0.0))/((15.0)-(0.0)))))</f>
        <v/>
      </c>
      <c r="BS28" s="36">
        <f>100*(0.4*MIN(1,MAX(0,((MIN(ABS(AA28),ABS(AB28)))-(0.75))/((0.0)-(0.75))))+0.3*MIN(1,MAX(0,((BN28)-(1.2))/((0.6)-(1.2))))+0.3*BO28)</f>
        <v/>
      </c>
      <c r="BT28" s="36">
        <f>100*(0.5*MIN(1,MAX(0,((AK28)-(1.0))/((4.0)-(1.0))))+0.3*MIN(1,MAX(0,((IF(ISNUMBER(AO28),AO28,0)*100)-(0.0))/((8.0)-(0.0))))+0.2*MIN(1,MAX(0,((IF(ISNUMBER(AP28),AP28,0))-(25.0))/((5.0)-(25.0)))))</f>
        <v/>
      </c>
      <c r="BU28" s="36">
        <f>100*(0.35*MIN(1,MAX(0,((ABS(BF28))-(0.3))/((0.05)-(0.3))))+0.3*MIN(1,MAX(0,((BG28)-(0.0))/((0.3)-(0.0))))+0.25*MIN(1,MAX(0,((BH28)-(0.4))/((0.7)-(0.4))))+0.1*IF(BJ28&gt;=2,1,0.5))</f>
        <v/>
      </c>
      <c r="BV28" s="37">
        <f>0.25*BR28+0.25*BS28+0.2*BT28+0.3*BU28</f>
        <v/>
      </c>
      <c r="BW28" s="22" t="inlineStr">
        <is>
          <t>C4 上升三角／重心偏上</t>
        </is>
      </c>
      <c r="BX28" s="22" t="inlineStr"/>
    </row>
    <row r="29">
      <c r="A29" s="22" t="n">
        <v>2</v>
      </c>
      <c r="B29" s="22" t="n">
        <v>2</v>
      </c>
      <c r="C29" s="23" t="inlineStr">
        <is>
          <t>HYLN</t>
        </is>
      </c>
      <c r="D29" s="22" t="inlineStr">
        <is>
          <t>Hyliion Holdings Corp.</t>
        </is>
      </c>
      <c r="E29" s="22" t="inlineStr">
        <is>
          <t>AMEX</t>
        </is>
      </c>
      <c r="F29" s="22" t="inlineStr">
        <is>
          <t>非必需消費</t>
        </is>
      </c>
      <c r="G29" s="22" t="inlineStr">
        <is>
          <t>Construction/Ag Equipment/Trucks</t>
        </is>
      </c>
      <c r="H29" s="24" t="n">
        <v>0.745</v>
      </c>
      <c r="I29" s="22" t="inlineStr">
        <is>
          <t>小型</t>
        </is>
      </c>
      <c r="J29" s="25" t="n">
        <v>4.53</v>
      </c>
      <c r="K29" s="25" t="n">
        <v>4.21</v>
      </c>
      <c r="L29" s="26">
        <f>J29/K29-1</f>
        <v/>
      </c>
      <c r="M29" s="25" t="n">
        <v>4.54</v>
      </c>
      <c r="N29" s="25" t="n">
        <v>4.29</v>
      </c>
      <c r="O29" s="27" t="n">
        <v>1955600</v>
      </c>
      <c r="P29" s="27" t="n">
        <v>1928700</v>
      </c>
      <c r="Q29" s="28">
        <f>O29/P29</f>
        <v/>
      </c>
      <c r="R29" s="25" t="n">
        <v>4.2095</v>
      </c>
      <c r="S29" s="25" t="n">
        <v>4.0725</v>
      </c>
      <c r="T29" s="25" t="n">
        <v>3.9936</v>
      </c>
      <c r="U29" s="26">
        <f>S29/T29-1</f>
        <v/>
      </c>
      <c r="V29" s="29" t="n">
        <v>0.9</v>
      </c>
      <c r="W29" s="26">
        <f>J29/R29-1</f>
        <v/>
      </c>
      <c r="X29" s="26">
        <f>J29/S29-1</f>
        <v/>
      </c>
      <c r="Y29" s="25" t="n">
        <v>0.2938</v>
      </c>
      <c r="Z29" s="30">
        <f>Y29/J29</f>
        <v/>
      </c>
      <c r="AA29" s="28">
        <f>(J29-R29)/Y29</f>
        <v/>
      </c>
      <c r="AB29" s="28">
        <f>(J29-S29)/Y29</f>
        <v/>
      </c>
      <c r="AC29" s="22">
        <f>IF(ABS(AA29)&lt;=ABS(AB29),"9EMA","21EMA")</f>
        <v/>
      </c>
      <c r="AD29" s="22" t="inlineStr">
        <is>
          <t>9+21EMA</t>
        </is>
      </c>
      <c r="AE29" s="22" t="inlineStr">
        <is>
          <t>持續在上方</t>
        </is>
      </c>
      <c r="AF29" s="22" t="inlineStr"/>
      <c r="AG29" s="22" t="inlineStr"/>
      <c r="AH29" s="22" t="inlineStr"/>
      <c r="AI29" s="22" t="inlineStr">
        <is>
          <t>2026-09-09</t>
        </is>
      </c>
      <c r="AJ29" s="22" t="n">
        <v>17</v>
      </c>
      <c r="AK29" s="31" t="n">
        <v>4</v>
      </c>
      <c r="AL29" s="22" t="inlineStr">
        <is>
          <t>2026-09-28</t>
        </is>
      </c>
      <c r="AM29" s="25" t="n">
        <v>3.92</v>
      </c>
      <c r="AN29" s="25" t="n">
        <v>3.62</v>
      </c>
      <c r="AO29" s="26">
        <f>IF(ISNUMBER(AN29),AM29/AN29-1,"")</f>
        <v/>
      </c>
      <c r="AP29" s="31" t="n">
        <v>4</v>
      </c>
      <c r="AQ29" s="26">
        <f>IF(ISNUMBER(AM29),J29/AM29-1,"")</f>
        <v/>
      </c>
      <c r="AR29" s="25" t="n">
        <v>4.53</v>
      </c>
      <c r="AS29" s="26">
        <f>J29/AR29-1</f>
        <v/>
      </c>
      <c r="AT29" s="32" t="n">
        <v>0.1288</v>
      </c>
      <c r="AU29" s="32" t="n">
        <v>0.1018</v>
      </c>
      <c r="AV29" s="32" t="n">
        <v>0.095</v>
      </c>
      <c r="AW29" s="33">
        <f>AU29-AV29</f>
        <v/>
      </c>
      <c r="AX29" s="32" t="n">
        <v>0.027</v>
      </c>
      <c r="AY29" s="32" t="n">
        <v>0.0074</v>
      </c>
      <c r="AZ29" s="32" t="n">
        <v>0.0066</v>
      </c>
      <c r="BA29" s="22" t="inlineStr">
        <is>
          <t>深綠</t>
        </is>
      </c>
      <c r="BB29" s="22" t="inlineStr">
        <is>
          <t>淺綠→深綠</t>
        </is>
      </c>
      <c r="BC29" s="22" t="n">
        <v>1</v>
      </c>
      <c r="BD29" s="22" t="inlineStr">
        <is>
          <t>淺綠 淺綠 淺綠 淺綠 淺綠 淺綠 深綠 深綠</t>
        </is>
      </c>
      <c r="BE29" s="22" t="inlineStr">
        <is>
          <t>上傾擴張</t>
        </is>
      </c>
      <c r="BF29" s="34" t="n">
        <v>1.2952</v>
      </c>
      <c r="BG29" s="34" t="n">
        <v>0.8151</v>
      </c>
      <c r="BH29" s="34" t="n">
        <v>0.5223</v>
      </c>
      <c r="BI29" s="34" t="n">
        <v>0.5198</v>
      </c>
      <c r="BJ29" s="31" t="n">
        <v>1</v>
      </c>
      <c r="BK29" s="25" t="n">
        <v>4.68</v>
      </c>
      <c r="BL29" s="25" t="n">
        <v>3.25</v>
      </c>
      <c r="BM29" s="25" t="n">
        <v>3.997</v>
      </c>
      <c r="BN29" s="34" t="n">
        <v>0.8423</v>
      </c>
      <c r="BO29" s="28">
        <f>IF(M29=N29,0.5,(J29-N29)/(M29-N29))</f>
        <v/>
      </c>
      <c r="BP29" s="35" t="n">
        <v>32.288</v>
      </c>
      <c r="BQ29" s="35" t="n">
        <v>27.247</v>
      </c>
      <c r="BR29" s="36">
        <f>100*(0.4*MIN(1,MAX(0,((U29*100)-(0.0))/((2.5)-(0.0))))+0.3*MIN(1,MAX(0,((V29)-(0.6))/((1.0)-(0.6))))+0.3*MIN(1,MAX(0,((BP29)-(0.0))/((15.0)-(0.0)))))</f>
        <v/>
      </c>
      <c r="BS29" s="36">
        <f>100*(0.4*MIN(1,MAX(0,((MIN(ABS(AA29),ABS(AB29)))-(0.75))/((0.0)-(0.75))))+0.3*MIN(1,MAX(0,((BN29)-(1.2))/((0.6)-(1.2))))+0.3*BO29)</f>
        <v/>
      </c>
      <c r="BT29" s="36">
        <f>100*(0.5*MIN(1,MAX(0,((AK29)-(1.0))/((4.0)-(1.0))))+0.3*MIN(1,MAX(0,((IF(ISNUMBER(AO29),AO29,0)*100)-(0.0))/((8.0)-(0.0))))+0.2*MIN(1,MAX(0,((IF(ISNUMBER(AP29),AP29,0))-(25.0))/((5.0)-(25.0)))))</f>
        <v/>
      </c>
      <c r="BU29" s="36">
        <f>100*(0.35*MIN(1,MAX(0,((ABS(BF29))-(0.3))/((0.05)-(0.3))))+0.3*MIN(1,MAX(0,((BG29)-(0.0))/((0.3)-(0.0))))+0.25*MIN(1,MAX(0,((BH29)-(0.4))/((0.7)-(0.4))))+0.1*IF(BJ29&gt;=2,1,0.5))</f>
        <v/>
      </c>
      <c r="BV29" s="37">
        <f>0.25*BR29+0.25*BS29+0.2*BT29+0.3*BU29</f>
        <v/>
      </c>
      <c r="BW29" s="22" t="inlineStr">
        <is>
          <t>C4 上升三角／重心偏上</t>
        </is>
      </c>
      <c r="BX29" s="22" t="inlineStr"/>
    </row>
    <row r="30">
      <c r="A30" s="22" t="n">
        <v>2</v>
      </c>
      <c r="B30" s="22" t="n">
        <v>3</v>
      </c>
      <c r="C30" s="23" t="inlineStr">
        <is>
          <t>SANM</t>
        </is>
      </c>
      <c r="D30" s="22" t="inlineStr">
        <is>
          <t>Sanmina Corporation</t>
        </is>
      </c>
      <c r="E30" s="22" t="inlineStr">
        <is>
          <t>NASDAQ</t>
        </is>
      </c>
      <c r="F30" s="22" t="inlineStr">
        <is>
          <t>科技</t>
        </is>
      </c>
      <c r="G30" s="22" t="inlineStr">
        <is>
          <t>Electrical Products</t>
        </is>
      </c>
      <c r="H30" s="24" t="n">
        <v>11.519</v>
      </c>
      <c r="I30" s="22" t="inlineStr">
        <is>
          <t>大型</t>
        </is>
      </c>
      <c r="J30" s="25" t="n">
        <v>229.04</v>
      </c>
      <c r="K30" s="25" t="n">
        <v>221.96</v>
      </c>
      <c r="L30" s="26">
        <f>J30/K30-1</f>
        <v/>
      </c>
      <c r="M30" s="25" t="n">
        <v>229.4</v>
      </c>
      <c r="N30" s="25" t="n">
        <v>223.62</v>
      </c>
      <c r="O30" s="27" t="n">
        <v>654800</v>
      </c>
      <c r="P30" s="27" t="n">
        <v>587230</v>
      </c>
      <c r="Q30" s="28">
        <f>O30/P30</f>
        <v/>
      </c>
      <c r="R30" s="25" t="n">
        <v>219.5123</v>
      </c>
      <c r="S30" s="25" t="n">
        <v>212.4794</v>
      </c>
      <c r="T30" s="25" t="n">
        <v>206.6132</v>
      </c>
      <c r="U30" s="26">
        <f>S30/T30-1</f>
        <v/>
      </c>
      <c r="V30" s="29" t="n">
        <v>1</v>
      </c>
      <c r="W30" s="26">
        <f>J30/R30-1</f>
        <v/>
      </c>
      <c r="X30" s="26">
        <f>J30/S30-1</f>
        <v/>
      </c>
      <c r="Y30" s="25" t="n">
        <v>10.7847</v>
      </c>
      <c r="Z30" s="30">
        <f>Y30/J30</f>
        <v/>
      </c>
      <c r="AA30" s="28">
        <f>(J30-R30)/Y30</f>
        <v/>
      </c>
      <c r="AB30" s="28">
        <f>(J30-S30)/Y30</f>
        <v/>
      </c>
      <c r="AC30" s="22">
        <f>IF(ABS(AA30)&lt;=ABS(AB30),"9EMA","21EMA")</f>
        <v/>
      </c>
      <c r="AD30" s="22" t="inlineStr">
        <is>
          <t>9+21EMA</t>
        </is>
      </c>
      <c r="AE30" s="22" t="inlineStr">
        <is>
          <t>持續在上方</t>
        </is>
      </c>
      <c r="AF30" s="22" t="inlineStr"/>
      <c r="AG30" s="22" t="inlineStr"/>
      <c r="AH30" s="22" t="inlineStr"/>
      <c r="AI30" s="22" t="inlineStr">
        <is>
          <t>2026-09-21</t>
        </is>
      </c>
      <c r="AJ30" s="22" t="n">
        <v>9</v>
      </c>
      <c r="AK30" s="31" t="n">
        <v>4</v>
      </c>
      <c r="AL30" s="22" t="inlineStr">
        <is>
          <t>2026-09-15</t>
        </is>
      </c>
      <c r="AM30" s="25" t="n">
        <v>189.58</v>
      </c>
      <c r="AN30" s="25" t="n">
        <v>182.47</v>
      </c>
      <c r="AO30" s="26">
        <f>IF(ISNUMBER(AN30),AM30/AN30-1,"")</f>
        <v/>
      </c>
      <c r="AP30" s="31" t="n">
        <v>13</v>
      </c>
      <c r="AQ30" s="26">
        <f>IF(ISNUMBER(AM30),J30/AM30-1,"")</f>
        <v/>
      </c>
      <c r="AR30" s="25" t="n">
        <v>229.04</v>
      </c>
      <c r="AS30" s="26">
        <f>J30/AR30-1</f>
        <v/>
      </c>
      <c r="AT30" s="32" t="n">
        <v>6.3917</v>
      </c>
      <c r="AU30" s="32" t="n">
        <v>4.518</v>
      </c>
      <c r="AV30" s="32" t="n">
        <v>4.0496</v>
      </c>
      <c r="AW30" s="33">
        <f>AU30-AV30</f>
        <v/>
      </c>
      <c r="AX30" s="32" t="n">
        <v>1.8737</v>
      </c>
      <c r="AY30" s="32" t="n">
        <v>1.657</v>
      </c>
      <c r="AZ30" s="32" t="n">
        <v>1.8347</v>
      </c>
      <c r="BA30" s="22" t="inlineStr">
        <is>
          <t>深綠</t>
        </is>
      </c>
      <c r="BB30" s="22" t="inlineStr">
        <is>
          <t>淺綠→深綠</t>
        </is>
      </c>
      <c r="BC30" s="22" t="n">
        <v>0</v>
      </c>
      <c r="BD30" s="22" t="inlineStr">
        <is>
          <t>深綠 深綠 深綠 淺綠 淺綠 淺綠 淺綠 深綠</t>
        </is>
      </c>
      <c r="BE30" s="22" t="inlineStr">
        <is>
          <t>上傾擴張</t>
        </is>
      </c>
      <c r="BF30" s="34" t="n">
        <v>0.5833</v>
      </c>
      <c r="BG30" s="34" t="n">
        <v>0.388</v>
      </c>
      <c r="BH30" s="34" t="n">
        <v>0.4956</v>
      </c>
      <c r="BI30" s="34" t="n">
        <v>0.4783</v>
      </c>
      <c r="BJ30" s="31" t="n">
        <v>2</v>
      </c>
      <c r="BK30" s="25" t="n">
        <v>232.5</v>
      </c>
      <c r="BL30" s="25" t="n">
        <v>182.47</v>
      </c>
      <c r="BM30" s="25" t="n">
        <v>207.2625</v>
      </c>
      <c r="BN30" s="34" t="n">
        <v>0.921</v>
      </c>
      <c r="BO30" s="28">
        <f>IF(M30=N30,0.5,(J30-N30)/(M30-N30))</f>
        <v/>
      </c>
      <c r="BP30" s="35" t="n">
        <v>27.085</v>
      </c>
      <c r="BQ30" s="35" t="n">
        <v>22.044</v>
      </c>
      <c r="BR30" s="36">
        <f>100*(0.4*MIN(1,MAX(0,((U30*100)-(0.0))/((2.5)-(0.0))))+0.3*MIN(1,MAX(0,((V30)-(0.6))/((1.0)-(0.6))))+0.3*MIN(1,MAX(0,((BP30)-(0.0))/((15.0)-(0.0)))))</f>
        <v/>
      </c>
      <c r="BS30" s="36">
        <f>100*(0.4*MIN(1,MAX(0,((MIN(ABS(AA30),ABS(AB30)))-(0.75))/((0.0)-(0.75))))+0.3*MIN(1,MAX(0,((BN30)-(1.2))/((0.6)-(1.2))))+0.3*BO30)</f>
        <v/>
      </c>
      <c r="BT30" s="36">
        <f>100*(0.5*MIN(1,MAX(0,((AK30)-(1.0))/((4.0)-(1.0))))+0.3*MIN(1,MAX(0,((IF(ISNUMBER(AO30),AO30,0)*100)-(0.0))/((8.0)-(0.0))))+0.2*MIN(1,MAX(0,((IF(ISNUMBER(AP30),AP30,0))-(25.0))/((5.0)-(25.0)))))</f>
        <v/>
      </c>
      <c r="BU30" s="36">
        <f>100*(0.35*MIN(1,MAX(0,((ABS(BF30))-(0.3))/((0.05)-(0.3))))+0.3*MIN(1,MAX(0,((BG30)-(0.0))/((0.3)-(0.0))))+0.25*MIN(1,MAX(0,((BH30)-(0.4))/((0.7)-(0.4))))+0.1*IF(BJ30&gt;=2,1,0.5))</f>
        <v/>
      </c>
      <c r="BV30" s="37">
        <f>0.25*BR30+0.25*BS30+0.2*BT30+0.3*BU30</f>
        <v/>
      </c>
      <c r="BW30" s="22" t="inlineStr">
        <is>
          <t>C4 上升三角／重心偏上</t>
        </is>
      </c>
      <c r="BX30" s="22" t="inlineStr"/>
    </row>
    <row r="31">
      <c r="A31" s="22" t="n">
        <v>2</v>
      </c>
      <c r="B31" s="22" t="n">
        <v>4</v>
      </c>
      <c r="C31" s="23" t="inlineStr">
        <is>
          <t>TTMI</t>
        </is>
      </c>
      <c r="D31" s="22" t="inlineStr">
        <is>
          <t>TTM Technologies Inc.</t>
        </is>
      </c>
      <c r="E31" s="22" t="inlineStr">
        <is>
          <t>NASDAQ</t>
        </is>
      </c>
      <c r="F31" s="22" t="inlineStr">
        <is>
          <t>科技</t>
        </is>
      </c>
      <c r="G31" s="22" t="inlineStr">
        <is>
          <t>Electrical Products</t>
        </is>
      </c>
      <c r="H31" s="24" t="n">
        <v>12.941</v>
      </c>
      <c r="I31" s="22" t="inlineStr">
        <is>
          <t>大型</t>
        </is>
      </c>
      <c r="J31" s="25" t="n">
        <v>131.87</v>
      </c>
      <c r="K31" s="25" t="n">
        <v>126.5</v>
      </c>
      <c r="L31" s="26">
        <f>J31/K31-1</f>
        <v/>
      </c>
      <c r="M31" s="25" t="n">
        <v>134.57</v>
      </c>
      <c r="N31" s="25" t="n">
        <v>127.32</v>
      </c>
      <c r="O31" s="27" t="n">
        <v>1609600</v>
      </c>
      <c r="P31" s="27" t="n">
        <v>1893870</v>
      </c>
      <c r="Q31" s="28">
        <f>O31/P31</f>
        <v/>
      </c>
      <c r="R31" s="25" t="n">
        <v>125.7196</v>
      </c>
      <c r="S31" s="25" t="n">
        <v>123.9692</v>
      </c>
      <c r="T31" s="25" t="n">
        <v>122.7188</v>
      </c>
      <c r="U31" s="26">
        <f>S31/T31-1</f>
        <v/>
      </c>
      <c r="V31" s="29" t="n">
        <v>0.8</v>
      </c>
      <c r="W31" s="26">
        <f>J31/R31-1</f>
        <v/>
      </c>
      <c r="X31" s="26">
        <f>J31/S31-1</f>
        <v/>
      </c>
      <c r="Y31" s="25" t="n">
        <v>7.7543</v>
      </c>
      <c r="Z31" s="30">
        <f>Y31/J31</f>
        <v/>
      </c>
      <c r="AA31" s="28">
        <f>(J31-R31)/Y31</f>
        <v/>
      </c>
      <c r="AB31" s="28">
        <f>(J31-S31)/Y31</f>
        <v/>
      </c>
      <c r="AC31" s="22">
        <f>IF(ABS(AA31)&lt;=ABS(AB31),"9EMA","21EMA")</f>
        <v/>
      </c>
      <c r="AD31" s="22" t="inlineStr">
        <is>
          <t>9+21EMA</t>
        </is>
      </c>
      <c r="AE31" s="22" t="inlineStr">
        <is>
          <t>持續在上方</t>
        </is>
      </c>
      <c r="AF31" s="22" t="inlineStr"/>
      <c r="AG31" s="22" t="inlineStr"/>
      <c r="AH31" s="22" t="inlineStr"/>
      <c r="AI31" s="22" t="inlineStr">
        <is>
          <t>2026-09-23</t>
        </is>
      </c>
      <c r="AJ31" s="22" t="n">
        <v>7</v>
      </c>
      <c r="AK31" s="31" t="n">
        <v>5</v>
      </c>
      <c r="AL31" s="22" t="inlineStr">
        <is>
          <t>2026-09-28</t>
        </is>
      </c>
      <c r="AM31" s="25" t="n">
        <v>119.02</v>
      </c>
      <c r="AN31" s="25" t="n">
        <v>109.94</v>
      </c>
      <c r="AO31" s="26">
        <f>IF(ISNUMBER(AN31),AM31/AN31-1,"")</f>
        <v/>
      </c>
      <c r="AP31" s="31" t="n">
        <v>4</v>
      </c>
      <c r="AQ31" s="26">
        <f>IF(ISNUMBER(AM31),J31/AM31-1,"")</f>
        <v/>
      </c>
      <c r="AR31" s="25" t="n">
        <v>131.87</v>
      </c>
      <c r="AS31" s="26">
        <f>J31/AR31-1</f>
        <v/>
      </c>
      <c r="AT31" s="32" t="n">
        <v>0.8416</v>
      </c>
      <c r="AU31" s="32" t="n">
        <v>-0.4241</v>
      </c>
      <c r="AV31" s="32" t="n">
        <v>-0.7405</v>
      </c>
      <c r="AW31" s="33">
        <f>AU31-AV31</f>
        <v/>
      </c>
      <c r="AX31" s="32" t="n">
        <v>1.2657</v>
      </c>
      <c r="AY31" s="32" t="n">
        <v>0.9462</v>
      </c>
      <c r="AZ31" s="32" t="n">
        <v>0.9147999999999999</v>
      </c>
      <c r="BA31" s="22" t="inlineStr">
        <is>
          <t>深綠</t>
        </is>
      </c>
      <c r="BB31" s="22" t="inlineStr">
        <is>
          <t>淺綠→深綠</t>
        </is>
      </c>
      <c r="BC31" s="22" t="n">
        <v>1</v>
      </c>
      <c r="BD31" s="22" t="inlineStr">
        <is>
          <t>深綠 深綠 深綠 淺綠 淺綠 淺綠 深綠 深綠</t>
        </is>
      </c>
      <c r="BE31" s="22" t="inlineStr">
        <is>
          <t>對稱三角</t>
        </is>
      </c>
      <c r="BF31" s="34" t="n">
        <v>-0.1429</v>
      </c>
      <c r="BG31" s="34" t="n">
        <v>0.4645</v>
      </c>
      <c r="BH31" s="34" t="n">
        <v>0.499</v>
      </c>
      <c r="BI31" s="34" t="n">
        <v>0.4928</v>
      </c>
      <c r="BJ31" s="31" t="n">
        <v>2</v>
      </c>
      <c r="BK31" s="25" t="n">
        <v>134.57</v>
      </c>
      <c r="BL31" s="25" t="n">
        <v>109.53</v>
      </c>
      <c r="BM31" s="25" t="n">
        <v>122.0252</v>
      </c>
      <c r="BN31" s="34" t="n">
        <v>0.8762</v>
      </c>
      <c r="BO31" s="28">
        <f>IF(M31=N31,0.5,(J31-N31)/(M31-N31))</f>
        <v/>
      </c>
      <c r="BP31" s="35" t="n">
        <v>19.115</v>
      </c>
      <c r="BQ31" s="35" t="n">
        <v>14.074</v>
      </c>
      <c r="BR31" s="36">
        <f>100*(0.4*MIN(1,MAX(0,((U31*100)-(0.0))/((2.5)-(0.0))))+0.3*MIN(1,MAX(0,((V31)-(0.6))/((1.0)-(0.6))))+0.3*MIN(1,MAX(0,((BP31)-(0.0))/((15.0)-(0.0)))))</f>
        <v/>
      </c>
      <c r="BS31" s="36">
        <f>100*(0.4*MIN(1,MAX(0,((MIN(ABS(AA31),ABS(AB31)))-(0.75))/((0.0)-(0.75))))+0.3*MIN(1,MAX(0,((BN31)-(1.2))/((0.6)-(1.2))))+0.3*BO31)</f>
        <v/>
      </c>
      <c r="BT31" s="36">
        <f>100*(0.5*MIN(1,MAX(0,((AK31)-(1.0))/((4.0)-(1.0))))+0.3*MIN(1,MAX(0,((IF(ISNUMBER(AO31),AO31,0)*100)-(0.0))/((8.0)-(0.0))))+0.2*MIN(1,MAX(0,((IF(ISNUMBER(AP31),AP31,0))-(25.0))/((5.0)-(25.0)))))</f>
        <v/>
      </c>
      <c r="BU31" s="36">
        <f>100*(0.35*MIN(1,MAX(0,((ABS(BF31))-(0.3))/((0.05)-(0.3))))+0.3*MIN(1,MAX(0,((BG31)-(0.0))/((0.3)-(0.0))))+0.25*MIN(1,MAX(0,((BH31)-(0.4))/((0.7)-(0.4))))+0.1*IF(BJ31&gt;=2,1,0.5))</f>
        <v/>
      </c>
      <c r="BV31" s="37">
        <f>0.25*BR31+0.25*BS31+0.2*BT31+0.3*BU31</f>
        <v/>
      </c>
      <c r="BW31" s="22" t="inlineStr">
        <is>
          <t>C4 上升三角／重心偏上</t>
        </is>
      </c>
      <c r="BX31" s="22" t="inlineStr"/>
    </row>
    <row r="32">
      <c r="A32" s="22" t="n">
        <v>2</v>
      </c>
      <c r="B32" s="22" t="n">
        <v>5</v>
      </c>
      <c r="C32" s="23" t="inlineStr">
        <is>
          <t>ALMR</t>
        </is>
      </c>
      <c r="D32" s="22" t="inlineStr">
        <is>
          <t>Alamar Biosciences Inc.</t>
        </is>
      </c>
      <c r="E32" s="22" t="inlineStr">
        <is>
          <t>NASDAQ</t>
        </is>
      </c>
      <c r="F32" s="22" t="inlineStr">
        <is>
          <t>工業</t>
        </is>
      </c>
      <c r="G32" s="22" t="inlineStr">
        <is>
          <t>Biotechnology: Laboratory Analytical Instruments</t>
        </is>
      </c>
      <c r="H32" s="24" t="n">
        <v>2.364</v>
      </c>
      <c r="I32" s="22" t="inlineStr">
        <is>
          <t>中型</t>
        </is>
      </c>
      <c r="J32" s="25" t="n">
        <v>34.36</v>
      </c>
      <c r="K32" s="25" t="n">
        <v>32.46</v>
      </c>
      <c r="L32" s="26">
        <f>J32/K32-1</f>
        <v/>
      </c>
      <c r="M32" s="25" t="n">
        <v>34.62</v>
      </c>
      <c r="N32" s="25" t="n">
        <v>32.8</v>
      </c>
      <c r="O32" s="27" t="n">
        <v>339900</v>
      </c>
      <c r="P32" s="27" t="n">
        <v>507400</v>
      </c>
      <c r="Q32" s="28">
        <f>O32/P32</f>
        <v/>
      </c>
      <c r="R32" s="25" t="n">
        <v>33.0398</v>
      </c>
      <c r="S32" s="25" t="n">
        <v>32.1974</v>
      </c>
      <c r="T32" s="25" t="n">
        <v>31.5282</v>
      </c>
      <c r="U32" s="26">
        <f>S32/T32-1</f>
        <v/>
      </c>
      <c r="V32" s="29" t="n">
        <v>1</v>
      </c>
      <c r="W32" s="26">
        <f>J32/R32-1</f>
        <v/>
      </c>
      <c r="X32" s="26">
        <f>J32/S32-1</f>
        <v/>
      </c>
      <c r="Y32" s="25" t="n">
        <v>2.1941</v>
      </c>
      <c r="Z32" s="30">
        <f>Y32/J32</f>
        <v/>
      </c>
      <c r="AA32" s="28">
        <f>(J32-R32)/Y32</f>
        <v/>
      </c>
      <c r="AB32" s="28">
        <f>(J32-S32)/Y32</f>
        <v/>
      </c>
      <c r="AC32" s="22">
        <f>IF(ABS(AA32)&lt;=ABS(AB32),"9EMA","21EMA")</f>
        <v/>
      </c>
      <c r="AD32" s="22" t="inlineStr">
        <is>
          <t>9EMA</t>
        </is>
      </c>
      <c r="AE32" s="22" t="inlineStr">
        <is>
          <t>持續在上方</t>
        </is>
      </c>
      <c r="AF32" s="22" t="inlineStr"/>
      <c r="AG32" s="22" t="inlineStr"/>
      <c r="AH32" s="22" t="inlineStr"/>
      <c r="AI32" s="22" t="inlineStr">
        <is>
          <t>2026-09-18</t>
        </is>
      </c>
      <c r="AJ32" s="22" t="n">
        <v>10</v>
      </c>
      <c r="AK32" s="31" t="n">
        <v>2</v>
      </c>
      <c r="AL32" s="22" t="inlineStr">
        <is>
          <t>2026-09-24</t>
        </is>
      </c>
      <c r="AM32" s="25" t="n">
        <v>31.68</v>
      </c>
      <c r="AN32" s="25" t="n">
        <v>27.25</v>
      </c>
      <c r="AO32" s="26">
        <f>IF(ISNUMBER(AN32),AM32/AN32-1,"")</f>
        <v/>
      </c>
      <c r="AP32" s="31" t="n">
        <v>6</v>
      </c>
      <c r="AQ32" s="26">
        <f>IF(ISNUMBER(AM32),J32/AM32-1,"")</f>
        <v/>
      </c>
      <c r="AR32" s="25" t="n">
        <v>35.05</v>
      </c>
      <c r="AS32" s="26">
        <f>J32/AR32-1</f>
        <v/>
      </c>
      <c r="AT32" s="32" t="n">
        <v>0.869</v>
      </c>
      <c r="AU32" s="32" t="n">
        <v>0.7185</v>
      </c>
      <c r="AV32" s="32" t="n">
        <v>0.6808</v>
      </c>
      <c r="AW32" s="33">
        <f>AU32-AV32</f>
        <v/>
      </c>
      <c r="AX32" s="32" t="n">
        <v>0.1506</v>
      </c>
      <c r="AY32" s="32" t="n">
        <v>0.0974</v>
      </c>
      <c r="AZ32" s="32" t="n">
        <v>0.1879</v>
      </c>
      <c r="BA32" s="22" t="inlineStr">
        <is>
          <t>深綠</t>
        </is>
      </c>
      <c r="BB32" s="22" t="inlineStr">
        <is>
          <t>淺綠→深綠</t>
        </is>
      </c>
      <c r="BC32" s="22" t="n">
        <v>0</v>
      </c>
      <c r="BD32" s="22" t="inlineStr">
        <is>
          <t>淺綠 淺綠 淺綠 淺綠 淺綠 深綠 淺綠 深綠</t>
        </is>
      </c>
      <c r="BE32" s="22" t="inlineStr">
        <is>
          <t>上升通道</t>
        </is>
      </c>
      <c r="BF32" s="34" t="n">
        <v>0.5462</v>
      </c>
      <c r="BG32" s="34" t="n">
        <v>0.4602</v>
      </c>
      <c r="BH32" s="34" t="n">
        <v>0.4706</v>
      </c>
      <c r="BI32" s="34" t="n">
        <v>0.608</v>
      </c>
      <c r="BJ32" s="31" t="n">
        <v>1</v>
      </c>
      <c r="BK32" s="25" t="n">
        <v>37.76</v>
      </c>
      <c r="BL32" s="25" t="n">
        <v>27.25</v>
      </c>
      <c r="BM32" s="25" t="n">
        <v>32.1964</v>
      </c>
      <c r="BN32" s="34" t="n">
        <v>0.5157</v>
      </c>
      <c r="BO32" s="28">
        <f>IF(M32=N32,0.5,(J32-N32)/(M32-N32))</f>
        <v/>
      </c>
      <c r="BP32" s="35" t="n">
        <v>17.734</v>
      </c>
      <c r="BQ32" s="35" t="n">
        <v>12.693</v>
      </c>
      <c r="BR32" s="36">
        <f>100*(0.4*MIN(1,MAX(0,((U32*100)-(0.0))/((2.5)-(0.0))))+0.3*MIN(1,MAX(0,((V32)-(0.6))/((1.0)-(0.6))))+0.3*MIN(1,MAX(0,((BP32)-(0.0))/((15.0)-(0.0)))))</f>
        <v/>
      </c>
      <c r="BS32" s="36">
        <f>100*(0.4*MIN(1,MAX(0,((MIN(ABS(AA32),ABS(AB32)))-(0.75))/((0.0)-(0.75))))+0.3*MIN(1,MAX(0,((BN32)-(1.2))/((0.6)-(1.2))))+0.3*BO32)</f>
        <v/>
      </c>
      <c r="BT32" s="36">
        <f>100*(0.5*MIN(1,MAX(0,((AK32)-(1.0))/((4.0)-(1.0))))+0.3*MIN(1,MAX(0,((IF(ISNUMBER(AO32),AO32,0)*100)-(0.0))/((8.0)-(0.0))))+0.2*MIN(1,MAX(0,((IF(ISNUMBER(AP32),AP32,0))-(25.0))/((5.0)-(25.0)))))</f>
        <v/>
      </c>
      <c r="BU32" s="36">
        <f>100*(0.35*MIN(1,MAX(0,((ABS(BF32))-(0.3))/((0.05)-(0.3))))+0.3*MIN(1,MAX(0,((BG32)-(0.0))/((0.3)-(0.0))))+0.25*MIN(1,MAX(0,((BH32)-(0.4))/((0.7)-(0.4))))+0.1*IF(BJ32&gt;=2,1,0.5))</f>
        <v/>
      </c>
      <c r="BV32" s="37">
        <f>0.25*BR32+0.25*BS32+0.2*BT32+0.3*BU32</f>
        <v/>
      </c>
      <c r="BW32" s="22" t="inlineStr">
        <is>
          <t>C4 上升三角／重心偏上</t>
        </is>
      </c>
      <c r="BX32" s="22" t="inlineStr"/>
    </row>
    <row r="33">
      <c r="A33" s="22" t="n">
        <v>2</v>
      </c>
      <c r="B33" s="22" t="n">
        <v>6</v>
      </c>
      <c r="C33" s="23" t="inlineStr">
        <is>
          <t>AXTI</t>
        </is>
      </c>
      <c r="D33" s="22" t="inlineStr">
        <is>
          <t>AXT Inc</t>
        </is>
      </c>
      <c r="E33" s="22" t="inlineStr">
        <is>
          <t>NASDAQ</t>
        </is>
      </c>
      <c r="F33" s="22" t="inlineStr">
        <is>
          <t>科技</t>
        </is>
      </c>
      <c r="G33" s="22" t="inlineStr">
        <is>
          <t>Semiconductors</t>
        </is>
      </c>
      <c r="H33" s="24" t="n">
        <v>5.076</v>
      </c>
      <c r="I33" s="22" t="inlineStr">
        <is>
          <t>中型</t>
        </is>
      </c>
      <c r="J33" s="25" t="n">
        <v>85.87</v>
      </c>
      <c r="K33" s="25" t="n">
        <v>81.81</v>
      </c>
      <c r="L33" s="26">
        <f>J33/K33-1</f>
        <v/>
      </c>
      <c r="M33" s="25" t="n">
        <v>87.55</v>
      </c>
      <c r="N33" s="25" t="n">
        <v>80.70999999999999</v>
      </c>
      <c r="O33" s="27" t="n">
        <v>7328100</v>
      </c>
      <c r="P33" s="27" t="n">
        <v>8954795</v>
      </c>
      <c r="Q33" s="28">
        <f>O33/P33</f>
        <v/>
      </c>
      <c r="R33" s="25" t="n">
        <v>78.13849999999999</v>
      </c>
      <c r="S33" s="25" t="n">
        <v>73.4872</v>
      </c>
      <c r="T33" s="25" t="n">
        <v>69.5573</v>
      </c>
      <c r="U33" s="26">
        <f>S33/T33-1</f>
        <v/>
      </c>
      <c r="V33" s="29" t="n">
        <v>1</v>
      </c>
      <c r="W33" s="26">
        <f>J33/R33-1</f>
        <v/>
      </c>
      <c r="X33" s="26">
        <f>J33/S33-1</f>
        <v/>
      </c>
      <c r="Y33" s="25" t="n">
        <v>7.0944</v>
      </c>
      <c r="Z33" s="30">
        <f>Y33/J33</f>
        <v/>
      </c>
      <c r="AA33" s="28">
        <f>(J33-R33)/Y33</f>
        <v/>
      </c>
      <c r="AB33" s="28">
        <f>(J33-S33)/Y33</f>
        <v/>
      </c>
      <c r="AC33" s="22">
        <f>IF(ABS(AA33)&lt;=ABS(AB33),"9EMA","21EMA")</f>
        <v/>
      </c>
      <c r="AD33" s="22" t="inlineStr">
        <is>
          <t>—</t>
        </is>
      </c>
      <c r="AE33" s="22" t="inlineStr">
        <is>
          <t>持續在上方</t>
        </is>
      </c>
      <c r="AF33" s="22" t="inlineStr"/>
      <c r="AG33" s="22" t="inlineStr"/>
      <c r="AH33" s="22" t="inlineStr"/>
      <c r="AI33" s="22" t="inlineStr">
        <is>
          <t>2026-09-21</t>
        </is>
      </c>
      <c r="AJ33" s="22" t="n">
        <v>9</v>
      </c>
      <c r="AK33" s="31" t="n">
        <v>3</v>
      </c>
      <c r="AL33" s="22" t="inlineStr">
        <is>
          <t>2026-09-24</t>
        </is>
      </c>
      <c r="AM33" s="25" t="n">
        <v>69.59999999999999</v>
      </c>
      <c r="AN33" s="25" t="n">
        <v>56.9</v>
      </c>
      <c r="AO33" s="26">
        <f>IF(ISNUMBER(AN33),AM33/AN33-1,"")</f>
        <v/>
      </c>
      <c r="AP33" s="31" t="n">
        <v>6</v>
      </c>
      <c r="AQ33" s="26">
        <f>IF(ISNUMBER(AM33),J33/AM33-1,"")</f>
        <v/>
      </c>
      <c r="AR33" s="25" t="n">
        <v>85.87</v>
      </c>
      <c r="AS33" s="26">
        <f>J33/AR33-1</f>
        <v/>
      </c>
      <c r="AT33" s="32" t="n">
        <v>4.0885</v>
      </c>
      <c r="AU33" s="32" t="n">
        <v>2.5538</v>
      </c>
      <c r="AV33" s="32" t="n">
        <v>2.1701</v>
      </c>
      <c r="AW33" s="33">
        <f>AU33-AV33</f>
        <v/>
      </c>
      <c r="AX33" s="32" t="n">
        <v>1.5348</v>
      </c>
      <c r="AY33" s="32" t="n">
        <v>1.298</v>
      </c>
      <c r="AZ33" s="32" t="n">
        <v>1.1935</v>
      </c>
      <c r="BA33" s="22" t="inlineStr">
        <is>
          <t>深綠</t>
        </is>
      </c>
      <c r="BB33" s="22" t="inlineStr">
        <is>
          <t>淺綠→深綠</t>
        </is>
      </c>
      <c r="BC33" s="22" t="n">
        <v>1</v>
      </c>
      <c r="BD33" s="22" t="inlineStr">
        <is>
          <t>淺綠 淺綠 深綠 淺綠 淺綠 淺綠 深綠 深綠</t>
        </is>
      </c>
      <c r="BE33" s="22" t="inlineStr">
        <is>
          <t>上傾收窄（楔形）</t>
        </is>
      </c>
      <c r="BF33" s="34" t="n">
        <v>1.1005</v>
      </c>
      <c r="BG33" s="34" t="n">
        <v>1.425</v>
      </c>
      <c r="BH33" s="34" t="n">
        <v>0.4678</v>
      </c>
      <c r="BI33" s="34" t="n">
        <v>0.4343</v>
      </c>
      <c r="BJ33" s="31" t="n">
        <v>1</v>
      </c>
      <c r="BK33" s="25" t="n">
        <v>87.55</v>
      </c>
      <c r="BL33" s="25" t="n">
        <v>52.76</v>
      </c>
      <c r="BM33" s="25" t="n">
        <v>69.0355</v>
      </c>
      <c r="BN33" s="34" t="n">
        <v>0.7655999999999999</v>
      </c>
      <c r="BO33" s="28">
        <f>IF(M33=N33,0.5,(J33-N33)/(M33-N33))</f>
        <v/>
      </c>
      <c r="BP33" s="35" t="n">
        <v>55.822</v>
      </c>
      <c r="BQ33" s="35" t="n">
        <v>50.781</v>
      </c>
      <c r="BR33" s="36">
        <f>100*(0.4*MIN(1,MAX(0,((U33*100)-(0.0))/((2.5)-(0.0))))+0.3*MIN(1,MAX(0,((V33)-(0.6))/((1.0)-(0.6))))+0.3*MIN(1,MAX(0,((BP33)-(0.0))/((15.0)-(0.0)))))</f>
        <v/>
      </c>
      <c r="BS33" s="36">
        <f>100*(0.4*MIN(1,MAX(0,((MIN(ABS(AA33),ABS(AB33)))-(0.75))/((0.0)-(0.75))))+0.3*MIN(1,MAX(0,((BN33)-(1.2))/((0.6)-(1.2))))+0.3*BO33)</f>
        <v/>
      </c>
      <c r="BT33" s="36">
        <f>100*(0.5*MIN(1,MAX(0,((AK33)-(1.0))/((4.0)-(1.0))))+0.3*MIN(1,MAX(0,((IF(ISNUMBER(AO33),AO33,0)*100)-(0.0))/((8.0)-(0.0))))+0.2*MIN(1,MAX(0,((IF(ISNUMBER(AP33),AP33,0))-(25.0))/((5.0)-(25.0)))))</f>
        <v/>
      </c>
      <c r="BU33" s="36">
        <f>100*(0.35*MIN(1,MAX(0,((ABS(BF33))-(0.3))/((0.05)-(0.3))))+0.3*MIN(1,MAX(0,((BG33)-(0.0))/((0.3)-(0.0))))+0.25*MIN(1,MAX(0,((BH33)-(0.4))/((0.7)-(0.4))))+0.1*IF(BJ33&gt;=2,1,0.5))</f>
        <v/>
      </c>
      <c r="BV33" s="37">
        <f>0.25*BR33+0.25*BS33+0.2*BT33+0.3*BU33</f>
        <v/>
      </c>
      <c r="BW33" s="22" t="inlineStr">
        <is>
          <t>C4 上升三角／重心偏上</t>
        </is>
      </c>
      <c r="BX33" s="22" t="inlineStr"/>
    </row>
    <row r="34">
      <c r="A34" s="22" t="n">
        <v>2</v>
      </c>
      <c r="B34" s="22" t="n">
        <v>7</v>
      </c>
      <c r="C34" s="23" t="inlineStr">
        <is>
          <t>PGEN</t>
        </is>
      </c>
      <c r="D34" s="22" t="inlineStr">
        <is>
          <t>Precigen Inc.</t>
        </is>
      </c>
      <c r="E34" s="22" t="inlineStr">
        <is>
          <t>NASDAQ</t>
        </is>
      </c>
      <c r="F34" s="22" t="inlineStr">
        <is>
          <t>醫療保健</t>
        </is>
      </c>
      <c r="G34" s="22" t="inlineStr">
        <is>
          <t>Biotechnology: Pharmaceutical Preparations</t>
        </is>
      </c>
      <c r="H34" s="24" t="n">
        <v>3.065</v>
      </c>
      <c r="I34" s="22" t="inlineStr">
        <is>
          <t>中型</t>
        </is>
      </c>
      <c r="J34" s="25" t="n">
        <v>8.539999999999999</v>
      </c>
      <c r="K34" s="25" t="n">
        <v>8.210000000000001</v>
      </c>
      <c r="L34" s="26">
        <f>J34/K34-1</f>
        <v/>
      </c>
      <c r="M34" s="25" t="n">
        <v>8.550000000000001</v>
      </c>
      <c r="N34" s="25" t="n">
        <v>8.18</v>
      </c>
      <c r="O34" s="27" t="n">
        <v>6361900</v>
      </c>
      <c r="P34" s="27" t="n">
        <v>5067305</v>
      </c>
      <c r="Q34" s="28">
        <f>O34/P34</f>
        <v/>
      </c>
      <c r="R34" s="25" t="n">
        <v>8.0611</v>
      </c>
      <c r="S34" s="25" t="n">
        <v>7.671</v>
      </c>
      <c r="T34" s="25" t="n">
        <v>7.3089</v>
      </c>
      <c r="U34" s="26">
        <f>S34/T34-1</f>
        <v/>
      </c>
      <c r="V34" s="29" t="n">
        <v>1</v>
      </c>
      <c r="W34" s="26">
        <f>J34/R34-1</f>
        <v/>
      </c>
      <c r="X34" s="26">
        <f>J34/S34-1</f>
        <v/>
      </c>
      <c r="Y34" s="25" t="n">
        <v>0.4327</v>
      </c>
      <c r="Z34" s="30">
        <f>Y34/J34</f>
        <v/>
      </c>
      <c r="AA34" s="28">
        <f>(J34-R34)/Y34</f>
        <v/>
      </c>
      <c r="AB34" s="28">
        <f>(J34-S34)/Y34</f>
        <v/>
      </c>
      <c r="AC34" s="22">
        <f>IF(ABS(AA34)&lt;=ABS(AB34),"9EMA","21EMA")</f>
        <v/>
      </c>
      <c r="AD34" s="22" t="inlineStr">
        <is>
          <t>—</t>
        </is>
      </c>
      <c r="AE34" s="22" t="inlineStr">
        <is>
          <t>持續在上方</t>
        </is>
      </c>
      <c r="AF34" s="22" t="inlineStr"/>
      <c r="AG34" s="22" t="inlineStr"/>
      <c r="AH34" s="22" t="inlineStr"/>
      <c r="AI34" s="22" t="inlineStr">
        <is>
          <t>2026-06-12</t>
        </is>
      </c>
      <c r="AJ34" s="22" t="n">
        <v>77</v>
      </c>
      <c r="AK34" s="31" t="n">
        <v>2</v>
      </c>
      <c r="AL34" s="22" t="inlineStr">
        <is>
          <t>2026-09-23</t>
        </is>
      </c>
      <c r="AM34" s="25" t="n">
        <v>7.19</v>
      </c>
      <c r="AN34" s="25" t="n">
        <v>6.54</v>
      </c>
      <c r="AO34" s="26">
        <f>IF(ISNUMBER(AN34),AM34/AN34-1,"")</f>
        <v/>
      </c>
      <c r="AP34" s="31" t="n">
        <v>7</v>
      </c>
      <c r="AQ34" s="26">
        <f>IF(ISNUMBER(AM34),J34/AM34-1,"")</f>
        <v/>
      </c>
      <c r="AR34" s="25" t="n">
        <v>8.56</v>
      </c>
      <c r="AS34" s="26">
        <f>J34/AR34-1</f>
        <v/>
      </c>
      <c r="AT34" s="32" t="n">
        <v>0.3962</v>
      </c>
      <c r="AU34" s="32" t="n">
        <v>0.3219</v>
      </c>
      <c r="AV34" s="32" t="n">
        <v>0.3033</v>
      </c>
      <c r="AW34" s="33">
        <f>AU34-AV34</f>
        <v/>
      </c>
      <c r="AX34" s="32" t="n">
        <v>0.0743</v>
      </c>
      <c r="AY34" s="32" t="n">
        <v>0.06370000000000001</v>
      </c>
      <c r="AZ34" s="32" t="n">
        <v>0.0707</v>
      </c>
      <c r="BA34" s="22" t="inlineStr">
        <is>
          <t>深綠</t>
        </is>
      </c>
      <c r="BB34" s="22" t="inlineStr">
        <is>
          <t>淺綠→深綠</t>
        </is>
      </c>
      <c r="BC34" s="22" t="n">
        <v>0</v>
      </c>
      <c r="BD34" s="22" t="inlineStr">
        <is>
          <t>淺綠 淺綠 淺綠 淺綠 深綠 深綠 淺綠 深綠</t>
        </is>
      </c>
      <c r="BE34" s="22" t="inlineStr">
        <is>
          <t>上傾擴張</t>
        </is>
      </c>
      <c r="BF34" s="34" t="n">
        <v>1.0018</v>
      </c>
      <c r="BG34" s="34" t="n">
        <v>0.4511</v>
      </c>
      <c r="BH34" s="34" t="n">
        <v>0.453</v>
      </c>
      <c r="BI34" s="34" t="n">
        <v>0.5134</v>
      </c>
      <c r="BJ34" s="31" t="n">
        <v>1</v>
      </c>
      <c r="BK34" s="25" t="n">
        <v>8.98</v>
      </c>
      <c r="BL34" s="25" t="n">
        <v>6.54</v>
      </c>
      <c r="BM34" s="25" t="n">
        <v>7.6452</v>
      </c>
      <c r="BN34" s="34" t="n">
        <v>0.7422</v>
      </c>
      <c r="BO34" s="28">
        <f>IF(M34=N34,0.5,(J34-N34)/(M34-N34))</f>
        <v/>
      </c>
      <c r="BP34" s="35" t="n">
        <v>26.867</v>
      </c>
      <c r="BQ34" s="35" t="n">
        <v>21.826</v>
      </c>
      <c r="BR34" s="36">
        <f>100*(0.4*MIN(1,MAX(0,((U34*100)-(0.0))/((2.5)-(0.0))))+0.3*MIN(1,MAX(0,((V34)-(0.6))/((1.0)-(0.6))))+0.3*MIN(1,MAX(0,((BP34)-(0.0))/((15.0)-(0.0)))))</f>
        <v/>
      </c>
      <c r="BS34" s="36">
        <f>100*(0.4*MIN(1,MAX(0,((MIN(ABS(AA34),ABS(AB34)))-(0.75))/((0.0)-(0.75))))+0.3*MIN(1,MAX(0,((BN34)-(1.2))/((0.6)-(1.2))))+0.3*BO34)</f>
        <v/>
      </c>
      <c r="BT34" s="36">
        <f>100*(0.5*MIN(1,MAX(0,((AK34)-(1.0))/((4.0)-(1.0))))+0.3*MIN(1,MAX(0,((IF(ISNUMBER(AO34),AO34,0)*100)-(0.0))/((8.0)-(0.0))))+0.2*MIN(1,MAX(0,((IF(ISNUMBER(AP34),AP34,0))-(25.0))/((5.0)-(25.0)))))</f>
        <v/>
      </c>
      <c r="BU34" s="36">
        <f>100*(0.35*MIN(1,MAX(0,((ABS(BF34))-(0.3))/((0.05)-(0.3))))+0.3*MIN(1,MAX(0,((BG34)-(0.0))/((0.3)-(0.0))))+0.25*MIN(1,MAX(0,((BH34)-(0.4))/((0.7)-(0.4))))+0.1*IF(BJ34&gt;=2,1,0.5))</f>
        <v/>
      </c>
      <c r="BV34" s="37">
        <f>0.25*BR34+0.25*BS34+0.2*BT34+0.3*BU34</f>
        <v/>
      </c>
      <c r="BW34" s="22" t="inlineStr">
        <is>
          <t>C4 上升三角／重心偏上</t>
        </is>
      </c>
      <c r="BX34" s="22" t="inlineStr"/>
    </row>
    <row r="35">
      <c r="A35" s="22" t="n">
        <v>2</v>
      </c>
      <c r="B35" s="22" t="n">
        <v>8</v>
      </c>
      <c r="C35" s="23" t="inlineStr">
        <is>
          <t>HPE</t>
        </is>
      </c>
      <c r="D35" s="22" t="inlineStr">
        <is>
          <t>Hewlett Packard Enterprise Company</t>
        </is>
      </c>
      <c r="E35" s="22" t="inlineStr">
        <is>
          <t>NYSE</t>
        </is>
      </c>
      <c r="F35" s="22" t="inlineStr">
        <is>
          <t>科技</t>
        </is>
      </c>
      <c r="G35" s="22" t="inlineStr">
        <is>
          <t>Retail: Computer Software &amp; Peripheral Equipment</t>
        </is>
      </c>
      <c r="H35" s="24" t="n">
        <v>84.812</v>
      </c>
      <c r="I35" s="22" t="inlineStr">
        <is>
          <t>大型</t>
        </is>
      </c>
      <c r="J35" s="25" t="n">
        <v>69.33</v>
      </c>
      <c r="K35" s="25" t="n">
        <v>64.58</v>
      </c>
      <c r="L35" s="26">
        <f>J35/K35-1</f>
        <v/>
      </c>
      <c r="M35" s="25" t="n">
        <v>70.29000000000001</v>
      </c>
      <c r="N35" s="25" t="n">
        <v>66</v>
      </c>
      <c r="O35" s="27" t="n">
        <v>29049700</v>
      </c>
      <c r="P35" s="27" t="n">
        <v>23624740</v>
      </c>
      <c r="Q35" s="28">
        <f>O35/P35</f>
        <v/>
      </c>
      <c r="R35" s="25" t="n">
        <v>63.7902</v>
      </c>
      <c r="S35" s="25" t="n">
        <v>60.7941</v>
      </c>
      <c r="T35" s="25" t="n">
        <v>58.4056</v>
      </c>
      <c r="U35" s="26">
        <f>S35/T35-1</f>
        <v/>
      </c>
      <c r="V35" s="29" t="n">
        <v>1</v>
      </c>
      <c r="W35" s="26">
        <f>J35/R35-1</f>
        <v/>
      </c>
      <c r="X35" s="26">
        <f>J35/S35-1</f>
        <v/>
      </c>
      <c r="Y35" s="25" t="n">
        <v>3.7631</v>
      </c>
      <c r="Z35" s="30">
        <f>Y35/J35</f>
        <v/>
      </c>
      <c r="AA35" s="28">
        <f>(J35-R35)/Y35</f>
        <v/>
      </c>
      <c r="AB35" s="28">
        <f>(J35-S35)/Y35</f>
        <v/>
      </c>
      <c r="AC35" s="22">
        <f>IF(ABS(AA35)&lt;=ABS(AB35),"9EMA","21EMA")</f>
        <v/>
      </c>
      <c r="AD35" s="22" t="inlineStr">
        <is>
          <t>9EMA</t>
        </is>
      </c>
      <c r="AE35" s="22" t="inlineStr">
        <is>
          <t>持續在上方</t>
        </is>
      </c>
      <c r="AF35" s="22" t="inlineStr"/>
      <c r="AG35" s="22" t="inlineStr"/>
      <c r="AH35" s="22" t="inlineStr"/>
      <c r="AI35" s="22" t="inlineStr">
        <is>
          <t>2026-09-03</t>
        </is>
      </c>
      <c r="AJ35" s="22" t="n">
        <v>20</v>
      </c>
      <c r="AK35" s="31" t="n">
        <v>2</v>
      </c>
      <c r="AL35" s="22" t="inlineStr">
        <is>
          <t>2026-09-16</t>
        </is>
      </c>
      <c r="AM35" s="25" t="n">
        <v>55.02</v>
      </c>
      <c r="AN35" s="25" t="n">
        <v>45.7</v>
      </c>
      <c r="AO35" s="26">
        <f>IF(ISNUMBER(AN35),AM35/AN35-1,"")</f>
        <v/>
      </c>
      <c r="AP35" s="31" t="n">
        <v>12</v>
      </c>
      <c r="AQ35" s="26">
        <f>IF(ISNUMBER(AM35),J35/AM35-1,"")</f>
        <v/>
      </c>
      <c r="AR35" s="25" t="n">
        <v>69.33</v>
      </c>
      <c r="AS35" s="26">
        <f>J35/AR35-1</f>
        <v/>
      </c>
      <c r="AT35" s="32" t="n">
        <v>3.0401</v>
      </c>
      <c r="AU35" s="32" t="n">
        <v>2.507</v>
      </c>
      <c r="AV35" s="32" t="n">
        <v>2.3738</v>
      </c>
      <c r="AW35" s="33">
        <f>AU35-AV35</f>
        <v/>
      </c>
      <c r="AX35" s="32" t="n">
        <v>0.533</v>
      </c>
      <c r="AY35" s="32" t="n">
        <v>0.2544</v>
      </c>
      <c r="AZ35" s="32" t="n">
        <v>0.2377</v>
      </c>
      <c r="BA35" s="22" t="inlineStr">
        <is>
          <t>深綠</t>
        </is>
      </c>
      <c r="BB35" s="22" t="inlineStr">
        <is>
          <t>淺綠→深綠</t>
        </is>
      </c>
      <c r="BC35" s="22" t="n">
        <v>2</v>
      </c>
      <c r="BD35" s="22" t="inlineStr">
        <is>
          <t>深綠 深綠 淺綠 淺綠 淺綠 深綠 深綠 深綠</t>
        </is>
      </c>
      <c r="BE35" s="22" t="inlineStr">
        <is>
          <t>上傾收窄（楔形）</t>
        </is>
      </c>
      <c r="BF35" s="34" t="n">
        <v>0.9252</v>
      </c>
      <c r="BG35" s="34" t="n">
        <v>1.6804</v>
      </c>
      <c r="BH35" s="34" t="n">
        <v>0.4997</v>
      </c>
      <c r="BI35" s="34" t="n">
        <v>0.3856</v>
      </c>
      <c r="BJ35" s="31" t="n">
        <v>1</v>
      </c>
      <c r="BK35" s="25" t="n">
        <v>70.29000000000001</v>
      </c>
      <c r="BL35" s="25" t="n">
        <v>45.7</v>
      </c>
      <c r="BM35" s="25" t="n">
        <v>57.9888</v>
      </c>
      <c r="BN35" s="34" t="n">
        <v>0.6622</v>
      </c>
      <c r="BO35" s="28">
        <f>IF(M35=N35,0.5,(J35-N35)/(M35-N35))</f>
        <v/>
      </c>
      <c r="BP35" s="35" t="n">
        <v>38.805</v>
      </c>
      <c r="BQ35" s="35" t="n">
        <v>33.764</v>
      </c>
      <c r="BR35" s="36">
        <f>100*(0.4*MIN(1,MAX(0,((U35*100)-(0.0))/((2.5)-(0.0))))+0.3*MIN(1,MAX(0,((V35)-(0.6))/((1.0)-(0.6))))+0.3*MIN(1,MAX(0,((BP35)-(0.0))/((15.0)-(0.0)))))</f>
        <v/>
      </c>
      <c r="BS35" s="36">
        <f>100*(0.4*MIN(1,MAX(0,((MIN(ABS(AA35),ABS(AB35)))-(0.75))/((0.0)-(0.75))))+0.3*MIN(1,MAX(0,((BN35)-(1.2))/((0.6)-(1.2))))+0.3*BO35)</f>
        <v/>
      </c>
      <c r="BT35" s="36">
        <f>100*(0.5*MIN(1,MAX(0,((AK35)-(1.0))/((4.0)-(1.0))))+0.3*MIN(1,MAX(0,((IF(ISNUMBER(AO35),AO35,0)*100)-(0.0))/((8.0)-(0.0))))+0.2*MIN(1,MAX(0,((IF(ISNUMBER(AP35),AP35,0))-(25.0))/((5.0)-(25.0)))))</f>
        <v/>
      </c>
      <c r="BU35" s="36">
        <f>100*(0.35*MIN(1,MAX(0,((ABS(BF35))-(0.3))/((0.05)-(0.3))))+0.3*MIN(1,MAX(0,((BG35)-(0.0))/((0.3)-(0.0))))+0.25*MIN(1,MAX(0,((BH35)-(0.4))/((0.7)-(0.4))))+0.1*IF(BJ35&gt;=2,1,0.5))</f>
        <v/>
      </c>
      <c r="BV35" s="37">
        <f>0.25*BR35+0.25*BS35+0.2*BT35+0.3*BU35</f>
        <v/>
      </c>
      <c r="BW35" s="22" t="inlineStr">
        <is>
          <t>C4 上升三角／重心偏上</t>
        </is>
      </c>
      <c r="BX35" s="22" t="inlineStr"/>
    </row>
    <row r="36">
      <c r="A36" s="22" t="n">
        <v>2</v>
      </c>
      <c r="B36" s="22" t="n">
        <v>9</v>
      </c>
      <c r="C36" s="23" t="inlineStr">
        <is>
          <t>S</t>
        </is>
      </c>
      <c r="D36" s="22" t="inlineStr">
        <is>
          <t>SentinelOne Inc.</t>
        </is>
      </c>
      <c r="E36" s="22" t="inlineStr">
        <is>
          <t>NYSE</t>
        </is>
      </c>
      <c r="F36" s="22" t="inlineStr">
        <is>
          <t>科技</t>
        </is>
      </c>
      <c r="G36" s="22" t="inlineStr">
        <is>
          <t>Computer Software: Prepackaged Software</t>
        </is>
      </c>
      <c r="H36" s="24" t="n">
        <v>8.27</v>
      </c>
      <c r="I36" s="22" t="inlineStr">
        <is>
          <t>中型</t>
        </is>
      </c>
      <c r="J36" s="25" t="n">
        <v>25.06</v>
      </c>
      <c r="K36" s="25" t="n">
        <v>24.67</v>
      </c>
      <c r="L36" s="26">
        <f>J36/K36-1</f>
        <v/>
      </c>
      <c r="M36" s="25" t="n">
        <v>25.75</v>
      </c>
      <c r="N36" s="25" t="n">
        <v>24.92</v>
      </c>
      <c r="O36" s="27" t="n">
        <v>11317600</v>
      </c>
      <c r="P36" s="27" t="n">
        <v>8668240</v>
      </c>
      <c r="Q36" s="28">
        <f>O36/P36</f>
        <v/>
      </c>
      <c r="R36" s="25" t="n">
        <v>23.7866</v>
      </c>
      <c r="S36" s="25" t="n">
        <v>22.8988</v>
      </c>
      <c r="T36" s="25" t="n">
        <v>22.213</v>
      </c>
      <c r="U36" s="26">
        <f>S36/T36-1</f>
        <v/>
      </c>
      <c r="V36" s="29" t="n">
        <v>1</v>
      </c>
      <c r="W36" s="26">
        <f>J36/R36-1</f>
        <v/>
      </c>
      <c r="X36" s="26">
        <f>J36/S36-1</f>
        <v/>
      </c>
      <c r="Y36" s="25" t="n">
        <v>1.1261</v>
      </c>
      <c r="Z36" s="30">
        <f>Y36/J36</f>
        <v/>
      </c>
      <c r="AA36" s="28">
        <f>(J36-R36)/Y36</f>
        <v/>
      </c>
      <c r="AB36" s="28">
        <f>(J36-S36)/Y36</f>
        <v/>
      </c>
      <c r="AC36" s="22">
        <f>IF(ABS(AA36)&lt;=ABS(AB36),"9EMA","21EMA")</f>
        <v/>
      </c>
      <c r="AD36" s="22" t="inlineStr">
        <is>
          <t>9EMA</t>
        </is>
      </c>
      <c r="AE36" s="22" t="inlineStr">
        <is>
          <t>持續在上方</t>
        </is>
      </c>
      <c r="AF36" s="22" t="inlineStr"/>
      <c r="AG36" s="22" t="inlineStr"/>
      <c r="AH36" s="22" t="inlineStr"/>
      <c r="AI36" s="22" t="inlineStr">
        <is>
          <t>2026-09-15</t>
        </is>
      </c>
      <c r="AJ36" s="22" t="n">
        <v>13</v>
      </c>
      <c r="AK36" s="31" t="n">
        <v>2</v>
      </c>
      <c r="AL36" s="22" t="inlineStr">
        <is>
          <t>2026-09-28</t>
        </is>
      </c>
      <c r="AM36" s="25" t="n">
        <v>21.79</v>
      </c>
      <c r="AN36" s="25" t="n">
        <v>19.07</v>
      </c>
      <c r="AO36" s="26">
        <f>IF(ISNUMBER(AN36),AM36/AN36-1,"")</f>
        <v/>
      </c>
      <c r="AP36" s="31" t="n">
        <v>4</v>
      </c>
      <c r="AQ36" s="26">
        <f>IF(ISNUMBER(AM36),J36/AM36-1,"")</f>
        <v/>
      </c>
      <c r="AR36" s="25" t="n">
        <v>25.06</v>
      </c>
      <c r="AS36" s="26">
        <f>J36/AR36-1</f>
        <v/>
      </c>
      <c r="AT36" s="32" t="n">
        <v>0.9046</v>
      </c>
      <c r="AU36" s="32" t="n">
        <v>0.7522</v>
      </c>
      <c r="AV36" s="32" t="n">
        <v>0.7141</v>
      </c>
      <c r="AW36" s="33">
        <f>AU36-AV36</f>
        <v/>
      </c>
      <c r="AX36" s="32" t="n">
        <v>0.1525</v>
      </c>
      <c r="AY36" s="32" t="n">
        <v>0.1065</v>
      </c>
      <c r="AZ36" s="32" t="n">
        <v>0.0535</v>
      </c>
      <c r="BA36" s="22" t="inlineStr">
        <is>
          <t>深綠</t>
        </is>
      </c>
      <c r="BB36" s="22" t="inlineStr">
        <is>
          <t>淺綠→深綠</t>
        </is>
      </c>
      <c r="BC36" s="22" t="n">
        <v>2</v>
      </c>
      <c r="BD36" s="22" t="inlineStr">
        <is>
          <t>深綠 淺綠 淺綠 淺綠 淺綠 深綠 深綠 深綠</t>
        </is>
      </c>
      <c r="BE36" s="22" t="inlineStr">
        <is>
          <t>上傾收窄（楔形）</t>
        </is>
      </c>
      <c r="BF36" s="34" t="n">
        <v>0.1141</v>
      </c>
      <c r="BG36" s="34" t="n">
        <v>0.7753</v>
      </c>
      <c r="BH36" s="34" t="n">
        <v>0.4791</v>
      </c>
      <c r="BI36" s="34" t="n">
        <v>0.5044999999999999</v>
      </c>
      <c r="BJ36" s="31" t="n">
        <v>1</v>
      </c>
      <c r="BK36" s="25" t="n">
        <v>25.75</v>
      </c>
      <c r="BL36" s="25" t="n">
        <v>19.07</v>
      </c>
      <c r="BM36" s="25" t="n">
        <v>22.2704</v>
      </c>
      <c r="BN36" s="34" t="n">
        <v>1.005</v>
      </c>
      <c r="BO36" s="28">
        <f>IF(M36=N36,0.5,(J36-N36)/(M36-N36))</f>
        <v/>
      </c>
      <c r="BP36" s="35" t="n">
        <v>32.378</v>
      </c>
      <c r="BQ36" s="35" t="n">
        <v>27.337</v>
      </c>
      <c r="BR36" s="36">
        <f>100*(0.4*MIN(1,MAX(0,((U36*100)-(0.0))/((2.5)-(0.0))))+0.3*MIN(1,MAX(0,((V36)-(0.6))/((1.0)-(0.6))))+0.3*MIN(1,MAX(0,((BP36)-(0.0))/((15.0)-(0.0)))))</f>
        <v/>
      </c>
      <c r="BS36" s="36">
        <f>100*(0.4*MIN(1,MAX(0,((MIN(ABS(AA36),ABS(AB36)))-(0.75))/((0.0)-(0.75))))+0.3*MIN(1,MAX(0,((BN36)-(1.2))/((0.6)-(1.2))))+0.3*BO36)</f>
        <v/>
      </c>
      <c r="BT36" s="36">
        <f>100*(0.5*MIN(1,MAX(0,((AK36)-(1.0))/((4.0)-(1.0))))+0.3*MIN(1,MAX(0,((IF(ISNUMBER(AO36),AO36,0)*100)-(0.0))/((8.0)-(0.0))))+0.2*MIN(1,MAX(0,((IF(ISNUMBER(AP36),AP36,0))-(25.0))/((5.0)-(25.0)))))</f>
        <v/>
      </c>
      <c r="BU36" s="36">
        <f>100*(0.35*MIN(1,MAX(0,((ABS(BF36))-(0.3))/((0.05)-(0.3))))+0.3*MIN(1,MAX(0,((BG36)-(0.0))/((0.3)-(0.0))))+0.25*MIN(1,MAX(0,((BH36)-(0.4))/((0.7)-(0.4))))+0.1*IF(BJ36&gt;=2,1,0.5))</f>
        <v/>
      </c>
      <c r="BV36" s="37">
        <f>0.25*BR36+0.25*BS36+0.2*BT36+0.3*BU36</f>
        <v/>
      </c>
      <c r="BW36" s="22" t="inlineStr">
        <is>
          <t>C4 上升三角／重心偏上</t>
        </is>
      </c>
      <c r="BX36" s="22" t="inlineStr"/>
    </row>
    <row r="37">
      <c r="A37" s="22" t="n">
        <v>2</v>
      </c>
      <c r="B37" s="22" t="n">
        <v>10</v>
      </c>
      <c r="C37" s="23" t="inlineStr">
        <is>
          <t>FTK</t>
        </is>
      </c>
      <c r="D37" s="22" t="inlineStr">
        <is>
          <t>Flotek Industries Inc.</t>
        </is>
      </c>
      <c r="E37" s="22" t="inlineStr">
        <is>
          <t>NYSE</t>
        </is>
      </c>
      <c r="F37" s="22" t="inlineStr">
        <is>
          <t>工業</t>
        </is>
      </c>
      <c r="G37" s="22" t="inlineStr">
        <is>
          <t>Major Chemicals</t>
        </is>
      </c>
      <c r="H37" s="24" t="n">
        <v>1.062</v>
      </c>
      <c r="I37" s="22" t="inlineStr">
        <is>
          <t>小型</t>
        </is>
      </c>
      <c r="J37" s="25" t="n">
        <v>30.94</v>
      </c>
      <c r="K37" s="25" t="n">
        <v>29.79</v>
      </c>
      <c r="L37" s="26">
        <f>J37/K37-1</f>
        <v/>
      </c>
      <c r="M37" s="25" t="n">
        <v>31.76</v>
      </c>
      <c r="N37" s="25" t="n">
        <v>30.12</v>
      </c>
      <c r="O37" s="27" t="n">
        <v>406200</v>
      </c>
      <c r="P37" s="27" t="n">
        <v>487785</v>
      </c>
      <c r="Q37" s="28">
        <f>O37/P37</f>
        <v/>
      </c>
      <c r="R37" s="25" t="n">
        <v>29.5667</v>
      </c>
      <c r="S37" s="25" t="n">
        <v>28.734</v>
      </c>
      <c r="T37" s="25" t="n">
        <v>28.2557</v>
      </c>
      <c r="U37" s="26">
        <f>S37/T37-1</f>
        <v/>
      </c>
      <c r="V37" s="29" t="n">
        <v>1</v>
      </c>
      <c r="W37" s="26">
        <f>J37/R37-1</f>
        <v/>
      </c>
      <c r="X37" s="26">
        <f>J37/S37-1</f>
        <v/>
      </c>
      <c r="Y37" s="25" t="n">
        <v>1.8813</v>
      </c>
      <c r="Z37" s="30">
        <f>Y37/J37</f>
        <v/>
      </c>
      <c r="AA37" s="28">
        <f>(J37-R37)/Y37</f>
        <v/>
      </c>
      <c r="AB37" s="28">
        <f>(J37-S37)/Y37</f>
        <v/>
      </c>
      <c r="AC37" s="22">
        <f>IF(ABS(AA37)&lt;=ABS(AB37),"9EMA","21EMA")</f>
        <v/>
      </c>
      <c r="AD37" s="22" t="inlineStr">
        <is>
          <t>9+21EMA</t>
        </is>
      </c>
      <c r="AE37" s="22" t="inlineStr">
        <is>
          <t>持續在上方</t>
        </is>
      </c>
      <c r="AF37" s="22" t="inlineStr"/>
      <c r="AG37" s="22" t="inlineStr"/>
      <c r="AH37" s="22" t="inlineStr"/>
      <c r="AI37" s="22" t="inlineStr">
        <is>
          <t>2026-09-16</t>
        </is>
      </c>
      <c r="AJ37" s="22" t="n">
        <v>12</v>
      </c>
      <c r="AK37" s="31" t="n">
        <v>2</v>
      </c>
      <c r="AL37" s="22" t="inlineStr">
        <is>
          <t>2026-09-14</t>
        </is>
      </c>
      <c r="AM37" s="25" t="n">
        <v>25.91</v>
      </c>
      <c r="AN37" s="25" t="n">
        <v>22.15</v>
      </c>
      <c r="AO37" s="26">
        <f>IF(ISNUMBER(AN37),AM37/AN37-1,"")</f>
        <v/>
      </c>
      <c r="AP37" s="31" t="n">
        <v>14</v>
      </c>
      <c r="AQ37" s="26">
        <f>IF(ISNUMBER(AM37),J37/AM37-1,"")</f>
        <v/>
      </c>
      <c r="AR37" s="25" t="n">
        <v>31.4</v>
      </c>
      <c r="AS37" s="26">
        <f>J37/AR37-1</f>
        <v/>
      </c>
      <c r="AT37" s="32" t="n">
        <v>0.8333</v>
      </c>
      <c r="AU37" s="32" t="n">
        <v>0.706</v>
      </c>
      <c r="AV37" s="32" t="n">
        <v>0.6742</v>
      </c>
      <c r="AW37" s="33">
        <f>AU37-AV37</f>
        <v/>
      </c>
      <c r="AX37" s="32" t="n">
        <v>0.1272</v>
      </c>
      <c r="AY37" s="32" t="n">
        <v>0.0618</v>
      </c>
      <c r="AZ37" s="32" t="n">
        <v>0.0595</v>
      </c>
      <c r="BA37" s="22" t="inlineStr">
        <is>
          <t>深綠</t>
        </is>
      </c>
      <c r="BB37" s="22" t="inlineStr">
        <is>
          <t>淺綠→深綠</t>
        </is>
      </c>
      <c r="BC37" s="22" t="n">
        <v>1</v>
      </c>
      <c r="BD37" s="22" t="inlineStr">
        <is>
          <t>淺綠 淺綠 淺綠 淺綠 淺綠 淺綠 深綠 深綠</t>
        </is>
      </c>
      <c r="BE37" s="22" t="inlineStr">
        <is>
          <t>上傾收窄（楔形）</t>
        </is>
      </c>
      <c r="BF37" s="34" t="n">
        <v>1.1348</v>
      </c>
      <c r="BG37" s="34" t="n">
        <v>1.7361</v>
      </c>
      <c r="BH37" s="34" t="n">
        <v>0.6083</v>
      </c>
      <c r="BI37" s="34" t="n">
        <v>0.6138</v>
      </c>
      <c r="BJ37" s="31" t="n">
        <v>4</v>
      </c>
      <c r="BK37" s="25" t="n">
        <v>31.89</v>
      </c>
      <c r="BL37" s="25" t="n">
        <v>22.15</v>
      </c>
      <c r="BM37" s="25" t="n">
        <v>28.0745</v>
      </c>
      <c r="BN37" s="34" t="n">
        <v>0.5171</v>
      </c>
      <c r="BO37" s="28">
        <f>IF(M37=N37,0.5,(J37-N37)/(M37-N37))</f>
        <v/>
      </c>
      <c r="BP37" s="35" t="n">
        <v>37.433</v>
      </c>
      <c r="BQ37" s="35" t="n">
        <v>32.392</v>
      </c>
      <c r="BR37" s="36">
        <f>100*(0.4*MIN(1,MAX(0,((U37*100)-(0.0))/((2.5)-(0.0))))+0.3*MIN(1,MAX(0,((V37)-(0.6))/((1.0)-(0.6))))+0.3*MIN(1,MAX(0,((BP37)-(0.0))/((15.0)-(0.0)))))</f>
        <v/>
      </c>
      <c r="BS37" s="36">
        <f>100*(0.4*MIN(1,MAX(0,((MIN(ABS(AA37),ABS(AB37)))-(0.75))/((0.0)-(0.75))))+0.3*MIN(1,MAX(0,((BN37)-(1.2))/((0.6)-(1.2))))+0.3*BO37)</f>
        <v/>
      </c>
      <c r="BT37" s="36">
        <f>100*(0.5*MIN(1,MAX(0,((AK37)-(1.0))/((4.0)-(1.0))))+0.3*MIN(1,MAX(0,((IF(ISNUMBER(AO37),AO37,0)*100)-(0.0))/((8.0)-(0.0))))+0.2*MIN(1,MAX(0,((IF(ISNUMBER(AP37),AP37,0))-(25.0))/((5.0)-(25.0)))))</f>
        <v/>
      </c>
      <c r="BU37" s="36">
        <f>100*(0.35*MIN(1,MAX(0,((ABS(BF37))-(0.3))/((0.05)-(0.3))))+0.3*MIN(1,MAX(0,((BG37)-(0.0))/((0.3)-(0.0))))+0.25*MIN(1,MAX(0,((BH37)-(0.4))/((0.7)-(0.4))))+0.1*IF(BJ37&gt;=2,1,0.5))</f>
        <v/>
      </c>
      <c r="BV37" s="37">
        <f>0.25*BR37+0.25*BS37+0.2*BT37+0.3*BU37</f>
        <v/>
      </c>
      <c r="BW37" s="22" t="inlineStr">
        <is>
          <t>C4 上升三角／重心偏上</t>
        </is>
      </c>
      <c r="BX37" s="22" t="inlineStr"/>
    </row>
    <row r="38">
      <c r="A38" s="22" t="n">
        <v>2</v>
      </c>
      <c r="B38" s="22" t="n">
        <v>11</v>
      </c>
      <c r="C38" s="23" t="inlineStr">
        <is>
          <t>AEHR</t>
        </is>
      </c>
      <c r="D38" s="22" t="inlineStr">
        <is>
          <t>Aehr Test Systems</t>
        </is>
      </c>
      <c r="E38" s="22" t="inlineStr">
        <is>
          <t>NASDAQ</t>
        </is>
      </c>
      <c r="F38" s="22" t="inlineStr">
        <is>
          <t>工業</t>
        </is>
      </c>
      <c r="G38" s="22" t="inlineStr">
        <is>
          <t>Electrical Products</t>
        </is>
      </c>
      <c r="H38" s="24" t="n">
        <v>3.254</v>
      </c>
      <c r="I38" s="22" t="inlineStr">
        <is>
          <t>中型</t>
        </is>
      </c>
      <c r="J38" s="25" t="n">
        <v>107.21</v>
      </c>
      <c r="K38" s="25" t="n">
        <v>101.6</v>
      </c>
      <c r="L38" s="26">
        <f>J38/K38-1</f>
        <v/>
      </c>
      <c r="M38" s="25" t="n">
        <v>109.48</v>
      </c>
      <c r="N38" s="25" t="n">
        <v>103.5</v>
      </c>
      <c r="O38" s="27" t="n">
        <v>2194100</v>
      </c>
      <c r="P38" s="27" t="n">
        <v>2601830</v>
      </c>
      <c r="Q38" s="28">
        <f>O38/P38</f>
        <v/>
      </c>
      <c r="R38" s="25" t="n">
        <v>100.3893</v>
      </c>
      <c r="S38" s="25" t="n">
        <v>97.08540000000001</v>
      </c>
      <c r="T38" s="25" t="n">
        <v>94.1486</v>
      </c>
      <c r="U38" s="26">
        <f>S38/T38-1</f>
        <v/>
      </c>
      <c r="V38" s="29" t="n">
        <v>1</v>
      </c>
      <c r="W38" s="26">
        <f>J38/R38-1</f>
        <v/>
      </c>
      <c r="X38" s="26">
        <f>J38/S38-1</f>
        <v/>
      </c>
      <c r="Y38" s="25" t="n">
        <v>8.495900000000001</v>
      </c>
      <c r="Z38" s="30">
        <f>Y38/J38</f>
        <v/>
      </c>
      <c r="AA38" s="28">
        <f>(J38-R38)/Y38</f>
        <v/>
      </c>
      <c r="AB38" s="28">
        <f>(J38-S38)/Y38</f>
        <v/>
      </c>
      <c r="AC38" s="22">
        <f>IF(ABS(AA38)&lt;=ABS(AB38),"9EMA","21EMA")</f>
        <v/>
      </c>
      <c r="AD38" s="22" t="inlineStr">
        <is>
          <t>9EMA</t>
        </is>
      </c>
      <c r="AE38" s="22" t="inlineStr">
        <is>
          <t>持續在上方</t>
        </is>
      </c>
      <c r="AF38" s="22" t="inlineStr"/>
      <c r="AG38" s="22" t="inlineStr"/>
      <c r="AH38" s="22" t="inlineStr"/>
      <c r="AI38" s="22" t="inlineStr">
        <is>
          <t>2026-09-22</t>
        </is>
      </c>
      <c r="AJ38" s="22" t="n">
        <v>8</v>
      </c>
      <c r="AK38" s="31" t="n">
        <v>3</v>
      </c>
      <c r="AL38" s="22" t="inlineStr">
        <is>
          <t>2026-09-15</t>
        </is>
      </c>
      <c r="AM38" s="25" t="n">
        <v>80.95</v>
      </c>
      <c r="AN38" s="25" t="n">
        <v>74.23</v>
      </c>
      <c r="AO38" s="26">
        <f>IF(ISNUMBER(AN38),AM38/AN38-1,"")</f>
        <v/>
      </c>
      <c r="AP38" s="31" t="n">
        <v>13</v>
      </c>
      <c r="AQ38" s="26">
        <f>IF(ISNUMBER(AM38),J38/AM38-1,"")</f>
        <v/>
      </c>
      <c r="AR38" s="25" t="n">
        <v>107.21</v>
      </c>
      <c r="AS38" s="26">
        <f>J38/AR38-1</f>
        <v/>
      </c>
      <c r="AT38" s="32" t="n">
        <v>2.5776</v>
      </c>
      <c r="AU38" s="32" t="n">
        <v>1.0276</v>
      </c>
      <c r="AV38" s="32" t="n">
        <v>0.6401</v>
      </c>
      <c r="AW38" s="33">
        <f>AU38-AV38</f>
        <v/>
      </c>
      <c r="AX38" s="32" t="n">
        <v>1.55</v>
      </c>
      <c r="AY38" s="32" t="n">
        <v>1.3211</v>
      </c>
      <c r="AZ38" s="32" t="n">
        <v>1.4074</v>
      </c>
      <c r="BA38" s="22" t="inlineStr">
        <is>
          <t>深綠</t>
        </is>
      </c>
      <c r="BB38" s="22" t="inlineStr">
        <is>
          <t>淺綠→深綠</t>
        </is>
      </c>
      <c r="BC38" s="22" t="n">
        <v>0</v>
      </c>
      <c r="BD38" s="22" t="inlineStr">
        <is>
          <t>深綠 淺綠 深綠 淺綠 淺綠 淺綠 淺綠 深綠</t>
        </is>
      </c>
      <c r="BE38" s="22" t="inlineStr">
        <is>
          <t>上傾擴張</t>
        </is>
      </c>
      <c r="BF38" s="34" t="n">
        <v>0.9375</v>
      </c>
      <c r="BG38" s="34" t="n">
        <v>0.6965</v>
      </c>
      <c r="BH38" s="34" t="n">
        <v>0.4674</v>
      </c>
      <c r="BI38" s="34" t="n">
        <v>0.4666</v>
      </c>
      <c r="BJ38" s="31" t="n">
        <v>2</v>
      </c>
      <c r="BK38" s="25" t="n">
        <v>109.48</v>
      </c>
      <c r="BL38" s="25" t="n">
        <v>74.23</v>
      </c>
      <c r="BM38" s="25" t="n">
        <v>90.7052</v>
      </c>
      <c r="BN38" s="34" t="n">
        <v>0.9500999999999999</v>
      </c>
      <c r="BO38" s="28">
        <f>IF(M38=N38,0.5,(J38-N38)/(M38-N38))</f>
        <v/>
      </c>
      <c r="BP38" s="35" t="n">
        <v>38.653</v>
      </c>
      <c r="BQ38" s="35" t="n">
        <v>33.612</v>
      </c>
      <c r="BR38" s="36">
        <f>100*(0.4*MIN(1,MAX(0,((U38*100)-(0.0))/((2.5)-(0.0))))+0.3*MIN(1,MAX(0,((V38)-(0.6))/((1.0)-(0.6))))+0.3*MIN(1,MAX(0,((BP38)-(0.0))/((15.0)-(0.0)))))</f>
        <v/>
      </c>
      <c r="BS38" s="36">
        <f>100*(0.4*MIN(1,MAX(0,((MIN(ABS(AA38),ABS(AB38)))-(0.75))/((0.0)-(0.75))))+0.3*MIN(1,MAX(0,((BN38)-(1.2))/((0.6)-(1.2))))+0.3*BO38)</f>
        <v/>
      </c>
      <c r="BT38" s="36">
        <f>100*(0.5*MIN(1,MAX(0,((AK38)-(1.0))/((4.0)-(1.0))))+0.3*MIN(1,MAX(0,((IF(ISNUMBER(AO38),AO38,0)*100)-(0.0))/((8.0)-(0.0))))+0.2*MIN(1,MAX(0,((IF(ISNUMBER(AP38),AP38,0))-(25.0))/((5.0)-(25.0)))))</f>
        <v/>
      </c>
      <c r="BU38" s="36">
        <f>100*(0.35*MIN(1,MAX(0,((ABS(BF38))-(0.3))/((0.05)-(0.3))))+0.3*MIN(1,MAX(0,((BG38)-(0.0))/((0.3)-(0.0))))+0.25*MIN(1,MAX(0,((BH38)-(0.4))/((0.7)-(0.4))))+0.1*IF(BJ38&gt;=2,1,0.5))</f>
        <v/>
      </c>
      <c r="BV38" s="37">
        <f>0.25*BR38+0.25*BS38+0.2*BT38+0.3*BU38</f>
        <v/>
      </c>
      <c r="BW38" s="22" t="inlineStr">
        <is>
          <t>C4 上升三角／重心偏上</t>
        </is>
      </c>
      <c r="BX38" s="22" t="inlineStr"/>
    </row>
    <row r="39">
      <c r="A39" s="22" t="n">
        <v>2</v>
      </c>
      <c r="B39" s="22" t="n">
        <v>12</v>
      </c>
      <c r="C39" s="23" t="inlineStr">
        <is>
          <t>QMCO</t>
        </is>
      </c>
      <c r="D39" s="22" t="inlineStr">
        <is>
          <t>Quantum Corporation</t>
        </is>
      </c>
      <c r="E39" s="22" t="inlineStr">
        <is>
          <t>NASDAQ</t>
        </is>
      </c>
      <c r="F39" s="22" t="inlineStr">
        <is>
          <t>科技</t>
        </is>
      </c>
      <c r="G39" s="22" t="inlineStr">
        <is>
          <t>Electronic Components</t>
        </is>
      </c>
      <c r="H39" s="24" t="n">
        <v>1.25</v>
      </c>
      <c r="I39" s="22" t="inlineStr">
        <is>
          <t>小型</t>
        </is>
      </c>
      <c r="J39" s="25" t="n">
        <v>34.5</v>
      </c>
      <c r="K39" s="25" t="n">
        <v>31.89</v>
      </c>
      <c r="L39" s="26">
        <f>J39/K39-1</f>
        <v/>
      </c>
      <c r="M39" s="25" t="n">
        <v>35.17</v>
      </c>
      <c r="N39" s="25" t="n">
        <v>29.85</v>
      </c>
      <c r="O39" s="27" t="n">
        <v>3576500</v>
      </c>
      <c r="P39" s="27" t="n">
        <v>1836965</v>
      </c>
      <c r="Q39" s="28">
        <f>O39/P39</f>
        <v/>
      </c>
      <c r="R39" s="25" t="n">
        <v>30.8552</v>
      </c>
      <c r="S39" s="25" t="n">
        <v>27.775</v>
      </c>
      <c r="T39" s="25" t="n">
        <v>24.8435</v>
      </c>
      <c r="U39" s="26">
        <f>S39/T39-1</f>
        <v/>
      </c>
      <c r="V39" s="29" t="n">
        <v>1</v>
      </c>
      <c r="W39" s="26">
        <f>J39/R39-1</f>
        <v/>
      </c>
      <c r="X39" s="26">
        <f>J39/S39-1</f>
        <v/>
      </c>
      <c r="Y39" s="25" t="n">
        <v>2.6866</v>
      </c>
      <c r="Z39" s="30">
        <f>Y39/J39</f>
        <v/>
      </c>
      <c r="AA39" s="28">
        <f>(J39-R39)/Y39</f>
        <v/>
      </c>
      <c r="AB39" s="28">
        <f>(J39-S39)/Y39</f>
        <v/>
      </c>
      <c r="AC39" s="22">
        <f>IF(ABS(AA39)&lt;=ABS(AB39),"9EMA","21EMA")</f>
        <v/>
      </c>
      <c r="AD39" s="22" t="inlineStr">
        <is>
          <t>9EMA</t>
        </is>
      </c>
      <c r="AE39" s="22" t="inlineStr">
        <is>
          <t>持續在上方</t>
        </is>
      </c>
      <c r="AF39" s="22" t="inlineStr"/>
      <c r="AG39" s="22" t="inlineStr"/>
      <c r="AH39" s="22" t="inlineStr"/>
      <c r="AI39" s="22" t="inlineStr">
        <is>
          <t>2026-08-05</t>
        </is>
      </c>
      <c r="AJ39" s="22" t="n">
        <v>41</v>
      </c>
      <c r="AK39" s="31" t="n">
        <v>6</v>
      </c>
      <c r="AL39" s="22" t="inlineStr">
        <is>
          <t>2026-09-14</t>
        </is>
      </c>
      <c r="AM39" s="25" t="n">
        <v>21.8</v>
      </c>
      <c r="AN39" s="25" t="n">
        <v>21.41</v>
      </c>
      <c r="AO39" s="26">
        <f>IF(ISNUMBER(AN39),AM39/AN39-1,"")</f>
        <v/>
      </c>
      <c r="AP39" s="31" t="n">
        <v>14</v>
      </c>
      <c r="AQ39" s="26">
        <f>IF(ISNUMBER(AM39),J39/AM39-1,"")</f>
        <v/>
      </c>
      <c r="AR39" s="25" t="n">
        <v>34.5</v>
      </c>
      <c r="AS39" s="26">
        <f>J39/AR39-1</f>
        <v/>
      </c>
      <c r="AT39" s="32" t="n">
        <v>3.141</v>
      </c>
      <c r="AU39" s="32" t="n">
        <v>2.58</v>
      </c>
      <c r="AV39" s="32" t="n">
        <v>2.4397</v>
      </c>
      <c r="AW39" s="33">
        <f>AU39-AV39</f>
        <v/>
      </c>
      <c r="AX39" s="32" t="n">
        <v>0.5610000000000001</v>
      </c>
      <c r="AY39" s="32" t="n">
        <v>0.4869</v>
      </c>
      <c r="AZ39" s="32" t="n">
        <v>0.5582</v>
      </c>
      <c r="BA39" s="22" t="inlineStr">
        <is>
          <t>深綠</t>
        </is>
      </c>
      <c r="BB39" s="22" t="inlineStr">
        <is>
          <t>淺綠→深綠</t>
        </is>
      </c>
      <c r="BC39" s="22" t="n">
        <v>0</v>
      </c>
      <c r="BD39" s="22" t="inlineStr">
        <is>
          <t>淺紅 深綠 深綠 深綠 深綠 淺綠 淺綠 深綠</t>
        </is>
      </c>
      <c r="BE39" s="22" t="inlineStr">
        <is>
          <t>上傾擴張</t>
        </is>
      </c>
      <c r="BF39" s="34" t="n">
        <v>1.3876</v>
      </c>
      <c r="BG39" s="34" t="n">
        <v>0.1256</v>
      </c>
      <c r="BH39" s="34" t="n">
        <v>0.4787</v>
      </c>
      <c r="BI39" s="34" t="n">
        <v>0.4687</v>
      </c>
      <c r="BJ39" s="31" t="n">
        <v>2</v>
      </c>
      <c r="BK39" s="25" t="n">
        <v>35.17</v>
      </c>
      <c r="BL39" s="25" t="n">
        <v>21.41</v>
      </c>
      <c r="BM39" s="25" t="n">
        <v>27.9969</v>
      </c>
      <c r="BN39" s="34" t="n">
        <v>0.4317</v>
      </c>
      <c r="BO39" s="28">
        <f>IF(M39=N39,0.5,(J39-N39)/(M39-N39))</f>
        <v/>
      </c>
      <c r="BP39" s="35" t="n">
        <v>56.49</v>
      </c>
      <c r="BQ39" s="35" t="n">
        <v>51.449</v>
      </c>
      <c r="BR39" s="36">
        <f>100*(0.4*MIN(1,MAX(0,((U39*100)-(0.0))/((2.5)-(0.0))))+0.3*MIN(1,MAX(0,((V39)-(0.6))/((1.0)-(0.6))))+0.3*MIN(1,MAX(0,((BP39)-(0.0))/((15.0)-(0.0)))))</f>
        <v/>
      </c>
      <c r="BS39" s="36">
        <f>100*(0.4*MIN(1,MAX(0,((MIN(ABS(AA39),ABS(AB39)))-(0.75))/((0.0)-(0.75))))+0.3*MIN(1,MAX(0,((BN39)-(1.2))/((0.6)-(1.2))))+0.3*BO39)</f>
        <v/>
      </c>
      <c r="BT39" s="36">
        <f>100*(0.5*MIN(1,MAX(0,((AK39)-(1.0))/((4.0)-(1.0))))+0.3*MIN(1,MAX(0,((IF(ISNUMBER(AO39),AO39,0)*100)-(0.0))/((8.0)-(0.0))))+0.2*MIN(1,MAX(0,((IF(ISNUMBER(AP39),AP39,0))-(25.0))/((5.0)-(25.0)))))</f>
        <v/>
      </c>
      <c r="BU39" s="36">
        <f>100*(0.35*MIN(1,MAX(0,((ABS(BF39))-(0.3))/((0.05)-(0.3))))+0.3*MIN(1,MAX(0,((BG39)-(0.0))/((0.3)-(0.0))))+0.25*MIN(1,MAX(0,((BH39)-(0.4))/((0.7)-(0.4))))+0.1*IF(BJ39&gt;=2,1,0.5))</f>
        <v/>
      </c>
      <c r="BV39" s="37">
        <f>0.25*BR39+0.25*BS39+0.2*BT39+0.3*BU39</f>
        <v/>
      </c>
      <c r="BW39" s="22" t="inlineStr">
        <is>
          <t>C4 上升三角／重心偏上</t>
        </is>
      </c>
      <c r="BX39" s="22" t="inlineStr"/>
    </row>
    <row r="40">
      <c r="A40" s="22" t="n">
        <v>2</v>
      </c>
      <c r="B40" s="22" t="n">
        <v>13</v>
      </c>
      <c r="C40" s="23" t="inlineStr">
        <is>
          <t>AVT</t>
        </is>
      </c>
      <c r="D40" s="22" t="inlineStr">
        <is>
          <t>Avnet Inc.</t>
        </is>
      </c>
      <c r="E40" s="22" t="inlineStr">
        <is>
          <t>NASDAQ</t>
        </is>
      </c>
      <c r="F40" s="22" t="inlineStr">
        <is>
          <t>科技</t>
        </is>
      </c>
      <c r="G40" s="22" t="inlineStr">
        <is>
          <t>Electronic Components</t>
        </is>
      </c>
      <c r="H40" s="24" t="n">
        <v>8.202999999999999</v>
      </c>
      <c r="I40" s="22" t="inlineStr">
        <is>
          <t>中型</t>
        </is>
      </c>
      <c r="J40" s="25" t="n">
        <v>106.94</v>
      </c>
      <c r="K40" s="25" t="n">
        <v>102.24</v>
      </c>
      <c r="L40" s="26">
        <f>J40/K40-1</f>
        <v/>
      </c>
      <c r="M40" s="25" t="n">
        <v>108.63</v>
      </c>
      <c r="N40" s="25" t="n">
        <v>103.72</v>
      </c>
      <c r="O40" s="27" t="n">
        <v>2155900</v>
      </c>
      <c r="P40" s="27" t="n">
        <v>1435020</v>
      </c>
      <c r="Q40" s="28">
        <f>O40/P40</f>
        <v/>
      </c>
      <c r="R40" s="25" t="n">
        <v>101.5385</v>
      </c>
      <c r="S40" s="25" t="n">
        <v>98.2045</v>
      </c>
      <c r="T40" s="25" t="n">
        <v>95.3801</v>
      </c>
      <c r="U40" s="26">
        <f>S40/T40-1</f>
        <v/>
      </c>
      <c r="V40" s="29" t="n">
        <v>1</v>
      </c>
      <c r="W40" s="26">
        <f>J40/R40-1</f>
        <v/>
      </c>
      <c r="X40" s="26">
        <f>J40/S40-1</f>
        <v/>
      </c>
      <c r="Y40" s="25" t="n">
        <v>4.0145</v>
      </c>
      <c r="Z40" s="30">
        <f>Y40/J40</f>
        <v/>
      </c>
      <c r="AA40" s="28">
        <f>(J40-R40)/Y40</f>
        <v/>
      </c>
      <c r="AB40" s="28">
        <f>(J40-S40)/Y40</f>
        <v/>
      </c>
      <c r="AC40" s="22">
        <f>IF(ABS(AA40)&lt;=ABS(AB40),"9EMA","21EMA")</f>
        <v/>
      </c>
      <c r="AD40" s="22" t="inlineStr">
        <is>
          <t>9EMA</t>
        </is>
      </c>
      <c r="AE40" s="22" t="inlineStr">
        <is>
          <t>持續在上方</t>
        </is>
      </c>
      <c r="AF40" s="22" t="inlineStr"/>
      <c r="AG40" s="22" t="inlineStr"/>
      <c r="AH40" s="22" t="inlineStr"/>
      <c r="AI40" s="22" t="inlineStr">
        <is>
          <t>2026-09-08</t>
        </is>
      </c>
      <c r="AJ40" s="22" t="n">
        <v>18</v>
      </c>
      <c r="AK40" s="31" t="n">
        <v>5</v>
      </c>
      <c r="AL40" s="22" t="inlineStr">
        <is>
          <t>2026-09-16</t>
        </is>
      </c>
      <c r="AM40" s="25" t="n">
        <v>90.90000000000001</v>
      </c>
      <c r="AN40" s="25" t="n">
        <v>86.70999999999999</v>
      </c>
      <c r="AO40" s="26">
        <f>IF(ISNUMBER(AN40),AM40/AN40-1,"")</f>
        <v/>
      </c>
      <c r="AP40" s="31" t="n">
        <v>12</v>
      </c>
      <c r="AQ40" s="26">
        <f>IF(ISNUMBER(AM40),J40/AM40-1,"")</f>
        <v/>
      </c>
      <c r="AR40" s="25" t="n">
        <v>106.94</v>
      </c>
      <c r="AS40" s="26">
        <f>J40/AR40-1</f>
        <v/>
      </c>
      <c r="AT40" s="32" t="n">
        <v>3.2157</v>
      </c>
      <c r="AU40" s="32" t="n">
        <v>2.4591</v>
      </c>
      <c r="AV40" s="32" t="n">
        <v>2.27</v>
      </c>
      <c r="AW40" s="33">
        <f>AU40-AV40</f>
        <v/>
      </c>
      <c r="AX40" s="32" t="n">
        <v>0.7566000000000001</v>
      </c>
      <c r="AY40" s="32" t="n">
        <v>0.5478</v>
      </c>
      <c r="AZ40" s="32" t="n">
        <v>0.6143999999999999</v>
      </c>
      <c r="BA40" s="22" t="inlineStr">
        <is>
          <t>深綠</t>
        </is>
      </c>
      <c r="BB40" s="22" t="inlineStr">
        <is>
          <t>淺綠→深綠</t>
        </is>
      </c>
      <c r="BC40" s="22" t="n">
        <v>0</v>
      </c>
      <c r="BD40" s="22" t="inlineStr">
        <is>
          <t>深綠 深綠 深綠 淺綠 淺綠 淺綠 淺綠 深綠</t>
        </is>
      </c>
      <c r="BE40" s="22" t="inlineStr">
        <is>
          <t>上升通道</t>
        </is>
      </c>
      <c r="BF40" s="34" t="n">
        <v>0.5819</v>
      </c>
      <c r="BG40" s="34" t="n">
        <v>0.4898</v>
      </c>
      <c r="BH40" s="34" t="n">
        <v>0.4507</v>
      </c>
      <c r="BI40" s="34" t="n">
        <v>0.4347</v>
      </c>
      <c r="BJ40" s="31" t="n">
        <v>1</v>
      </c>
      <c r="BK40" s="25" t="n">
        <v>108.63</v>
      </c>
      <c r="BL40" s="25" t="n">
        <v>86.70999999999999</v>
      </c>
      <c r="BM40" s="25" t="n">
        <v>96.5889</v>
      </c>
      <c r="BN40" s="34" t="n">
        <v>0.9245</v>
      </c>
      <c r="BO40" s="28">
        <f>IF(M40=N40,0.5,(J40-N40)/(M40-N40))</f>
        <v/>
      </c>
      <c r="BP40" s="35" t="n">
        <v>23.876</v>
      </c>
      <c r="BQ40" s="35" t="n">
        <v>18.835</v>
      </c>
      <c r="BR40" s="36">
        <f>100*(0.4*MIN(1,MAX(0,((U40*100)-(0.0))/((2.5)-(0.0))))+0.3*MIN(1,MAX(0,((V40)-(0.6))/((1.0)-(0.6))))+0.3*MIN(1,MAX(0,((BP40)-(0.0))/((15.0)-(0.0)))))</f>
        <v/>
      </c>
      <c r="BS40" s="36">
        <f>100*(0.4*MIN(1,MAX(0,((MIN(ABS(AA40),ABS(AB40)))-(0.75))/((0.0)-(0.75))))+0.3*MIN(1,MAX(0,((BN40)-(1.2))/((0.6)-(1.2))))+0.3*BO40)</f>
        <v/>
      </c>
      <c r="BT40" s="36">
        <f>100*(0.5*MIN(1,MAX(0,((AK40)-(1.0))/((4.0)-(1.0))))+0.3*MIN(1,MAX(0,((IF(ISNUMBER(AO40),AO40,0)*100)-(0.0))/((8.0)-(0.0))))+0.2*MIN(1,MAX(0,((IF(ISNUMBER(AP40),AP40,0))-(25.0))/((5.0)-(25.0)))))</f>
        <v/>
      </c>
      <c r="BU40" s="36">
        <f>100*(0.35*MIN(1,MAX(0,((ABS(BF40))-(0.3))/((0.05)-(0.3))))+0.3*MIN(1,MAX(0,((BG40)-(0.0))/((0.3)-(0.0))))+0.25*MIN(1,MAX(0,((BH40)-(0.4))/((0.7)-(0.4))))+0.1*IF(BJ40&gt;=2,1,0.5))</f>
        <v/>
      </c>
      <c r="BV40" s="37">
        <f>0.25*BR40+0.25*BS40+0.2*BT40+0.3*BU40</f>
        <v/>
      </c>
      <c r="BW40" s="22" t="inlineStr">
        <is>
          <t>C4 上升三角／重心偏上</t>
        </is>
      </c>
      <c r="BX40" s="22" t="inlineStr"/>
    </row>
    <row r="41">
      <c r="A41" s="22" t="n">
        <v>2</v>
      </c>
      <c r="B41" s="22" t="n">
        <v>14</v>
      </c>
      <c r="C41" s="23" t="inlineStr">
        <is>
          <t>ABSI</t>
        </is>
      </c>
      <c r="D41" s="22" t="inlineStr">
        <is>
          <t>Absci Corporation</t>
        </is>
      </c>
      <c r="E41" s="22" t="inlineStr">
        <is>
          <t>NASDAQ</t>
        </is>
      </c>
      <c r="F41" s="22" t="inlineStr">
        <is>
          <t>醫療保健</t>
        </is>
      </c>
      <c r="G41" s="22" t="inlineStr">
        <is>
          <t>Biotechnology: Commercial Physical &amp; Biological Resarch</t>
        </is>
      </c>
      <c r="H41" s="24" t="n">
        <v>1.848</v>
      </c>
      <c r="I41" s="22" t="inlineStr">
        <is>
          <t>小型</t>
        </is>
      </c>
      <c r="J41" s="25" t="n">
        <v>11.07</v>
      </c>
      <c r="K41" s="25" t="n">
        <v>10.75</v>
      </c>
      <c r="L41" s="26">
        <f>J41/K41-1</f>
        <v/>
      </c>
      <c r="M41" s="25" t="n">
        <v>11.345</v>
      </c>
      <c r="N41" s="25" t="n">
        <v>10.83</v>
      </c>
      <c r="O41" s="27" t="n">
        <v>3380300</v>
      </c>
      <c r="P41" s="27" t="n">
        <v>4019715</v>
      </c>
      <c r="Q41" s="28">
        <f>O41/P41</f>
        <v/>
      </c>
      <c r="R41" s="25" t="n">
        <v>10.2804</v>
      </c>
      <c r="S41" s="25" t="n">
        <v>9.7341</v>
      </c>
      <c r="T41" s="25" t="n">
        <v>9.2578</v>
      </c>
      <c r="U41" s="26">
        <f>S41/T41-1</f>
        <v/>
      </c>
      <c r="V41" s="29" t="n">
        <v>1</v>
      </c>
      <c r="W41" s="26">
        <f>J41/R41-1</f>
        <v/>
      </c>
      <c r="X41" s="26">
        <f>J41/S41-1</f>
        <v/>
      </c>
      <c r="Y41" s="25" t="n">
        <v>0.7459</v>
      </c>
      <c r="Z41" s="30">
        <f>Y41/J41</f>
        <v/>
      </c>
      <c r="AA41" s="28">
        <f>(J41-R41)/Y41</f>
        <v/>
      </c>
      <c r="AB41" s="28">
        <f>(J41-S41)/Y41</f>
        <v/>
      </c>
      <c r="AC41" s="22">
        <f>IF(ABS(AA41)&lt;=ABS(AB41),"9EMA","21EMA")</f>
        <v/>
      </c>
      <c r="AD41" s="22" t="inlineStr">
        <is>
          <t>—</t>
        </is>
      </c>
      <c r="AE41" s="22" t="inlineStr">
        <is>
          <t>持續在上方</t>
        </is>
      </c>
      <c r="AF41" s="22" t="inlineStr"/>
      <c r="AG41" s="22" t="inlineStr"/>
      <c r="AH41" s="22" t="inlineStr"/>
      <c r="AI41" s="22" t="inlineStr">
        <is>
          <t>2026-09-21</t>
        </is>
      </c>
      <c r="AJ41" s="22" t="n">
        <v>9</v>
      </c>
      <c r="AK41" s="31" t="n">
        <v>2</v>
      </c>
      <c r="AL41" s="22" t="inlineStr">
        <is>
          <t>2026-09-28</t>
        </is>
      </c>
      <c r="AM41" s="25" t="n">
        <v>9.25</v>
      </c>
      <c r="AN41" s="25" t="n">
        <v>7.79</v>
      </c>
      <c r="AO41" s="26">
        <f>IF(ISNUMBER(AN41),AM41/AN41-1,"")</f>
        <v/>
      </c>
      <c r="AP41" s="31" t="n">
        <v>4</v>
      </c>
      <c r="AQ41" s="26">
        <f>IF(ISNUMBER(AM41),J41/AM41-1,"")</f>
        <v/>
      </c>
      <c r="AR41" s="25" t="n">
        <v>11.07</v>
      </c>
      <c r="AS41" s="26">
        <f>J41/AR41-1</f>
        <v/>
      </c>
      <c r="AT41" s="32" t="n">
        <v>0.4881</v>
      </c>
      <c r="AU41" s="32" t="n">
        <v>0.3107</v>
      </c>
      <c r="AV41" s="32" t="n">
        <v>0.2663</v>
      </c>
      <c r="AW41" s="33">
        <f>AU41-AV41</f>
        <v/>
      </c>
      <c r="AX41" s="32" t="n">
        <v>0.1774</v>
      </c>
      <c r="AY41" s="32" t="n">
        <v>0.1615</v>
      </c>
      <c r="AZ41" s="32" t="n">
        <v>0.1514</v>
      </c>
      <c r="BA41" s="22" t="inlineStr">
        <is>
          <t>深綠</t>
        </is>
      </c>
      <c r="BB41" s="22" t="inlineStr">
        <is>
          <t>淺綠→深綠</t>
        </is>
      </c>
      <c r="BC41" s="22" t="n">
        <v>3</v>
      </c>
      <c r="BD41" s="22" t="inlineStr">
        <is>
          <t>淺綠 深綠 淺綠 淺綠 深綠 深綠 深綠 深綠</t>
        </is>
      </c>
      <c r="BE41" s="22" t="inlineStr">
        <is>
          <t>上傾擴張</t>
        </is>
      </c>
      <c r="BF41" s="34" t="n">
        <v>0.8884</v>
      </c>
      <c r="BG41" s="34" t="n">
        <v>0.4935</v>
      </c>
      <c r="BH41" s="34" t="n">
        <v>0.4878</v>
      </c>
      <c r="BI41" s="34" t="n">
        <v>0.5061</v>
      </c>
      <c r="BJ41" s="31" t="n">
        <v>3</v>
      </c>
      <c r="BK41" s="25" t="n">
        <v>11.345</v>
      </c>
      <c r="BL41" s="25" t="n">
        <v>7.79</v>
      </c>
      <c r="BM41" s="25" t="n">
        <v>9.524100000000001</v>
      </c>
      <c r="BN41" s="34" t="n">
        <v>0.8294</v>
      </c>
      <c r="BO41" s="28">
        <f>IF(M41=N41,0.5,(J41-N41)/(M41-N41))</f>
        <v/>
      </c>
      <c r="BP41" s="35" t="n">
        <v>30.836</v>
      </c>
      <c r="BQ41" s="35" t="n">
        <v>25.795</v>
      </c>
      <c r="BR41" s="36">
        <f>100*(0.4*MIN(1,MAX(0,((U41*100)-(0.0))/((2.5)-(0.0))))+0.3*MIN(1,MAX(0,((V41)-(0.6))/((1.0)-(0.6))))+0.3*MIN(1,MAX(0,((BP41)-(0.0))/((15.0)-(0.0)))))</f>
        <v/>
      </c>
      <c r="BS41" s="36">
        <f>100*(0.4*MIN(1,MAX(0,((MIN(ABS(AA41),ABS(AB41)))-(0.75))/((0.0)-(0.75))))+0.3*MIN(1,MAX(0,((BN41)-(1.2))/((0.6)-(1.2))))+0.3*BO41)</f>
        <v/>
      </c>
      <c r="BT41" s="36">
        <f>100*(0.5*MIN(1,MAX(0,((AK41)-(1.0))/((4.0)-(1.0))))+0.3*MIN(1,MAX(0,((IF(ISNUMBER(AO41),AO41,0)*100)-(0.0))/((8.0)-(0.0))))+0.2*MIN(1,MAX(0,((IF(ISNUMBER(AP41),AP41,0))-(25.0))/((5.0)-(25.0)))))</f>
        <v/>
      </c>
      <c r="BU41" s="36">
        <f>100*(0.35*MIN(1,MAX(0,((ABS(BF41))-(0.3))/((0.05)-(0.3))))+0.3*MIN(1,MAX(0,((BG41)-(0.0))/((0.3)-(0.0))))+0.25*MIN(1,MAX(0,((BH41)-(0.4))/((0.7)-(0.4))))+0.1*IF(BJ41&gt;=2,1,0.5))</f>
        <v/>
      </c>
      <c r="BV41" s="37">
        <f>0.25*BR41+0.25*BS41+0.2*BT41+0.3*BU41</f>
        <v/>
      </c>
      <c r="BW41" s="22" t="inlineStr">
        <is>
          <t>C4 上升三角／重心偏上</t>
        </is>
      </c>
      <c r="BX41" s="22" t="inlineStr"/>
    </row>
    <row r="42">
      <c r="A42" s="22" t="n">
        <v>2</v>
      </c>
      <c r="B42" s="22" t="n">
        <v>15</v>
      </c>
      <c r="C42" s="23" t="inlineStr">
        <is>
          <t>PRLB</t>
        </is>
      </c>
      <c r="D42" s="22" t="inlineStr">
        <is>
          <t>Proto Labs Inc. Common stock</t>
        </is>
      </c>
      <c r="E42" s="22" t="inlineStr">
        <is>
          <t>NYSE</t>
        </is>
      </c>
      <c r="F42" s="22" t="inlineStr">
        <is>
          <t>工業</t>
        </is>
      </c>
      <c r="G42" s="22" t="inlineStr">
        <is>
          <t>Metal Fabrications</t>
        </is>
      </c>
      <c r="H42" s="24" t="n">
        <v>2.269</v>
      </c>
      <c r="I42" s="22" t="inlineStr">
        <is>
          <t>中型</t>
        </is>
      </c>
      <c r="J42" s="25" t="n">
        <v>98.20999999999999</v>
      </c>
      <c r="K42" s="25" t="n">
        <v>94.37</v>
      </c>
      <c r="L42" s="26">
        <f>J42/K42-1</f>
        <v/>
      </c>
      <c r="M42" s="25" t="n">
        <v>99.42</v>
      </c>
      <c r="N42" s="25" t="n">
        <v>95.48999999999999</v>
      </c>
      <c r="O42" s="27" t="n">
        <v>241100</v>
      </c>
      <c r="P42" s="27" t="n">
        <v>244785</v>
      </c>
      <c r="Q42" s="28">
        <f>O42/P42</f>
        <v/>
      </c>
      <c r="R42" s="25" t="n">
        <v>93.77849999999999</v>
      </c>
      <c r="S42" s="25" t="n">
        <v>89.52500000000001</v>
      </c>
      <c r="T42" s="25" t="n">
        <v>85.57389999999999</v>
      </c>
      <c r="U42" s="26">
        <f>S42/T42-1</f>
        <v/>
      </c>
      <c r="V42" s="29" t="n">
        <v>1</v>
      </c>
      <c r="W42" s="26">
        <f>J42/R42-1</f>
        <v/>
      </c>
      <c r="X42" s="26">
        <f>J42/S42-1</f>
        <v/>
      </c>
      <c r="Y42" s="25" t="n">
        <v>3.3165</v>
      </c>
      <c r="Z42" s="30">
        <f>Y42/J42</f>
        <v/>
      </c>
      <c r="AA42" s="28">
        <f>(J42-R42)/Y42</f>
        <v/>
      </c>
      <c r="AB42" s="28">
        <f>(J42-S42)/Y42</f>
        <v/>
      </c>
      <c r="AC42" s="22">
        <f>IF(ABS(AA42)&lt;=ABS(AB42),"9EMA","21EMA")</f>
        <v/>
      </c>
      <c r="AD42" s="22" t="inlineStr">
        <is>
          <t>—</t>
        </is>
      </c>
      <c r="AE42" s="22" t="inlineStr">
        <is>
          <t>持續在上方</t>
        </is>
      </c>
      <c r="AF42" s="22" t="inlineStr"/>
      <c r="AG42" s="22" t="inlineStr"/>
      <c r="AH42" s="22" t="inlineStr"/>
      <c r="AI42" s="22" t="inlineStr">
        <is>
          <t>2026-09-17</t>
        </is>
      </c>
      <c r="AJ42" s="22" t="n">
        <v>11</v>
      </c>
      <c r="AK42" s="31" t="n">
        <v>4</v>
      </c>
      <c r="AL42" s="22" t="inlineStr">
        <is>
          <t>2026-09-15</t>
        </is>
      </c>
      <c r="AM42" s="25" t="n">
        <v>77.88</v>
      </c>
      <c r="AN42" s="25" t="n">
        <v>77.05</v>
      </c>
      <c r="AO42" s="26">
        <f>IF(ISNUMBER(AN42),AM42/AN42-1,"")</f>
        <v/>
      </c>
      <c r="AP42" s="31" t="n">
        <v>13</v>
      </c>
      <c r="AQ42" s="26">
        <f>IF(ISNUMBER(AM42),J42/AM42-1,"")</f>
        <v/>
      </c>
      <c r="AR42" s="25" t="n">
        <v>98.20999999999999</v>
      </c>
      <c r="AS42" s="26">
        <f>J42/AR42-1</f>
        <v/>
      </c>
      <c r="AT42" s="32" t="n">
        <v>4.0124</v>
      </c>
      <c r="AU42" s="32" t="n">
        <v>2.9683</v>
      </c>
      <c r="AV42" s="32" t="n">
        <v>2.7073</v>
      </c>
      <c r="AW42" s="33">
        <f>AU42-AV42</f>
        <v/>
      </c>
      <c r="AX42" s="32" t="n">
        <v>1.0441</v>
      </c>
      <c r="AY42" s="32" t="n">
        <v>1.039</v>
      </c>
      <c r="AZ42" s="32" t="n">
        <v>1.2955</v>
      </c>
      <c r="BA42" s="22" t="inlineStr">
        <is>
          <t>深綠</t>
        </is>
      </c>
      <c r="BB42" s="22" t="inlineStr">
        <is>
          <t>淺綠→深綠</t>
        </is>
      </c>
      <c r="BC42" s="22" t="n">
        <v>0</v>
      </c>
      <c r="BD42" s="22" t="inlineStr">
        <is>
          <t>深綠 深綠 深綠 深綠 淺綠 淺綠 淺綠 深綠</t>
        </is>
      </c>
      <c r="BE42" s="22" t="inlineStr">
        <is>
          <t>上傾擴張</t>
        </is>
      </c>
      <c r="BF42" s="34" t="n">
        <v>0.2138</v>
      </c>
      <c r="BG42" s="34" t="n">
        <v>0.1207</v>
      </c>
      <c r="BH42" s="34" t="n">
        <v>0.4658</v>
      </c>
      <c r="BI42" s="34" t="n">
        <v>0.4627</v>
      </c>
      <c r="BJ42" s="31" t="n">
        <v>2</v>
      </c>
      <c r="BK42" s="25" t="n">
        <v>99.42</v>
      </c>
      <c r="BL42" s="25" t="n">
        <v>77.05</v>
      </c>
      <c r="BM42" s="25" t="n">
        <v>87.4691</v>
      </c>
      <c r="BN42" s="34" t="n">
        <v>0.8203</v>
      </c>
      <c r="BO42" s="28">
        <f>IF(M42=N42,0.5,(J42-N42)/(M42-N42))</f>
        <v/>
      </c>
      <c r="BP42" s="35" t="n">
        <v>30.006</v>
      </c>
      <c r="BQ42" s="35" t="n">
        <v>24.965</v>
      </c>
      <c r="BR42" s="36">
        <f>100*(0.4*MIN(1,MAX(0,((U42*100)-(0.0))/((2.5)-(0.0))))+0.3*MIN(1,MAX(0,((V42)-(0.6))/((1.0)-(0.6))))+0.3*MIN(1,MAX(0,((BP42)-(0.0))/((15.0)-(0.0)))))</f>
        <v/>
      </c>
      <c r="BS42" s="36">
        <f>100*(0.4*MIN(1,MAX(0,((MIN(ABS(AA42),ABS(AB42)))-(0.75))/((0.0)-(0.75))))+0.3*MIN(1,MAX(0,((BN42)-(1.2))/((0.6)-(1.2))))+0.3*BO42)</f>
        <v/>
      </c>
      <c r="BT42" s="36">
        <f>100*(0.5*MIN(1,MAX(0,((AK42)-(1.0))/((4.0)-(1.0))))+0.3*MIN(1,MAX(0,((IF(ISNUMBER(AO42),AO42,0)*100)-(0.0))/((8.0)-(0.0))))+0.2*MIN(1,MAX(0,((IF(ISNUMBER(AP42),AP42,0))-(25.0))/((5.0)-(25.0)))))</f>
        <v/>
      </c>
      <c r="BU42" s="36">
        <f>100*(0.35*MIN(1,MAX(0,((ABS(BF42))-(0.3))/((0.05)-(0.3))))+0.3*MIN(1,MAX(0,((BG42)-(0.0))/((0.3)-(0.0))))+0.25*MIN(1,MAX(0,((BH42)-(0.4))/((0.7)-(0.4))))+0.1*IF(BJ42&gt;=2,1,0.5))</f>
        <v/>
      </c>
      <c r="BV42" s="37">
        <f>0.25*BR42+0.25*BS42+0.2*BT42+0.3*BU42</f>
        <v/>
      </c>
      <c r="BW42" s="22" t="inlineStr">
        <is>
          <t>C4 上升三角／重心偏上</t>
        </is>
      </c>
      <c r="BX42" s="22" t="inlineStr"/>
    </row>
    <row r="43">
      <c r="A43" s="22" t="n">
        <v>2</v>
      </c>
      <c r="B43" s="22" t="n">
        <v>16</v>
      </c>
      <c r="C43" s="23" t="inlineStr">
        <is>
          <t>KODK</t>
        </is>
      </c>
      <c r="D43" s="22" t="inlineStr">
        <is>
          <t>Eastman Kodak Company Common New</t>
        </is>
      </c>
      <c r="E43" s="22" t="inlineStr">
        <is>
          <t>NYSE</t>
        </is>
      </c>
      <c r="F43" s="22" t="inlineStr">
        <is>
          <t>非必需消費</t>
        </is>
      </c>
      <c r="G43" s="22" t="inlineStr">
        <is>
          <t>Industrial Machinery/Components</t>
        </is>
      </c>
      <c r="H43" s="24" t="n">
        <v>0.9360000000000001</v>
      </c>
      <c r="I43" s="22" t="inlineStr">
        <is>
          <t>小型</t>
        </is>
      </c>
      <c r="J43" s="25" t="n">
        <v>9.81</v>
      </c>
      <c r="K43" s="25" t="n">
        <v>9.85</v>
      </c>
      <c r="L43" s="26">
        <f>J43/K43-1</f>
        <v/>
      </c>
      <c r="M43" s="25" t="n">
        <v>10.05</v>
      </c>
      <c r="N43" s="25" t="n">
        <v>9.69</v>
      </c>
      <c r="O43" s="27" t="n">
        <v>866400</v>
      </c>
      <c r="P43" s="27" t="n">
        <v>785255</v>
      </c>
      <c r="Q43" s="28">
        <f>O43/P43</f>
        <v/>
      </c>
      <c r="R43" s="25" t="n">
        <v>9.6494</v>
      </c>
      <c r="S43" s="25" t="n">
        <v>9.5319</v>
      </c>
      <c r="T43" s="25" t="n">
        <v>9.433299999999999</v>
      </c>
      <c r="U43" s="26">
        <f>S43/T43-1</f>
        <v/>
      </c>
      <c r="V43" s="29" t="n">
        <v>1</v>
      </c>
      <c r="W43" s="26">
        <f>J43/R43-1</f>
        <v/>
      </c>
      <c r="X43" s="26">
        <f>J43/S43-1</f>
        <v/>
      </c>
      <c r="Y43" s="25" t="n">
        <v>0.3114</v>
      </c>
      <c r="Z43" s="30">
        <f>Y43/J43</f>
        <v/>
      </c>
      <c r="AA43" s="28">
        <f>(J43-R43)/Y43</f>
        <v/>
      </c>
      <c r="AB43" s="28">
        <f>(J43-S43)/Y43</f>
        <v/>
      </c>
      <c r="AC43" s="22">
        <f>IF(ABS(AA43)&lt;=ABS(AB43),"9EMA","21EMA")</f>
        <v/>
      </c>
      <c r="AD43" s="22" t="inlineStr">
        <is>
          <t>9+21EMA</t>
        </is>
      </c>
      <c r="AE43" s="22" t="inlineStr">
        <is>
          <t>持續在上方</t>
        </is>
      </c>
      <c r="AF43" s="22" t="inlineStr"/>
      <c r="AG43" s="22" t="inlineStr"/>
      <c r="AH43" s="22" t="inlineStr">
        <is>
          <t>✓</t>
        </is>
      </c>
      <c r="AI43" s="22" t="inlineStr">
        <is>
          <t>2026-09-17</t>
        </is>
      </c>
      <c r="AJ43" s="22" t="n">
        <v>11</v>
      </c>
      <c r="AK43" s="31" t="n">
        <v>4</v>
      </c>
      <c r="AL43" s="22" t="inlineStr">
        <is>
          <t>2026-09-28</t>
        </is>
      </c>
      <c r="AM43" s="25" t="n">
        <v>9.359999999999999</v>
      </c>
      <c r="AN43" s="25" t="n">
        <v>8.85</v>
      </c>
      <c r="AO43" s="26">
        <f>IF(ISNUMBER(AN43),AM43/AN43-1,"")</f>
        <v/>
      </c>
      <c r="AP43" s="31" t="n">
        <v>4</v>
      </c>
      <c r="AQ43" s="26">
        <f>IF(ISNUMBER(AM43),J43/AM43-1,"")</f>
        <v/>
      </c>
      <c r="AR43" s="25" t="n">
        <v>9.85</v>
      </c>
      <c r="AS43" s="26">
        <f>J43/AR43-1</f>
        <v/>
      </c>
      <c r="AT43" s="32" t="n">
        <v>0.1143</v>
      </c>
      <c r="AU43" s="32" t="n">
        <v>0.0863</v>
      </c>
      <c r="AV43" s="32" t="n">
        <v>0.0793</v>
      </c>
      <c r="AW43" s="33">
        <f>AU43-AV43</f>
        <v/>
      </c>
      <c r="AX43" s="32" t="n">
        <v>0.028</v>
      </c>
      <c r="AY43" s="32" t="n">
        <v>0.024</v>
      </c>
      <c r="AZ43" s="32" t="n">
        <v>0.0104</v>
      </c>
      <c r="BA43" s="22" t="inlineStr">
        <is>
          <t>深綠</t>
        </is>
      </c>
      <c r="BB43" s="22" t="inlineStr">
        <is>
          <t>淺綠→深綠</t>
        </is>
      </c>
      <c r="BC43" s="22" t="n">
        <v>1</v>
      </c>
      <c r="BD43" s="22" t="inlineStr">
        <is>
          <t>淺綠 淺綠 淺綠 淺綠 淺綠 淺綠 深綠 深綠</t>
        </is>
      </c>
      <c r="BE43" s="22" t="inlineStr">
        <is>
          <t>上升通道</t>
        </is>
      </c>
      <c r="BF43" s="34" t="n">
        <v>0.3175</v>
      </c>
      <c r="BG43" s="34" t="n">
        <v>0.3774</v>
      </c>
      <c r="BH43" s="34" t="n">
        <v>0.4931</v>
      </c>
      <c r="BI43" s="34" t="n">
        <v>0.4791</v>
      </c>
      <c r="BJ43" s="31" t="n">
        <v>1</v>
      </c>
      <c r="BK43" s="25" t="n">
        <v>10.05</v>
      </c>
      <c r="BL43" s="25" t="n">
        <v>8.710000000000001</v>
      </c>
      <c r="BM43" s="25" t="n">
        <v>9.370799999999999</v>
      </c>
      <c r="BN43" s="34" t="n">
        <v>0.8058999999999999</v>
      </c>
      <c r="BO43" s="28">
        <f>IF(M43=N43,0.5,(J43-N43)/(M43-N43))</f>
        <v/>
      </c>
      <c r="BP43" s="35" t="n">
        <v>11.787</v>
      </c>
      <c r="BQ43" s="35" t="n">
        <v>6.746</v>
      </c>
      <c r="BR43" s="36">
        <f>100*(0.4*MIN(1,MAX(0,((U43*100)-(0.0))/((2.5)-(0.0))))+0.3*MIN(1,MAX(0,((V43)-(0.6))/((1.0)-(0.6))))+0.3*MIN(1,MAX(0,((BP43)-(0.0))/((15.0)-(0.0)))))</f>
        <v/>
      </c>
      <c r="BS43" s="36">
        <f>100*(0.4*MIN(1,MAX(0,((MIN(ABS(AA43),ABS(AB43)))-(0.75))/((0.0)-(0.75))))+0.3*MIN(1,MAX(0,((BN43)-(1.2))/((0.6)-(1.2))))+0.3*BO43)</f>
        <v/>
      </c>
      <c r="BT43" s="36">
        <f>100*(0.5*MIN(1,MAX(0,((AK43)-(1.0))/((4.0)-(1.0))))+0.3*MIN(1,MAX(0,((IF(ISNUMBER(AO43),AO43,0)*100)-(0.0))/((8.0)-(0.0))))+0.2*MIN(1,MAX(0,((IF(ISNUMBER(AP43),AP43,0))-(25.0))/((5.0)-(25.0)))))</f>
        <v/>
      </c>
      <c r="BU43" s="36">
        <f>100*(0.35*MIN(1,MAX(0,((ABS(BF43))-(0.3))/((0.05)-(0.3))))+0.3*MIN(1,MAX(0,((BG43)-(0.0))/((0.3)-(0.0))))+0.25*MIN(1,MAX(0,((BH43)-(0.4))/((0.7)-(0.4))))+0.1*IF(BJ43&gt;=2,1,0.5))</f>
        <v/>
      </c>
      <c r="BV43" s="37">
        <f>0.25*BR43+0.25*BS43+0.2*BT43+0.3*BU43</f>
        <v/>
      </c>
      <c r="BW43" s="22" t="inlineStr">
        <is>
          <t>C4 上升三角／重心偏上</t>
        </is>
      </c>
      <c r="BX43" s="22" t="inlineStr"/>
    </row>
    <row r="44">
      <c r="A44" s="22" t="n">
        <v>2</v>
      </c>
      <c r="B44" s="22" t="n">
        <v>17</v>
      </c>
      <c r="C44" s="23" t="inlineStr">
        <is>
          <t>PWRL</t>
        </is>
      </c>
      <c r="D44" s="22" t="inlineStr">
        <is>
          <t>Powerlaw Corp.</t>
        </is>
      </c>
      <c r="E44" s="22" t="inlineStr">
        <is>
          <t>NASDAQ</t>
        </is>
      </c>
      <c r="F44" s="22" t="inlineStr">
        <is>
          <t>—</t>
        </is>
      </c>
      <c r="G44" s="22" t="inlineStr">
        <is>
          <t>—</t>
        </is>
      </c>
      <c r="H44" s="24" t="n"/>
      <c r="I44" s="22" t="inlineStr">
        <is>
          <t>未分類</t>
        </is>
      </c>
      <c r="J44" s="25" t="n">
        <v>11.4</v>
      </c>
      <c r="K44" s="25" t="n">
        <v>11.13</v>
      </c>
      <c r="L44" s="26">
        <f>J44/K44-1</f>
        <v/>
      </c>
      <c r="M44" s="25" t="n">
        <v>11.45</v>
      </c>
      <c r="N44" s="25" t="n">
        <v>10.93</v>
      </c>
      <c r="O44" s="27" t="n">
        <v>136500</v>
      </c>
      <c r="P44" s="27" t="n">
        <v>176740</v>
      </c>
      <c r="Q44" s="28">
        <f>O44/P44</f>
        <v/>
      </c>
      <c r="R44" s="25" t="n">
        <v>11.1139</v>
      </c>
      <c r="S44" s="25" t="n">
        <v>11.0372</v>
      </c>
      <c r="T44" s="25" t="n">
        <v>10.9926</v>
      </c>
      <c r="U44" s="26">
        <f>S44/T44-1</f>
        <v/>
      </c>
      <c r="V44" s="29" t="n">
        <v>0.9</v>
      </c>
      <c r="W44" s="26">
        <f>J44/R44-1</f>
        <v/>
      </c>
      <c r="X44" s="26">
        <f>J44/S44-1</f>
        <v/>
      </c>
      <c r="Y44" s="25" t="n">
        <v>0.5626</v>
      </c>
      <c r="Z44" s="30">
        <f>Y44/J44</f>
        <v/>
      </c>
      <c r="AA44" s="28">
        <f>(J44-R44)/Y44</f>
        <v/>
      </c>
      <c r="AB44" s="28">
        <f>(J44-S44)/Y44</f>
        <v/>
      </c>
      <c r="AC44" s="22">
        <f>IF(ABS(AA44)&lt;=ABS(AB44),"9EMA","21EMA")</f>
        <v/>
      </c>
      <c r="AD44" s="22" t="inlineStr">
        <is>
          <t>9+21EMA</t>
        </is>
      </c>
      <c r="AE44" s="22" t="inlineStr">
        <is>
          <t>持續在上方</t>
        </is>
      </c>
      <c r="AF44" s="22" t="inlineStr"/>
      <c r="AG44" s="22" t="inlineStr"/>
      <c r="AH44" s="22" t="inlineStr">
        <is>
          <t>✓</t>
        </is>
      </c>
      <c r="AI44" s="22" t="inlineStr">
        <is>
          <t>2026-09-22</t>
        </is>
      </c>
      <c r="AJ44" s="22" t="n">
        <v>8</v>
      </c>
      <c r="AK44" s="31" t="n">
        <v>2</v>
      </c>
      <c r="AL44" s="22" t="inlineStr">
        <is>
          <t>2026-09-29</t>
        </is>
      </c>
      <c r="AM44" s="25" t="n">
        <v>10.5</v>
      </c>
      <c r="AN44" s="25" t="n">
        <v>9.41</v>
      </c>
      <c r="AO44" s="26">
        <f>IF(ISNUMBER(AN44),AM44/AN44-1,"")</f>
        <v/>
      </c>
      <c r="AP44" s="31" t="n">
        <v>3</v>
      </c>
      <c r="AQ44" s="26">
        <f>IF(ISNUMBER(AM44),J44/AM44-1,"")</f>
        <v/>
      </c>
      <c r="AR44" s="25" t="n">
        <v>11.41</v>
      </c>
      <c r="AS44" s="26">
        <f>J44/AR44-1</f>
        <v/>
      </c>
      <c r="AT44" s="32" t="n">
        <v>-0.0114</v>
      </c>
      <c r="AU44" s="32" t="n">
        <v>-0.1045</v>
      </c>
      <c r="AV44" s="32" t="n">
        <v>-0.1278</v>
      </c>
      <c r="AW44" s="33">
        <f>AU44-AV44</f>
        <v/>
      </c>
      <c r="AX44" s="32" t="n">
        <v>0.0931</v>
      </c>
      <c r="AY44" s="32" t="n">
        <v>0.0823</v>
      </c>
      <c r="AZ44" s="32" t="n">
        <v>0.08740000000000001</v>
      </c>
      <c r="BA44" s="22" t="inlineStr">
        <is>
          <t>深綠</t>
        </is>
      </c>
      <c r="BB44" s="22" t="inlineStr">
        <is>
          <t>淺綠→深綠</t>
        </is>
      </c>
      <c r="BC44" s="22" t="n">
        <v>0</v>
      </c>
      <c r="BD44" s="22" t="inlineStr">
        <is>
          <t>淺綠 淺綠 淺綠 淺綠 淺綠 淺綠 淺綠 深綠</t>
        </is>
      </c>
      <c r="BE44" s="22" t="inlineStr">
        <is>
          <t>上傾擴張</t>
        </is>
      </c>
      <c r="BF44" s="34" t="n">
        <v>1.0234</v>
      </c>
      <c r="BG44" s="34" t="n">
        <v>0.5312</v>
      </c>
      <c r="BH44" s="34" t="n">
        <v>0.5644</v>
      </c>
      <c r="BI44" s="34" t="n">
        <v>0.5246</v>
      </c>
      <c r="BJ44" s="31" t="n">
        <v>4</v>
      </c>
      <c r="BK44" s="25" t="n">
        <v>11.69</v>
      </c>
      <c r="BL44" s="25" t="n">
        <v>9.41</v>
      </c>
      <c r="BM44" s="25" t="n">
        <v>10.6969</v>
      </c>
      <c r="BN44" s="34" t="n">
        <v>0.8109</v>
      </c>
      <c r="BO44" s="28">
        <f>IF(M44=N44,0.5,(J44-N44)/(M44-N44))</f>
        <v/>
      </c>
      <c r="BP44" s="35" t="n">
        <v>19.96</v>
      </c>
      <c r="BQ44" s="35" t="n">
        <v>14.919</v>
      </c>
      <c r="BR44" s="36">
        <f>100*(0.4*MIN(1,MAX(0,((U44*100)-(0.0))/((2.5)-(0.0))))+0.3*MIN(1,MAX(0,((V44)-(0.6))/((1.0)-(0.6))))+0.3*MIN(1,MAX(0,((BP44)-(0.0))/((15.0)-(0.0)))))</f>
        <v/>
      </c>
      <c r="BS44" s="36">
        <f>100*(0.4*MIN(1,MAX(0,((MIN(ABS(AA44),ABS(AB44)))-(0.75))/((0.0)-(0.75))))+0.3*MIN(1,MAX(0,((BN44)-(1.2))/((0.6)-(1.2))))+0.3*BO44)</f>
        <v/>
      </c>
      <c r="BT44" s="36">
        <f>100*(0.5*MIN(1,MAX(0,((AK44)-(1.0))/((4.0)-(1.0))))+0.3*MIN(1,MAX(0,((IF(ISNUMBER(AO44),AO44,0)*100)-(0.0))/((8.0)-(0.0))))+0.2*MIN(1,MAX(0,((IF(ISNUMBER(AP44),AP44,0))-(25.0))/((5.0)-(25.0)))))</f>
        <v/>
      </c>
      <c r="BU44" s="36">
        <f>100*(0.35*MIN(1,MAX(0,((ABS(BF44))-(0.3))/((0.05)-(0.3))))+0.3*MIN(1,MAX(0,((BG44)-(0.0))/((0.3)-(0.0))))+0.25*MIN(1,MAX(0,((BH44)-(0.4))/((0.7)-(0.4))))+0.1*IF(BJ44&gt;=2,1,0.5))</f>
        <v/>
      </c>
      <c r="BV44" s="37">
        <f>0.25*BR44+0.25*BS44+0.2*BT44+0.3*BU44</f>
        <v/>
      </c>
      <c r="BW44" s="22" t="inlineStr">
        <is>
          <t>C4 上升三角／重心偏上</t>
        </is>
      </c>
      <c r="BX44" s="22" t="inlineStr"/>
    </row>
    <row r="45">
      <c r="A45" s="22" t="n">
        <v>2</v>
      </c>
      <c r="B45" s="22" t="n">
        <v>18</v>
      </c>
      <c r="C45" s="23" t="inlineStr">
        <is>
          <t>TSSI</t>
        </is>
      </c>
      <c r="D45" s="22" t="inlineStr">
        <is>
          <t>TSS Inc.</t>
        </is>
      </c>
      <c r="E45" s="22" t="inlineStr">
        <is>
          <t>NASDAQ</t>
        </is>
      </c>
      <c r="F45" s="22" t="inlineStr">
        <is>
          <t>非必需消費</t>
        </is>
      </c>
      <c r="G45" s="22" t="inlineStr">
        <is>
          <t>Professional Services</t>
        </is>
      </c>
      <c r="H45" s="24" t="n">
        <v>0.275</v>
      </c>
      <c r="I45" s="22" t="inlineStr">
        <is>
          <t>小型</t>
        </is>
      </c>
      <c r="J45" s="25" t="n">
        <v>10.24</v>
      </c>
      <c r="K45" s="25" t="n">
        <v>9.84</v>
      </c>
      <c r="L45" s="26">
        <f>J45/K45-1</f>
        <v/>
      </c>
      <c r="M45" s="25" t="n">
        <v>10.34</v>
      </c>
      <c r="N45" s="25" t="n">
        <v>9.960000000000001</v>
      </c>
      <c r="O45" s="27" t="n">
        <v>729900</v>
      </c>
      <c r="P45" s="27" t="n">
        <v>973285</v>
      </c>
      <c r="Q45" s="28">
        <f>O45/P45</f>
        <v/>
      </c>
      <c r="R45" s="25" t="n">
        <v>9.6976</v>
      </c>
      <c r="S45" s="25" t="n">
        <v>9.350300000000001</v>
      </c>
      <c r="T45" s="25" t="n">
        <v>9.020200000000001</v>
      </c>
      <c r="U45" s="26">
        <f>S45/T45-1</f>
        <v/>
      </c>
      <c r="V45" s="29" t="n">
        <v>1</v>
      </c>
      <c r="W45" s="26">
        <f>J45/R45-1</f>
        <v/>
      </c>
      <c r="X45" s="26">
        <f>J45/S45-1</f>
        <v/>
      </c>
      <c r="Y45" s="25" t="n">
        <v>0.5569</v>
      </c>
      <c r="Z45" s="30">
        <f>Y45/J45</f>
        <v/>
      </c>
      <c r="AA45" s="28">
        <f>(J45-R45)/Y45</f>
        <v/>
      </c>
      <c r="AB45" s="28">
        <f>(J45-S45)/Y45</f>
        <v/>
      </c>
      <c r="AC45" s="22">
        <f>IF(ABS(AA45)&lt;=ABS(AB45),"9EMA","21EMA")</f>
        <v/>
      </c>
      <c r="AD45" s="22" t="inlineStr">
        <is>
          <t>9EMA</t>
        </is>
      </c>
      <c r="AE45" s="22" t="inlineStr">
        <is>
          <t>持續在上方</t>
        </is>
      </c>
      <c r="AF45" s="22" t="inlineStr"/>
      <c r="AG45" s="22" t="inlineStr"/>
      <c r="AH45" s="22" t="inlineStr"/>
      <c r="AI45" s="22" t="inlineStr">
        <is>
          <t>2026-09-24</t>
        </is>
      </c>
      <c r="AJ45" s="22" t="n">
        <v>6</v>
      </c>
      <c r="AK45" s="31" t="n">
        <v>2</v>
      </c>
      <c r="AL45" s="22" t="inlineStr">
        <is>
          <t>2026-09-16</t>
        </is>
      </c>
      <c r="AM45" s="25" t="n">
        <v>8.109999999999999</v>
      </c>
      <c r="AN45" s="25" t="n">
        <v>7.62</v>
      </c>
      <c r="AO45" s="26">
        <f>IF(ISNUMBER(AN45),AM45/AN45-1,"")</f>
        <v/>
      </c>
      <c r="AP45" s="31" t="n">
        <v>12</v>
      </c>
      <c r="AQ45" s="26">
        <f>IF(ISNUMBER(AM45),J45/AM45-1,"")</f>
        <v/>
      </c>
      <c r="AR45" s="25" t="n">
        <v>10.24</v>
      </c>
      <c r="AS45" s="26">
        <f>J45/AR45-1</f>
        <v/>
      </c>
      <c r="AT45" s="32" t="n">
        <v>0.2352</v>
      </c>
      <c r="AU45" s="32" t="n">
        <v>0.0506</v>
      </c>
      <c r="AV45" s="32" t="n">
        <v>0.0045</v>
      </c>
      <c r="AW45" s="33">
        <f>AU45-AV45</f>
        <v/>
      </c>
      <c r="AX45" s="32" t="n">
        <v>0.1846</v>
      </c>
      <c r="AY45" s="32" t="n">
        <v>0.1807</v>
      </c>
      <c r="AZ45" s="32" t="n">
        <v>0.1999</v>
      </c>
      <c r="BA45" s="22" t="inlineStr">
        <is>
          <t>深綠</t>
        </is>
      </c>
      <c r="BB45" s="22" t="inlineStr">
        <is>
          <t>淺綠→深綠</t>
        </is>
      </c>
      <c r="BC45" s="22" t="n">
        <v>0</v>
      </c>
      <c r="BD45" s="22" t="inlineStr">
        <is>
          <t>深綠 深綠 深綠 淺綠 淺綠 淺綠 淺綠 深綠</t>
        </is>
      </c>
      <c r="BE45" s="22" t="inlineStr">
        <is>
          <t>上傾擴張</t>
        </is>
      </c>
      <c r="BF45" s="34" t="n">
        <v>1.1426</v>
      </c>
      <c r="BG45" s="34" t="n">
        <v>0.4785</v>
      </c>
      <c r="BH45" s="34" t="n">
        <v>0.4941</v>
      </c>
      <c r="BI45" s="34" t="n">
        <v>0.5074</v>
      </c>
      <c r="BJ45" s="31" t="n">
        <v>1</v>
      </c>
      <c r="BK45" s="25" t="n">
        <v>10.51</v>
      </c>
      <c r="BL45" s="25" t="n">
        <v>7.62</v>
      </c>
      <c r="BM45" s="25" t="n">
        <v>9.0479</v>
      </c>
      <c r="BN45" s="34" t="n">
        <v>0.8691</v>
      </c>
      <c r="BO45" s="28">
        <f>IF(M45=N45,0.5,(J45-N45)/(M45-N45))</f>
        <v/>
      </c>
      <c r="BP45" s="35" t="n">
        <v>35.987</v>
      </c>
      <c r="BQ45" s="35" t="n">
        <v>30.946</v>
      </c>
      <c r="BR45" s="36">
        <f>100*(0.4*MIN(1,MAX(0,((U45*100)-(0.0))/((2.5)-(0.0))))+0.3*MIN(1,MAX(0,((V45)-(0.6))/((1.0)-(0.6))))+0.3*MIN(1,MAX(0,((BP45)-(0.0))/((15.0)-(0.0)))))</f>
        <v/>
      </c>
      <c r="BS45" s="36">
        <f>100*(0.4*MIN(1,MAX(0,((MIN(ABS(AA45),ABS(AB45)))-(0.75))/((0.0)-(0.75))))+0.3*MIN(1,MAX(0,((BN45)-(1.2))/((0.6)-(1.2))))+0.3*BO45)</f>
        <v/>
      </c>
      <c r="BT45" s="36">
        <f>100*(0.5*MIN(1,MAX(0,((AK45)-(1.0))/((4.0)-(1.0))))+0.3*MIN(1,MAX(0,((IF(ISNUMBER(AO45),AO45,0)*100)-(0.0))/((8.0)-(0.0))))+0.2*MIN(1,MAX(0,((IF(ISNUMBER(AP45),AP45,0))-(25.0))/((5.0)-(25.0)))))</f>
        <v/>
      </c>
      <c r="BU45" s="36">
        <f>100*(0.35*MIN(1,MAX(0,((ABS(BF45))-(0.3))/((0.05)-(0.3))))+0.3*MIN(1,MAX(0,((BG45)-(0.0))/((0.3)-(0.0))))+0.25*MIN(1,MAX(0,((BH45)-(0.4))/((0.7)-(0.4))))+0.1*IF(BJ45&gt;=2,1,0.5))</f>
        <v/>
      </c>
      <c r="BV45" s="37">
        <f>0.25*BR45+0.25*BS45+0.2*BT45+0.3*BU45</f>
        <v/>
      </c>
      <c r="BW45" s="22" t="inlineStr">
        <is>
          <t>C4 上升三角／重心偏上</t>
        </is>
      </c>
      <c r="BX45" s="22" t="inlineStr"/>
    </row>
    <row r="46">
      <c r="A46" s="22" t="n">
        <v>2</v>
      </c>
      <c r="B46" s="22" t="n">
        <v>19</v>
      </c>
      <c r="C46" s="23" t="inlineStr">
        <is>
          <t>PI</t>
        </is>
      </c>
      <c r="D46" s="22" t="inlineStr">
        <is>
          <t>Impinj Inc.</t>
        </is>
      </c>
      <c r="E46" s="22" t="inlineStr">
        <is>
          <t>NASDAQ</t>
        </is>
      </c>
      <c r="F46" s="22" t="inlineStr">
        <is>
          <t>科技</t>
        </is>
      </c>
      <c r="G46" s="22" t="inlineStr">
        <is>
          <t>Industrial Machinery/Components</t>
        </is>
      </c>
      <c r="H46" s="24" t="n">
        <v>5.478</v>
      </c>
      <c r="I46" s="22" t="inlineStr">
        <is>
          <t>中型</t>
        </is>
      </c>
      <c r="J46" s="25" t="n">
        <v>189.61</v>
      </c>
      <c r="K46" s="25" t="n">
        <v>183.87</v>
      </c>
      <c r="L46" s="26">
        <f>J46/K46-1</f>
        <v/>
      </c>
      <c r="M46" s="25" t="n">
        <v>192.645</v>
      </c>
      <c r="N46" s="25" t="n">
        <v>187.99</v>
      </c>
      <c r="O46" s="27" t="n">
        <v>479100</v>
      </c>
      <c r="P46" s="27" t="n">
        <v>409085</v>
      </c>
      <c r="Q46" s="28">
        <f>O46/P46</f>
        <v/>
      </c>
      <c r="R46" s="25" t="n">
        <v>181.157</v>
      </c>
      <c r="S46" s="25" t="n">
        <v>177.4395</v>
      </c>
      <c r="T46" s="25" t="n">
        <v>174.7426</v>
      </c>
      <c r="U46" s="26">
        <f>S46/T46-1</f>
        <v/>
      </c>
      <c r="V46" s="29" t="n">
        <v>1</v>
      </c>
      <c r="W46" s="26">
        <f>J46/R46-1</f>
        <v/>
      </c>
      <c r="X46" s="26">
        <f>J46/S46-1</f>
        <v/>
      </c>
      <c r="Y46" s="25" t="n">
        <v>7.4958</v>
      </c>
      <c r="Z46" s="30">
        <f>Y46/J46</f>
        <v/>
      </c>
      <c r="AA46" s="28">
        <f>(J46-R46)/Y46</f>
        <v/>
      </c>
      <c r="AB46" s="28">
        <f>(J46-S46)/Y46</f>
        <v/>
      </c>
      <c r="AC46" s="22">
        <f>IF(ABS(AA46)&lt;=ABS(AB46),"9EMA","21EMA")</f>
        <v/>
      </c>
      <c r="AD46" s="22" t="inlineStr">
        <is>
          <t>9+21EMA</t>
        </is>
      </c>
      <c r="AE46" s="22" t="inlineStr">
        <is>
          <t>持續在上方</t>
        </is>
      </c>
      <c r="AF46" s="22" t="inlineStr"/>
      <c r="AG46" s="22" t="inlineStr"/>
      <c r="AH46" s="22" t="inlineStr"/>
      <c r="AI46" s="22" t="inlineStr">
        <is>
          <t>2026-07-30</t>
        </is>
      </c>
      <c r="AJ46" s="22" t="n">
        <v>45</v>
      </c>
      <c r="AK46" s="31" t="n">
        <v>4</v>
      </c>
      <c r="AL46" s="22" t="inlineStr">
        <is>
          <t>2026-09-24</t>
        </is>
      </c>
      <c r="AM46" s="25" t="n">
        <v>172.4</v>
      </c>
      <c r="AN46" s="25" t="n">
        <v>161.17</v>
      </c>
      <c r="AO46" s="26">
        <f>IF(ISNUMBER(AN46),AM46/AN46-1,"")</f>
        <v/>
      </c>
      <c r="AP46" s="31" t="n">
        <v>6</v>
      </c>
      <c r="AQ46" s="26">
        <f>IF(ISNUMBER(AM46),J46/AM46-1,"")</f>
        <v/>
      </c>
      <c r="AR46" s="25" t="n">
        <v>189.61</v>
      </c>
      <c r="AS46" s="26">
        <f>J46/AR46-1</f>
        <v/>
      </c>
      <c r="AT46" s="32" t="n">
        <v>4.1898</v>
      </c>
      <c r="AU46" s="32" t="n">
        <v>3.9046</v>
      </c>
      <c r="AV46" s="32" t="n">
        <v>3.8333</v>
      </c>
      <c r="AW46" s="33">
        <f>AU46-AV46</f>
        <v/>
      </c>
      <c r="AX46" s="32" t="n">
        <v>0.2852</v>
      </c>
      <c r="AY46" s="32" t="n">
        <v>-0.2736</v>
      </c>
      <c r="AZ46" s="32" t="n">
        <v>-0.6136</v>
      </c>
      <c r="BA46" s="22" t="inlineStr">
        <is>
          <t>深綠</t>
        </is>
      </c>
      <c r="BB46" s="22" t="inlineStr">
        <is>
          <t>深紅→淺紅</t>
        </is>
      </c>
      <c r="BC46" s="22" t="n">
        <v>2</v>
      </c>
      <c r="BD46" s="22" t="inlineStr">
        <is>
          <t>淺綠 深紅 深紅 深紅 深紅 淺紅 淺紅 深綠</t>
        </is>
      </c>
      <c r="BE46" s="22" t="inlineStr">
        <is>
          <t>上傾收窄（楔形）</t>
        </is>
      </c>
      <c r="BF46" s="34" t="n">
        <v>0.2344</v>
      </c>
      <c r="BG46" s="34" t="n">
        <v>0.5923</v>
      </c>
      <c r="BH46" s="34" t="n">
        <v>0.496</v>
      </c>
      <c r="BI46" s="34" t="n">
        <v>0.485</v>
      </c>
      <c r="BJ46" s="31" t="n">
        <v>1</v>
      </c>
      <c r="BK46" s="25" t="n">
        <v>192.645</v>
      </c>
      <c r="BL46" s="25" t="n">
        <v>161.17</v>
      </c>
      <c r="BM46" s="25" t="n">
        <v>176.781</v>
      </c>
      <c r="BN46" s="34" t="n">
        <v>1.3298</v>
      </c>
      <c r="BO46" s="28">
        <f>IF(M46=N46,0.5,(J46-N46)/(M46-N46))</f>
        <v/>
      </c>
      <c r="BP46" s="35" t="n">
        <v>13.359</v>
      </c>
      <c r="BQ46" s="35" t="n">
        <v>8.318</v>
      </c>
      <c r="BR46" s="36">
        <f>100*(0.4*MIN(1,MAX(0,((U46*100)-(0.0))/((2.5)-(0.0))))+0.3*MIN(1,MAX(0,((V46)-(0.6))/((1.0)-(0.6))))+0.3*MIN(1,MAX(0,((BP46)-(0.0))/((15.0)-(0.0)))))</f>
        <v/>
      </c>
      <c r="BS46" s="36">
        <f>100*(0.4*MIN(1,MAX(0,((MIN(ABS(AA46),ABS(AB46)))-(0.75))/((0.0)-(0.75))))+0.3*MIN(1,MAX(0,((BN46)-(1.2))/((0.6)-(1.2))))+0.3*BO46)</f>
        <v/>
      </c>
      <c r="BT46" s="36">
        <f>100*(0.5*MIN(1,MAX(0,((AK46)-(1.0))/((4.0)-(1.0))))+0.3*MIN(1,MAX(0,((IF(ISNUMBER(AO46),AO46,0)*100)-(0.0))/((8.0)-(0.0))))+0.2*MIN(1,MAX(0,((IF(ISNUMBER(AP46),AP46,0))-(25.0))/((5.0)-(25.0)))))</f>
        <v/>
      </c>
      <c r="BU46" s="36">
        <f>100*(0.35*MIN(1,MAX(0,((ABS(BF46))-(0.3))/((0.05)-(0.3))))+0.3*MIN(1,MAX(0,((BG46)-(0.0))/((0.3)-(0.0))))+0.25*MIN(1,MAX(0,((BH46)-(0.4))/((0.7)-(0.4))))+0.1*IF(BJ46&gt;=2,1,0.5))</f>
        <v/>
      </c>
      <c r="BV46" s="37">
        <f>0.25*BR46+0.25*BS46+0.2*BT46+0.3*BU46</f>
        <v/>
      </c>
      <c r="BW46" s="22" t="inlineStr">
        <is>
          <t>C4 上升三角／重心偏上</t>
        </is>
      </c>
      <c r="BX46" s="22" t="inlineStr"/>
    </row>
    <row r="47">
      <c r="A47" s="22" t="n">
        <v>2</v>
      </c>
      <c r="B47" s="22" t="n">
        <v>20</v>
      </c>
      <c r="C47" s="23" t="inlineStr">
        <is>
          <t>SWBI</t>
        </is>
      </c>
      <c r="D47" s="22" t="inlineStr">
        <is>
          <t>Smith &amp; Wesson Brands Inc.</t>
        </is>
      </c>
      <c r="E47" s="22" t="inlineStr">
        <is>
          <t>NASDAQ</t>
        </is>
      </c>
      <c r="F47" s="22" t="inlineStr">
        <is>
          <t>工業</t>
        </is>
      </c>
      <c r="G47" s="22" t="inlineStr">
        <is>
          <t>Ordnance And Accessories</t>
        </is>
      </c>
      <c r="H47" s="24" t="n">
        <v>0.63</v>
      </c>
      <c r="I47" s="22" t="inlineStr">
        <is>
          <t>小型</t>
        </is>
      </c>
      <c r="J47" s="25" t="n">
        <v>14.64</v>
      </c>
      <c r="K47" s="25" t="n">
        <v>14.41</v>
      </c>
      <c r="L47" s="26">
        <f>J47/K47-1</f>
        <v/>
      </c>
      <c r="M47" s="25" t="n">
        <v>14.75</v>
      </c>
      <c r="N47" s="25" t="n">
        <v>14.47</v>
      </c>
      <c r="O47" s="27" t="n">
        <v>445500</v>
      </c>
      <c r="P47" s="27" t="n">
        <v>632665</v>
      </c>
      <c r="Q47" s="28">
        <f>O47/P47</f>
        <v/>
      </c>
      <c r="R47" s="25" t="n">
        <v>14.1475</v>
      </c>
      <c r="S47" s="25" t="n">
        <v>13.8701</v>
      </c>
      <c r="T47" s="25" t="n">
        <v>13.6257</v>
      </c>
      <c r="U47" s="26">
        <f>S47/T47-1</f>
        <v/>
      </c>
      <c r="V47" s="29" t="n">
        <v>1</v>
      </c>
      <c r="W47" s="26">
        <f>J47/R47-1</f>
        <v/>
      </c>
      <c r="X47" s="26">
        <f>J47/S47-1</f>
        <v/>
      </c>
      <c r="Y47" s="25" t="n">
        <v>0.3844</v>
      </c>
      <c r="Z47" s="30">
        <f>Y47/J47</f>
        <v/>
      </c>
      <c r="AA47" s="28">
        <f>(J47-R47)/Y47</f>
        <v/>
      </c>
      <c r="AB47" s="28">
        <f>(J47-S47)/Y47</f>
        <v/>
      </c>
      <c r="AC47" s="22">
        <f>IF(ABS(AA47)&lt;=ABS(AB47),"9EMA","21EMA")</f>
        <v/>
      </c>
      <c r="AD47" s="22" t="inlineStr">
        <is>
          <t>9EMA</t>
        </is>
      </c>
      <c r="AE47" s="22" t="inlineStr">
        <is>
          <t>持續在上方</t>
        </is>
      </c>
      <c r="AF47" s="22" t="inlineStr"/>
      <c r="AG47" s="22" t="inlineStr"/>
      <c r="AH47" s="22" t="inlineStr"/>
      <c r="AI47" s="22" t="inlineStr">
        <is>
          <t>2026-09-22</t>
        </is>
      </c>
      <c r="AJ47" s="22" t="n">
        <v>8</v>
      </c>
      <c r="AK47" s="31" t="n">
        <v>2</v>
      </c>
      <c r="AL47" s="22" t="inlineStr">
        <is>
          <t>2026-09-17</t>
        </is>
      </c>
      <c r="AM47" s="25" t="n">
        <v>12.9</v>
      </c>
      <c r="AN47" s="25" t="n">
        <v>12.09</v>
      </c>
      <c r="AO47" s="26">
        <f>IF(ISNUMBER(AN47),AM47/AN47-1,"")</f>
        <v/>
      </c>
      <c r="AP47" s="31" t="n">
        <v>11</v>
      </c>
      <c r="AQ47" s="26">
        <f>IF(ISNUMBER(AM47),J47/AM47-1,"")</f>
        <v/>
      </c>
      <c r="AR47" s="25" t="n">
        <v>14.64</v>
      </c>
      <c r="AS47" s="26">
        <f>J47/AR47-1</f>
        <v/>
      </c>
      <c r="AT47" s="32" t="n">
        <v>0.1981</v>
      </c>
      <c r="AU47" s="32" t="n">
        <v>0.0602</v>
      </c>
      <c r="AV47" s="32" t="n">
        <v>0.0257</v>
      </c>
      <c r="AW47" s="33">
        <f>AU47-AV47</f>
        <v/>
      </c>
      <c r="AX47" s="32" t="n">
        <v>0.1379</v>
      </c>
      <c r="AY47" s="32" t="n">
        <v>0.1274</v>
      </c>
      <c r="AZ47" s="32" t="n">
        <v>0.1229</v>
      </c>
      <c r="BA47" s="22" t="inlineStr">
        <is>
          <t>深綠</t>
        </is>
      </c>
      <c r="BB47" s="22" t="inlineStr">
        <is>
          <t>淺綠→深綠</t>
        </is>
      </c>
      <c r="BC47" s="22" t="n">
        <v>1</v>
      </c>
      <c r="BD47" s="22" t="inlineStr">
        <is>
          <t>深綠 深綠 深綠 淺綠 淺綠 淺綠 深綠 深綠</t>
        </is>
      </c>
      <c r="BE47" s="22" t="inlineStr">
        <is>
          <t>上傾收窄（楔形）</t>
        </is>
      </c>
      <c r="BF47" s="34" t="n">
        <v>0.4519</v>
      </c>
      <c r="BG47" s="34" t="n">
        <v>0.6148</v>
      </c>
      <c r="BH47" s="34" t="n">
        <v>0.4676</v>
      </c>
      <c r="BI47" s="34" t="n">
        <v>0.4488</v>
      </c>
      <c r="BJ47" s="31" t="n">
        <v>1</v>
      </c>
      <c r="BK47" s="25" t="n">
        <v>14.75</v>
      </c>
      <c r="BL47" s="25" t="n">
        <v>12.09</v>
      </c>
      <c r="BM47" s="25" t="n">
        <v>13.3337</v>
      </c>
      <c r="BN47" s="34" t="n">
        <v>0.9219000000000001</v>
      </c>
      <c r="BO47" s="28">
        <f>IF(M47=N47,0.5,(J47-N47)/(M47-N47))</f>
        <v/>
      </c>
      <c r="BP47" s="35" t="n">
        <v>19.595</v>
      </c>
      <c r="BQ47" s="35" t="n">
        <v>14.554</v>
      </c>
      <c r="BR47" s="36">
        <f>100*(0.4*MIN(1,MAX(0,((U47*100)-(0.0))/((2.5)-(0.0))))+0.3*MIN(1,MAX(0,((V47)-(0.6))/((1.0)-(0.6))))+0.3*MIN(1,MAX(0,((BP47)-(0.0))/((15.0)-(0.0)))))</f>
        <v/>
      </c>
      <c r="BS47" s="36">
        <f>100*(0.4*MIN(1,MAX(0,((MIN(ABS(AA47),ABS(AB47)))-(0.75))/((0.0)-(0.75))))+0.3*MIN(1,MAX(0,((BN47)-(1.2))/((0.6)-(1.2))))+0.3*BO47)</f>
        <v/>
      </c>
      <c r="BT47" s="36">
        <f>100*(0.5*MIN(1,MAX(0,((AK47)-(1.0))/((4.0)-(1.0))))+0.3*MIN(1,MAX(0,((IF(ISNUMBER(AO47),AO47,0)*100)-(0.0))/((8.0)-(0.0))))+0.2*MIN(1,MAX(0,((IF(ISNUMBER(AP47),AP47,0))-(25.0))/((5.0)-(25.0)))))</f>
        <v/>
      </c>
      <c r="BU47" s="36">
        <f>100*(0.35*MIN(1,MAX(0,((ABS(BF47))-(0.3))/((0.05)-(0.3))))+0.3*MIN(1,MAX(0,((BG47)-(0.0))/((0.3)-(0.0))))+0.25*MIN(1,MAX(0,((BH47)-(0.4))/((0.7)-(0.4))))+0.1*IF(BJ47&gt;=2,1,0.5))</f>
        <v/>
      </c>
      <c r="BV47" s="37">
        <f>0.25*BR47+0.25*BS47+0.2*BT47+0.3*BU47</f>
        <v/>
      </c>
      <c r="BW47" s="22" t="inlineStr">
        <is>
          <t>C4 上升三角／重心偏上</t>
        </is>
      </c>
      <c r="BX47" s="22" t="inlineStr"/>
    </row>
    <row r="48">
      <c r="A48" s="22" t="n">
        <v>2</v>
      </c>
      <c r="B48" s="22" t="n">
        <v>21</v>
      </c>
      <c r="C48" s="23" t="inlineStr">
        <is>
          <t>RLGT</t>
        </is>
      </c>
      <c r="D48" s="22" t="inlineStr">
        <is>
          <t>Radiant Logistics Inc.</t>
        </is>
      </c>
      <c r="E48" s="22" t="inlineStr">
        <is>
          <t>AMEX</t>
        </is>
      </c>
      <c r="F48" s="22" t="inlineStr">
        <is>
          <t>工業</t>
        </is>
      </c>
      <c r="G48" s="22" t="inlineStr">
        <is>
          <t>Integrated Freight &amp; Logistics</t>
        </is>
      </c>
      <c r="H48" s="24" t="n">
        <v>0.408</v>
      </c>
      <c r="I48" s="22" t="inlineStr">
        <is>
          <t>小型</t>
        </is>
      </c>
      <c r="J48" s="25" t="n">
        <v>9.359999999999999</v>
      </c>
      <c r="K48" s="25" t="n">
        <v>9.01</v>
      </c>
      <c r="L48" s="26">
        <f>J48/K48-1</f>
        <v/>
      </c>
      <c r="M48" s="25" t="n">
        <v>9.359999999999999</v>
      </c>
      <c r="N48" s="25" t="n">
        <v>9.06</v>
      </c>
      <c r="O48" s="27" t="n">
        <v>159300</v>
      </c>
      <c r="P48" s="27" t="n">
        <v>406800</v>
      </c>
      <c r="Q48" s="28">
        <f>O48/P48</f>
        <v/>
      </c>
      <c r="R48" s="25" t="n">
        <v>8.875400000000001</v>
      </c>
      <c r="S48" s="25" t="n">
        <v>8.745100000000001</v>
      </c>
      <c r="T48" s="25" t="n">
        <v>8.6221</v>
      </c>
      <c r="U48" s="26">
        <f>S48/T48-1</f>
        <v/>
      </c>
      <c r="V48" s="29" t="n">
        <v>0.7</v>
      </c>
      <c r="W48" s="26">
        <f>J48/R48-1</f>
        <v/>
      </c>
      <c r="X48" s="26">
        <f>J48/S48-1</f>
        <v/>
      </c>
      <c r="Y48" s="25" t="n">
        <v>0.3239</v>
      </c>
      <c r="Z48" s="30">
        <f>Y48/J48</f>
        <v/>
      </c>
      <c r="AA48" s="28">
        <f>(J48-R48)/Y48</f>
        <v/>
      </c>
      <c r="AB48" s="28">
        <f>(J48-S48)/Y48</f>
        <v/>
      </c>
      <c r="AC48" s="22">
        <f>IF(ABS(AA48)&lt;=ABS(AB48),"9EMA","21EMA")</f>
        <v/>
      </c>
      <c r="AD48" s="22" t="inlineStr">
        <is>
          <t>9+21EMA</t>
        </is>
      </c>
      <c r="AE48" s="22" t="inlineStr">
        <is>
          <t>持續在上方</t>
        </is>
      </c>
      <c r="AF48" s="22" t="inlineStr"/>
      <c r="AG48" s="22" t="inlineStr"/>
      <c r="AH48" s="22" t="inlineStr"/>
      <c r="AI48" s="22" t="inlineStr">
        <is>
          <t>2026-09-15</t>
        </is>
      </c>
      <c r="AJ48" s="22" t="n">
        <v>13</v>
      </c>
      <c r="AK48" s="31" t="n">
        <v>4</v>
      </c>
      <c r="AL48" s="22" t="inlineStr">
        <is>
          <t>2026-09-28</t>
        </is>
      </c>
      <c r="AM48" s="25" t="n">
        <v>8.49</v>
      </c>
      <c r="AN48" s="25" t="n">
        <v>8.44</v>
      </c>
      <c r="AO48" s="26">
        <f>IF(ISNUMBER(AN48),AM48/AN48-1,"")</f>
        <v/>
      </c>
      <c r="AP48" s="31" t="n">
        <v>4</v>
      </c>
      <c r="AQ48" s="26">
        <f>IF(ISNUMBER(AM48),J48/AM48-1,"")</f>
        <v/>
      </c>
      <c r="AR48" s="25" t="n">
        <v>9.81</v>
      </c>
      <c r="AS48" s="26">
        <f>J48/AR48-1</f>
        <v/>
      </c>
      <c r="AT48" s="32" t="n">
        <v>0.1038</v>
      </c>
      <c r="AU48" s="32" t="n">
        <v>0.0461</v>
      </c>
      <c r="AV48" s="32" t="n">
        <v>0.0317</v>
      </c>
      <c r="AW48" s="33">
        <f>AU48-AV48</f>
        <v/>
      </c>
      <c r="AX48" s="32" t="n">
        <v>0.0577</v>
      </c>
      <c r="AY48" s="32" t="n">
        <v>0.0262</v>
      </c>
      <c r="AZ48" s="32" t="n">
        <v>0.008800000000000001</v>
      </c>
      <c r="BA48" s="22" t="inlineStr">
        <is>
          <t>深綠</t>
        </is>
      </c>
      <c r="BB48" s="22" t="inlineStr">
        <is>
          <t>淺綠→深綠</t>
        </is>
      </c>
      <c r="BC48" s="22" t="n">
        <v>1</v>
      </c>
      <c r="BD48" s="22" t="inlineStr">
        <is>
          <t>淺綠 淺綠 淺綠 深綠 深綠 淺綠 深綠 深綠</t>
        </is>
      </c>
      <c r="BE48" s="22" t="inlineStr">
        <is>
          <t>上傾收窄（楔形）</t>
        </is>
      </c>
      <c r="BF48" s="34" t="n">
        <v>0.2124</v>
      </c>
      <c r="BG48" s="34" t="n">
        <v>0.3385</v>
      </c>
      <c r="BH48" s="34" t="n">
        <v>0.4578</v>
      </c>
      <c r="BI48" s="34" t="n">
        <v>0.5383</v>
      </c>
      <c r="BJ48" s="31" t="n">
        <v>1</v>
      </c>
      <c r="BK48" s="25" t="n">
        <v>10.2</v>
      </c>
      <c r="BL48" s="25" t="n">
        <v>8.050000000000001</v>
      </c>
      <c r="BM48" s="25" t="n">
        <v>9.0343</v>
      </c>
      <c r="BN48" s="34" t="n">
        <v>1.3135</v>
      </c>
      <c r="BO48" s="28">
        <f>IF(M48=N48,0.5,(J48-N48)/(M48-N48))</f>
        <v/>
      </c>
      <c r="BP48" s="35" t="n">
        <v>19.466</v>
      </c>
      <c r="BQ48" s="35" t="n">
        <v>14.425</v>
      </c>
      <c r="BR48" s="36">
        <f>100*(0.4*MIN(1,MAX(0,((U48*100)-(0.0))/((2.5)-(0.0))))+0.3*MIN(1,MAX(0,((V48)-(0.6))/((1.0)-(0.6))))+0.3*MIN(1,MAX(0,((BP48)-(0.0))/((15.0)-(0.0)))))</f>
        <v/>
      </c>
      <c r="BS48" s="36">
        <f>100*(0.4*MIN(1,MAX(0,((MIN(ABS(AA48),ABS(AB48)))-(0.75))/((0.0)-(0.75))))+0.3*MIN(1,MAX(0,((BN48)-(1.2))/((0.6)-(1.2))))+0.3*BO48)</f>
        <v/>
      </c>
      <c r="BT48" s="36">
        <f>100*(0.5*MIN(1,MAX(0,((AK48)-(1.0))/((4.0)-(1.0))))+0.3*MIN(1,MAX(0,((IF(ISNUMBER(AO48),AO48,0)*100)-(0.0))/((8.0)-(0.0))))+0.2*MIN(1,MAX(0,((IF(ISNUMBER(AP48),AP48,0))-(25.0))/((5.0)-(25.0)))))</f>
        <v/>
      </c>
      <c r="BU48" s="36">
        <f>100*(0.35*MIN(1,MAX(0,((ABS(BF48))-(0.3))/((0.05)-(0.3))))+0.3*MIN(1,MAX(0,((BG48)-(0.0))/((0.3)-(0.0))))+0.25*MIN(1,MAX(0,((BH48)-(0.4))/((0.7)-(0.4))))+0.1*IF(BJ48&gt;=2,1,0.5))</f>
        <v/>
      </c>
      <c r="BV48" s="37">
        <f>0.25*BR48+0.25*BS48+0.2*BT48+0.3*BU48</f>
        <v/>
      </c>
      <c r="BW48" s="22" t="inlineStr">
        <is>
          <t>C4 上升三角／重心偏上</t>
        </is>
      </c>
      <c r="BX48" s="22" t="inlineStr"/>
    </row>
    <row r="49">
      <c r="A49" s="22" t="n">
        <v>2</v>
      </c>
      <c r="B49" s="22" t="n">
        <v>22</v>
      </c>
      <c r="C49" s="23" t="inlineStr">
        <is>
          <t>CLDT</t>
        </is>
      </c>
      <c r="D49" s="22" t="inlineStr">
        <is>
          <t>Chatham Lodging Trust (REIT)</t>
        </is>
      </c>
      <c r="E49" s="22" t="inlineStr">
        <is>
          <t>NYSE</t>
        </is>
      </c>
      <c r="F49" s="22" t="inlineStr">
        <is>
          <t>房地產</t>
        </is>
      </c>
      <c r="G49" s="22" t="inlineStr">
        <is>
          <t>Real Estate Investment Trusts</t>
        </is>
      </c>
      <c r="H49" s="24" t="n">
        <v>0.623</v>
      </c>
      <c r="I49" s="22" t="inlineStr">
        <is>
          <t>小型</t>
        </is>
      </c>
      <c r="J49" s="25" t="n">
        <v>13.68</v>
      </c>
      <c r="K49" s="25" t="n">
        <v>13.56</v>
      </c>
      <c r="L49" s="26">
        <f>J49/K49-1</f>
        <v/>
      </c>
      <c r="M49" s="25" t="n">
        <v>13.78</v>
      </c>
      <c r="N49" s="25" t="n">
        <v>13.22</v>
      </c>
      <c r="O49" s="27" t="n">
        <v>267100</v>
      </c>
      <c r="P49" s="27" t="n">
        <v>289470</v>
      </c>
      <c r="Q49" s="28">
        <f>O49/P49</f>
        <v/>
      </c>
      <c r="R49" s="25" t="n">
        <v>13.4043</v>
      </c>
      <c r="S49" s="25" t="n">
        <v>13.2634</v>
      </c>
      <c r="T49" s="25" t="n">
        <v>13.1183</v>
      </c>
      <c r="U49" s="26">
        <f>S49/T49-1</f>
        <v/>
      </c>
      <c r="V49" s="29" t="n">
        <v>1</v>
      </c>
      <c r="W49" s="26">
        <f>J49/R49-1</f>
        <v/>
      </c>
      <c r="X49" s="26">
        <f>J49/S49-1</f>
        <v/>
      </c>
      <c r="Y49" s="25" t="n">
        <v>0.3516</v>
      </c>
      <c r="Z49" s="30">
        <f>Y49/J49</f>
        <v/>
      </c>
      <c r="AA49" s="28">
        <f>(J49-R49)/Y49</f>
        <v/>
      </c>
      <c r="AB49" s="28">
        <f>(J49-S49)/Y49</f>
        <v/>
      </c>
      <c r="AC49" s="22">
        <f>IF(ABS(AA49)&lt;=ABS(AB49),"9EMA","21EMA")</f>
        <v/>
      </c>
      <c r="AD49" s="22" t="inlineStr">
        <is>
          <t>9+21EMA</t>
        </is>
      </c>
      <c r="AE49" s="22" t="inlineStr">
        <is>
          <t>持續在上方</t>
        </is>
      </c>
      <c r="AF49" s="22" t="inlineStr"/>
      <c r="AG49" s="22" t="inlineStr"/>
      <c r="AH49" s="22" t="inlineStr">
        <is>
          <t>✓</t>
        </is>
      </c>
      <c r="AI49" s="22" t="inlineStr">
        <is>
          <t>2026-09-24</t>
        </is>
      </c>
      <c r="AJ49" s="22" t="n">
        <v>6</v>
      </c>
      <c r="AK49" s="31" t="n">
        <v>3</v>
      </c>
      <c r="AL49" s="22" t="inlineStr">
        <is>
          <t>2026-09-16</t>
        </is>
      </c>
      <c r="AM49" s="25" t="n">
        <v>12.64</v>
      </c>
      <c r="AN49" s="25" t="n">
        <v>12.53</v>
      </c>
      <c r="AO49" s="26">
        <f>IF(ISNUMBER(AN49),AM49/AN49-1,"")</f>
        <v/>
      </c>
      <c r="AP49" s="31" t="n">
        <v>12</v>
      </c>
      <c r="AQ49" s="26">
        <f>IF(ISNUMBER(AM49),J49/AM49-1,"")</f>
        <v/>
      </c>
      <c r="AR49" s="25" t="n">
        <v>13.68</v>
      </c>
      <c r="AS49" s="26">
        <f>J49/AR49-1</f>
        <v/>
      </c>
      <c r="AT49" s="32" t="n">
        <v>0.1145</v>
      </c>
      <c r="AU49" s="32" t="n">
        <v>0.0499</v>
      </c>
      <c r="AV49" s="32" t="n">
        <v>0.0338</v>
      </c>
      <c r="AW49" s="33">
        <f>AU49-AV49</f>
        <v/>
      </c>
      <c r="AX49" s="32" t="n">
        <v>0.0646</v>
      </c>
      <c r="AY49" s="32" t="n">
        <v>0.0563</v>
      </c>
      <c r="AZ49" s="32" t="n">
        <v>0.0501</v>
      </c>
      <c r="BA49" s="22" t="inlineStr">
        <is>
          <t>深綠</t>
        </is>
      </c>
      <c r="BB49" s="22" t="inlineStr">
        <is>
          <t>淺綠→深綠</t>
        </is>
      </c>
      <c r="BC49" s="22" t="n">
        <v>1</v>
      </c>
      <c r="BD49" s="22" t="inlineStr">
        <is>
          <t>深綠 深綠 深綠 深綠 深綠 淺綠 深綠 深綠</t>
        </is>
      </c>
      <c r="BE49" s="22" t="inlineStr">
        <is>
          <t>上升三角（平頂）</t>
        </is>
      </c>
      <c r="BF49" s="34" t="n">
        <v>0.09130000000000001</v>
      </c>
      <c r="BG49" s="34" t="n">
        <v>0.1608</v>
      </c>
      <c r="BH49" s="34" t="n">
        <v>0.4883</v>
      </c>
      <c r="BI49" s="34" t="n">
        <v>0.4379</v>
      </c>
      <c r="BJ49" s="31" t="n">
        <v>4</v>
      </c>
      <c r="BK49" s="25" t="n">
        <v>13.78</v>
      </c>
      <c r="BL49" s="25" t="n">
        <v>12.53</v>
      </c>
      <c r="BM49" s="25" t="n">
        <v>13.1403</v>
      </c>
      <c r="BN49" s="34" t="n">
        <v>1.1727</v>
      </c>
      <c r="BO49" s="28">
        <f>IF(M49=N49,0.5,(J49-N49)/(M49-N49))</f>
        <v/>
      </c>
      <c r="BP49" s="35" t="n">
        <v>9.151</v>
      </c>
      <c r="BQ49" s="35" t="n">
        <v>4.11</v>
      </c>
      <c r="BR49" s="36">
        <f>100*(0.4*MIN(1,MAX(0,((U49*100)-(0.0))/((2.5)-(0.0))))+0.3*MIN(1,MAX(0,((V49)-(0.6))/((1.0)-(0.6))))+0.3*MIN(1,MAX(0,((BP49)-(0.0))/((15.0)-(0.0)))))</f>
        <v/>
      </c>
      <c r="BS49" s="36">
        <f>100*(0.4*MIN(1,MAX(0,((MIN(ABS(AA49),ABS(AB49)))-(0.75))/((0.0)-(0.75))))+0.3*MIN(1,MAX(0,((BN49)-(1.2))/((0.6)-(1.2))))+0.3*BO49)</f>
        <v/>
      </c>
      <c r="BT49" s="36">
        <f>100*(0.5*MIN(1,MAX(0,((AK49)-(1.0))/((4.0)-(1.0))))+0.3*MIN(1,MAX(0,((IF(ISNUMBER(AO49),AO49,0)*100)-(0.0))/((8.0)-(0.0))))+0.2*MIN(1,MAX(0,((IF(ISNUMBER(AP49),AP49,0))-(25.0))/((5.0)-(25.0)))))</f>
        <v/>
      </c>
      <c r="BU49" s="36">
        <f>100*(0.35*MIN(1,MAX(0,((ABS(BF49))-(0.3))/((0.05)-(0.3))))+0.3*MIN(1,MAX(0,((BG49)-(0.0))/((0.3)-(0.0))))+0.25*MIN(1,MAX(0,((BH49)-(0.4))/((0.7)-(0.4))))+0.1*IF(BJ49&gt;=2,1,0.5))</f>
        <v/>
      </c>
      <c r="BV49" s="37">
        <f>0.25*BR49+0.25*BS49+0.2*BT49+0.3*BU49</f>
        <v/>
      </c>
      <c r="BW49" s="22" t="inlineStr">
        <is>
          <t>C4 上升三角／重心偏上</t>
        </is>
      </c>
      <c r="BX49" s="22" t="inlineStr"/>
    </row>
    <row r="50">
      <c r="A50" s="22" t="n">
        <v>2</v>
      </c>
      <c r="B50" s="22" t="n">
        <v>23</v>
      </c>
      <c r="C50" s="23" t="inlineStr">
        <is>
          <t>WMK</t>
        </is>
      </c>
      <c r="D50" s="22" t="inlineStr">
        <is>
          <t>Weis Markets Inc.</t>
        </is>
      </c>
      <c r="E50" s="22" t="inlineStr">
        <is>
          <t>NYSE</t>
        </is>
      </c>
      <c r="F50" s="22" t="inlineStr">
        <is>
          <t>必需消費</t>
        </is>
      </c>
      <c r="G50" s="22" t="inlineStr">
        <is>
          <t>Food Chains</t>
        </is>
      </c>
      <c r="H50" s="24" t="n">
        <v>1.806</v>
      </c>
      <c r="I50" s="22" t="inlineStr">
        <is>
          <t>小型</t>
        </is>
      </c>
      <c r="J50" s="25" t="n">
        <v>74.04000000000001</v>
      </c>
      <c r="K50" s="25" t="n">
        <v>72.62</v>
      </c>
      <c r="L50" s="26">
        <f>J50/K50-1</f>
        <v/>
      </c>
      <c r="M50" s="25" t="n">
        <v>74.22</v>
      </c>
      <c r="N50" s="25" t="n">
        <v>72.78</v>
      </c>
      <c r="O50" s="27" t="n">
        <v>149600</v>
      </c>
      <c r="P50" s="27" t="n">
        <v>226195</v>
      </c>
      <c r="Q50" s="28">
        <f>O50/P50</f>
        <v/>
      </c>
      <c r="R50" s="25" t="n">
        <v>72.8905</v>
      </c>
      <c r="S50" s="25" t="n">
        <v>72.51300000000001</v>
      </c>
      <c r="T50" s="25" t="n">
        <v>72.14279999999999</v>
      </c>
      <c r="U50" s="26">
        <f>S50/T50-1</f>
        <v/>
      </c>
      <c r="V50" s="29" t="n">
        <v>0.9</v>
      </c>
      <c r="W50" s="26">
        <f>J50/R50-1</f>
        <v/>
      </c>
      <c r="X50" s="26">
        <f>J50/S50-1</f>
        <v/>
      </c>
      <c r="Y50" s="25" t="n">
        <v>1.6037</v>
      </c>
      <c r="Z50" s="30">
        <f>Y50/J50</f>
        <v/>
      </c>
      <c r="AA50" s="28">
        <f>(J50-R50)/Y50</f>
        <v/>
      </c>
      <c r="AB50" s="28">
        <f>(J50-S50)/Y50</f>
        <v/>
      </c>
      <c r="AC50" s="22">
        <f>IF(ABS(AA50)&lt;=ABS(AB50),"9EMA","21EMA")</f>
        <v/>
      </c>
      <c r="AD50" s="22" t="inlineStr">
        <is>
          <t>9+21EMA</t>
        </is>
      </c>
      <c r="AE50" s="22" t="inlineStr">
        <is>
          <t>持續在上方</t>
        </is>
      </c>
      <c r="AF50" s="22" t="inlineStr"/>
      <c r="AG50" s="22" t="inlineStr"/>
      <c r="AH50" s="22" t="inlineStr">
        <is>
          <t>✓</t>
        </is>
      </c>
      <c r="AI50" s="22" t="inlineStr">
        <is>
          <t>2026-09-16</t>
        </is>
      </c>
      <c r="AJ50" s="22" t="n">
        <v>12</v>
      </c>
      <c r="AK50" s="31" t="n">
        <v>4</v>
      </c>
      <c r="AL50" s="22" t="inlineStr">
        <is>
          <t>2026-09-25</t>
        </is>
      </c>
      <c r="AM50" s="25" t="n">
        <v>71.41</v>
      </c>
      <c r="AN50" s="25" t="n">
        <v>69.45999999999999</v>
      </c>
      <c r="AO50" s="26">
        <f>IF(ISNUMBER(AN50),AM50/AN50-1,"")</f>
        <v/>
      </c>
      <c r="AP50" s="31" t="n">
        <v>5</v>
      </c>
      <c r="AQ50" s="26">
        <f>IF(ISNUMBER(AM50),J50/AM50-1,"")</f>
        <v/>
      </c>
      <c r="AR50" s="25" t="n">
        <v>74.04000000000001</v>
      </c>
      <c r="AS50" s="26">
        <f>J50/AR50-1</f>
        <v/>
      </c>
      <c r="AT50" s="32" t="n">
        <v>0.2322</v>
      </c>
      <c r="AU50" s="32" t="n">
        <v>0.0237</v>
      </c>
      <c r="AV50" s="32" t="n">
        <v>-0.0285</v>
      </c>
      <c r="AW50" s="33">
        <f>AU50-AV50</f>
        <v/>
      </c>
      <c r="AX50" s="32" t="n">
        <v>0.2085</v>
      </c>
      <c r="AY50" s="32" t="n">
        <v>0.1475</v>
      </c>
      <c r="AZ50" s="32" t="n">
        <v>0.1827</v>
      </c>
      <c r="BA50" s="22" t="inlineStr">
        <is>
          <t>深綠</t>
        </is>
      </c>
      <c r="BB50" s="22" t="inlineStr">
        <is>
          <t>淺綠→深綠</t>
        </is>
      </c>
      <c r="BC50" s="22" t="n">
        <v>0</v>
      </c>
      <c r="BD50" s="22" t="inlineStr">
        <is>
          <t>淺綠 淺綠 淺綠 深綠 淺綠 淺綠 淺綠 深綠</t>
        </is>
      </c>
      <c r="BE50" s="22" t="inlineStr">
        <is>
          <t>上升通道</t>
        </is>
      </c>
      <c r="BF50" s="34" t="n">
        <v>0.2992</v>
      </c>
      <c r="BG50" s="34" t="n">
        <v>0.2394</v>
      </c>
      <c r="BH50" s="34" t="n">
        <v>0.4578</v>
      </c>
      <c r="BI50" s="34" t="n">
        <v>0.5566</v>
      </c>
      <c r="BJ50" s="31" t="n">
        <v>2</v>
      </c>
      <c r="BK50" s="25" t="n">
        <v>75.31999999999999</v>
      </c>
      <c r="BL50" s="25" t="n">
        <v>69.45999999999999</v>
      </c>
      <c r="BM50" s="25" t="n">
        <v>72.14239999999999</v>
      </c>
      <c r="BN50" s="34" t="n">
        <v>0.8928</v>
      </c>
      <c r="BO50" s="28">
        <f>IF(M50=N50,0.5,(J50-N50)/(M50-N50))</f>
        <v/>
      </c>
      <c r="BP50" s="35" t="n">
        <v>10.226</v>
      </c>
      <c r="BQ50" s="35" t="n">
        <v>5.185</v>
      </c>
      <c r="BR50" s="36">
        <f>100*(0.4*MIN(1,MAX(0,((U50*100)-(0.0))/((2.5)-(0.0))))+0.3*MIN(1,MAX(0,((V50)-(0.6))/((1.0)-(0.6))))+0.3*MIN(1,MAX(0,((BP50)-(0.0))/((15.0)-(0.0)))))</f>
        <v/>
      </c>
      <c r="BS50" s="36">
        <f>100*(0.4*MIN(1,MAX(0,((MIN(ABS(AA50),ABS(AB50)))-(0.75))/((0.0)-(0.75))))+0.3*MIN(1,MAX(0,((BN50)-(1.2))/((0.6)-(1.2))))+0.3*BO50)</f>
        <v/>
      </c>
      <c r="BT50" s="36">
        <f>100*(0.5*MIN(1,MAX(0,((AK50)-(1.0))/((4.0)-(1.0))))+0.3*MIN(1,MAX(0,((IF(ISNUMBER(AO50),AO50,0)*100)-(0.0))/((8.0)-(0.0))))+0.2*MIN(1,MAX(0,((IF(ISNUMBER(AP50),AP50,0))-(25.0))/((5.0)-(25.0)))))</f>
        <v/>
      </c>
      <c r="BU50" s="36">
        <f>100*(0.35*MIN(1,MAX(0,((ABS(BF50))-(0.3))/((0.05)-(0.3))))+0.3*MIN(1,MAX(0,((BG50)-(0.0))/((0.3)-(0.0))))+0.25*MIN(1,MAX(0,((BH50)-(0.4))/((0.7)-(0.4))))+0.1*IF(BJ50&gt;=2,1,0.5))</f>
        <v/>
      </c>
      <c r="BV50" s="37">
        <f>0.25*BR50+0.25*BS50+0.2*BT50+0.3*BU50</f>
        <v/>
      </c>
      <c r="BW50" s="22" t="inlineStr">
        <is>
          <t>C4 上升三角／重心偏上</t>
        </is>
      </c>
      <c r="BX50" s="22" t="inlineStr"/>
    </row>
    <row r="51">
      <c r="A51" s="22" t="n">
        <v>2</v>
      </c>
      <c r="B51" s="22" t="n">
        <v>24</v>
      </c>
      <c r="C51" s="23" t="inlineStr">
        <is>
          <t>MRVI</t>
        </is>
      </c>
      <c r="D51" s="22" t="inlineStr">
        <is>
          <t>Maravai LifeSciences Holdings Inc.</t>
        </is>
      </c>
      <c r="E51" s="22" t="inlineStr">
        <is>
          <t>NASDAQ</t>
        </is>
      </c>
      <c r="F51" s="22" t="inlineStr">
        <is>
          <t>醫療保健</t>
        </is>
      </c>
      <c r="G51" s="22" t="inlineStr">
        <is>
          <t>Biotechnology: Pharmaceutical Preparations</t>
        </is>
      </c>
      <c r="H51" s="24" t="n">
        <v>1.989</v>
      </c>
      <c r="I51" s="22" t="inlineStr">
        <is>
          <t>小型</t>
        </is>
      </c>
      <c r="J51" s="25" t="n">
        <v>7.9</v>
      </c>
      <c r="K51" s="25" t="n">
        <v>7.5</v>
      </c>
      <c r="L51" s="26">
        <f>J51/K51-1</f>
        <v/>
      </c>
      <c r="M51" s="25" t="n">
        <v>7.92</v>
      </c>
      <c r="N51" s="25" t="n">
        <v>7.5</v>
      </c>
      <c r="O51" s="27" t="n">
        <v>1913600</v>
      </c>
      <c r="P51" s="27" t="n">
        <v>2495150</v>
      </c>
      <c r="Q51" s="28">
        <f>O51/P51</f>
        <v/>
      </c>
      <c r="R51" s="25" t="n">
        <v>7.5729</v>
      </c>
      <c r="S51" s="25" t="n">
        <v>7.4011</v>
      </c>
      <c r="T51" s="25" t="n">
        <v>7.2332</v>
      </c>
      <c r="U51" s="26">
        <f>S51/T51-1</f>
        <v/>
      </c>
      <c r="V51" s="29" t="n">
        <v>1</v>
      </c>
      <c r="W51" s="26">
        <f>J51/R51-1</f>
        <v/>
      </c>
      <c r="X51" s="26">
        <f>J51/S51-1</f>
        <v/>
      </c>
      <c r="Y51" s="25" t="n">
        <v>0.3915</v>
      </c>
      <c r="Z51" s="30">
        <f>Y51/J51</f>
        <v/>
      </c>
      <c r="AA51" s="28">
        <f>(J51-R51)/Y51</f>
        <v/>
      </c>
      <c r="AB51" s="28">
        <f>(J51-S51)/Y51</f>
        <v/>
      </c>
      <c r="AC51" s="22">
        <f>IF(ABS(AA51)&lt;=ABS(AB51),"9EMA","21EMA")</f>
        <v/>
      </c>
      <c r="AD51" s="22" t="inlineStr">
        <is>
          <t>9+21EMA</t>
        </is>
      </c>
      <c r="AE51" s="22" t="inlineStr">
        <is>
          <t>持續在上方</t>
        </is>
      </c>
      <c r="AF51" s="22" t="inlineStr"/>
      <c r="AG51" s="22" t="inlineStr"/>
      <c r="AH51" s="22" t="inlineStr"/>
      <c r="AI51" s="22" t="inlineStr">
        <is>
          <t>2026-09-23</t>
        </is>
      </c>
      <c r="AJ51" s="22" t="n">
        <v>7</v>
      </c>
      <c r="AK51" s="31" t="n">
        <v>3</v>
      </c>
      <c r="AL51" s="22" t="inlineStr">
        <is>
          <t>2026-09-11</t>
        </is>
      </c>
      <c r="AM51" s="25" t="n">
        <v>6.485</v>
      </c>
      <c r="AN51" s="25" t="n">
        <v>5.53</v>
      </c>
      <c r="AO51" s="26">
        <f>IF(ISNUMBER(AN51),AM51/AN51-1,"")</f>
        <v/>
      </c>
      <c r="AP51" s="31" t="n">
        <v>15</v>
      </c>
      <c r="AQ51" s="26">
        <f>IF(ISNUMBER(AM51),J51/AM51-1,"")</f>
        <v/>
      </c>
      <c r="AR51" s="25" t="n">
        <v>7.9</v>
      </c>
      <c r="AS51" s="26">
        <f>J51/AR51-1</f>
        <v/>
      </c>
      <c r="AT51" s="32" t="n">
        <v>0.1688</v>
      </c>
      <c r="AU51" s="32" t="n">
        <v>0.1219</v>
      </c>
      <c r="AV51" s="32" t="n">
        <v>0.1102</v>
      </c>
      <c r="AW51" s="33">
        <f>AU51-AV51</f>
        <v/>
      </c>
      <c r="AX51" s="32" t="n">
        <v>0.0469</v>
      </c>
      <c r="AY51" s="32" t="n">
        <v>0.033</v>
      </c>
      <c r="AZ51" s="32" t="n">
        <v>0.0471</v>
      </c>
      <c r="BA51" s="22" t="inlineStr">
        <is>
          <t>深綠</t>
        </is>
      </c>
      <c r="BB51" s="22" t="inlineStr">
        <is>
          <t>淺綠→深綠</t>
        </is>
      </c>
      <c r="BC51" s="22" t="n">
        <v>0</v>
      </c>
      <c r="BD51" s="22" t="inlineStr">
        <is>
          <t>淺紅 深綠 深綠 深綠 深綠 淺綠 淺綠 深綠</t>
        </is>
      </c>
      <c r="BE51" s="22" t="inlineStr">
        <is>
          <t>上傾擴張</t>
        </is>
      </c>
      <c r="BF51" s="34" t="n">
        <v>0.6203</v>
      </c>
      <c r="BG51" s="34" t="n">
        <v>0.0775</v>
      </c>
      <c r="BH51" s="34" t="n">
        <v>0.4839</v>
      </c>
      <c r="BI51" s="34" t="n">
        <v>0.5641</v>
      </c>
      <c r="BJ51" s="31" t="n">
        <v>1</v>
      </c>
      <c r="BK51" s="25" t="n">
        <v>8.175000000000001</v>
      </c>
      <c r="BL51" s="25" t="n">
        <v>6.485</v>
      </c>
      <c r="BM51" s="25" t="n">
        <v>7.3029</v>
      </c>
      <c r="BN51" s="34" t="n">
        <v>1.1786</v>
      </c>
      <c r="BO51" s="28">
        <f>IF(M51=N51,0.5,(J51-N51)/(M51-N51))</f>
        <v/>
      </c>
      <c r="BP51" s="35" t="n">
        <v>12.087</v>
      </c>
      <c r="BQ51" s="35" t="n">
        <v>7.046</v>
      </c>
      <c r="BR51" s="36">
        <f>100*(0.4*MIN(1,MAX(0,((U51*100)-(0.0))/((2.5)-(0.0))))+0.3*MIN(1,MAX(0,((V51)-(0.6))/((1.0)-(0.6))))+0.3*MIN(1,MAX(0,((BP51)-(0.0))/((15.0)-(0.0)))))</f>
        <v/>
      </c>
      <c r="BS51" s="36">
        <f>100*(0.4*MIN(1,MAX(0,((MIN(ABS(AA51),ABS(AB51)))-(0.75))/((0.0)-(0.75))))+0.3*MIN(1,MAX(0,((BN51)-(1.2))/((0.6)-(1.2))))+0.3*BO51)</f>
        <v/>
      </c>
      <c r="BT51" s="36">
        <f>100*(0.5*MIN(1,MAX(0,((AK51)-(1.0))/((4.0)-(1.0))))+0.3*MIN(1,MAX(0,((IF(ISNUMBER(AO51),AO51,0)*100)-(0.0))/((8.0)-(0.0))))+0.2*MIN(1,MAX(0,((IF(ISNUMBER(AP51),AP51,0))-(25.0))/((5.0)-(25.0)))))</f>
        <v/>
      </c>
      <c r="BU51" s="36">
        <f>100*(0.35*MIN(1,MAX(0,((ABS(BF51))-(0.3))/((0.05)-(0.3))))+0.3*MIN(1,MAX(0,((BG51)-(0.0))/((0.3)-(0.0))))+0.25*MIN(1,MAX(0,((BH51)-(0.4))/((0.7)-(0.4))))+0.1*IF(BJ51&gt;=2,1,0.5))</f>
        <v/>
      </c>
      <c r="BV51" s="37">
        <f>0.25*BR51+0.25*BS51+0.2*BT51+0.3*BU51</f>
        <v/>
      </c>
      <c r="BW51" s="22" t="inlineStr">
        <is>
          <t>C4 上升三角／重心偏上</t>
        </is>
      </c>
      <c r="BX51" s="22" t="inlineStr"/>
    </row>
    <row r="52">
      <c r="A52" s="22" t="n">
        <v>2</v>
      </c>
      <c r="B52" s="22" t="n">
        <v>25</v>
      </c>
      <c r="C52" s="23" t="inlineStr">
        <is>
          <t>AIP</t>
        </is>
      </c>
      <c r="D52" s="22" t="inlineStr">
        <is>
          <t>Arteris Inc.</t>
        </is>
      </c>
      <c r="E52" s="22" t="inlineStr">
        <is>
          <t>NASDAQ</t>
        </is>
      </c>
      <c r="F52" s="22" t="inlineStr">
        <is>
          <t>科技</t>
        </is>
      </c>
      <c r="G52" s="22" t="inlineStr">
        <is>
          <t>Semiconductors</t>
        </is>
      </c>
      <c r="H52" s="24" t="n">
        <v>1.162</v>
      </c>
      <c r="I52" s="22" t="inlineStr">
        <is>
          <t>小型</t>
        </is>
      </c>
      <c r="J52" s="25" t="n">
        <v>24.66</v>
      </c>
      <c r="K52" s="25" t="n">
        <v>24.01</v>
      </c>
      <c r="L52" s="26">
        <f>J52/K52-1</f>
        <v/>
      </c>
      <c r="M52" s="25" t="n">
        <v>25.15</v>
      </c>
      <c r="N52" s="25" t="n">
        <v>24.27</v>
      </c>
      <c r="O52" s="27" t="n">
        <v>614000</v>
      </c>
      <c r="P52" s="27" t="n">
        <v>687955</v>
      </c>
      <c r="Q52" s="28">
        <f>O52/P52</f>
        <v/>
      </c>
      <c r="R52" s="25" t="n">
        <v>23.7464</v>
      </c>
      <c r="S52" s="25" t="n">
        <v>23.5457</v>
      </c>
      <c r="T52" s="25" t="n">
        <v>23.3833</v>
      </c>
      <c r="U52" s="26">
        <f>S52/T52-1</f>
        <v/>
      </c>
      <c r="V52" s="29" t="n">
        <v>0.8</v>
      </c>
      <c r="W52" s="26">
        <f>J52/R52-1</f>
        <v/>
      </c>
      <c r="X52" s="26">
        <f>J52/S52-1</f>
        <v/>
      </c>
      <c r="Y52" s="25" t="n">
        <v>1.2836</v>
      </c>
      <c r="Z52" s="30">
        <f>Y52/J52</f>
        <v/>
      </c>
      <c r="AA52" s="28">
        <f>(J52-R52)/Y52</f>
        <v/>
      </c>
      <c r="AB52" s="28">
        <f>(J52-S52)/Y52</f>
        <v/>
      </c>
      <c r="AC52" s="22">
        <f>IF(ABS(AA52)&lt;=ABS(AB52),"9EMA","21EMA")</f>
        <v/>
      </c>
      <c r="AD52" s="22" t="inlineStr">
        <is>
          <t>9+21EMA</t>
        </is>
      </c>
      <c r="AE52" s="21" t="inlineStr">
        <is>
          <t>剛黃金交叉</t>
        </is>
      </c>
      <c r="AF52" s="22" t="inlineStr">
        <is>
          <t>✓</t>
        </is>
      </c>
      <c r="AG52" s="22" t="inlineStr"/>
      <c r="AH52" s="22" t="inlineStr"/>
      <c r="AI52" s="22" t="inlineStr">
        <is>
          <t>2026-09-30</t>
        </is>
      </c>
      <c r="AJ52" s="22" t="n">
        <v>2</v>
      </c>
      <c r="AK52" s="31" t="n">
        <v>2</v>
      </c>
      <c r="AL52" s="22" t="inlineStr">
        <is>
          <t>2026-09-28</t>
        </is>
      </c>
      <c r="AM52" s="25" t="n">
        <v>22.54</v>
      </c>
      <c r="AN52" s="25" t="n">
        <v>20.02</v>
      </c>
      <c r="AO52" s="26">
        <f>IF(ISNUMBER(AN52),AM52/AN52-1,"")</f>
        <v/>
      </c>
      <c r="AP52" s="31" t="n">
        <v>4</v>
      </c>
      <c r="AQ52" s="26">
        <f>IF(ISNUMBER(AM52),J52/AM52-1,"")</f>
        <v/>
      </c>
      <c r="AR52" s="25" t="n">
        <v>24.78</v>
      </c>
      <c r="AS52" s="26">
        <f>J52/AR52-1</f>
        <v/>
      </c>
      <c r="AT52" s="32" t="n">
        <v>-0.1597</v>
      </c>
      <c r="AU52" s="32" t="n">
        <v>-0.573</v>
      </c>
      <c r="AV52" s="32" t="n">
        <v>-0.6763</v>
      </c>
      <c r="AW52" s="33">
        <f>AU52-AV52</f>
        <v/>
      </c>
      <c r="AX52" s="32" t="n">
        <v>0.4133</v>
      </c>
      <c r="AY52" s="32" t="n">
        <v>0.3952</v>
      </c>
      <c r="AZ52" s="32" t="n">
        <v>0.4092</v>
      </c>
      <c r="BA52" s="22" t="inlineStr">
        <is>
          <t>深綠</t>
        </is>
      </c>
      <c r="BB52" s="22" t="inlineStr">
        <is>
          <t>淺綠→深綠</t>
        </is>
      </c>
      <c r="BC52" s="22" t="n">
        <v>0</v>
      </c>
      <c r="BD52" s="22" t="inlineStr">
        <is>
          <t>深綠 淺綠 淺綠 淺綠 淺綠 淺綠 淺綠 深綠</t>
        </is>
      </c>
      <c r="BE52" s="22" t="inlineStr">
        <is>
          <t>上傾收窄（楔形）</t>
        </is>
      </c>
      <c r="BF52" s="34" t="n">
        <v>0.4579</v>
      </c>
      <c r="BG52" s="34" t="n">
        <v>0.6026</v>
      </c>
      <c r="BH52" s="34" t="n">
        <v>0.488</v>
      </c>
      <c r="BI52" s="34" t="n">
        <v>0.4836</v>
      </c>
      <c r="BJ52" s="31" t="n">
        <v>3</v>
      </c>
      <c r="BK52" s="25" t="n">
        <v>25.15</v>
      </c>
      <c r="BL52" s="25" t="n">
        <v>20.02</v>
      </c>
      <c r="BM52" s="25" t="n">
        <v>22.5232</v>
      </c>
      <c r="BN52" s="34" t="n">
        <v>0.7751</v>
      </c>
      <c r="BO52" s="28">
        <f>IF(M52=N52,0.5,(J52-N52)/(M52-N52))</f>
        <v/>
      </c>
      <c r="BP52" s="35" t="n">
        <v>23.371</v>
      </c>
      <c r="BQ52" s="35" t="n">
        <v>18.33</v>
      </c>
      <c r="BR52" s="36">
        <f>100*(0.4*MIN(1,MAX(0,((U52*100)-(0.0))/((2.5)-(0.0))))+0.3*MIN(1,MAX(0,((V52)-(0.6))/((1.0)-(0.6))))+0.3*MIN(1,MAX(0,((BP52)-(0.0))/((15.0)-(0.0)))))</f>
        <v/>
      </c>
      <c r="BS52" s="36">
        <f>100*(0.4*MIN(1,MAX(0,((MIN(ABS(AA52),ABS(AB52)))-(0.75))/((0.0)-(0.75))))+0.3*MIN(1,MAX(0,((BN52)-(1.2))/((0.6)-(1.2))))+0.3*BO52)</f>
        <v/>
      </c>
      <c r="BT52" s="36">
        <f>100*(0.5*MIN(1,MAX(0,((AK52)-(1.0))/((4.0)-(1.0))))+0.3*MIN(1,MAX(0,((IF(ISNUMBER(AO52),AO52,0)*100)-(0.0))/((8.0)-(0.0))))+0.2*MIN(1,MAX(0,((IF(ISNUMBER(AP52),AP52,0))-(25.0))/((5.0)-(25.0)))))</f>
        <v/>
      </c>
      <c r="BU52" s="36">
        <f>100*(0.35*MIN(1,MAX(0,((ABS(BF52))-(0.3))/((0.05)-(0.3))))+0.3*MIN(1,MAX(0,((BG52)-(0.0))/((0.3)-(0.0))))+0.25*MIN(1,MAX(0,((BH52)-(0.4))/((0.7)-(0.4))))+0.1*IF(BJ52&gt;=2,1,0.5))</f>
        <v/>
      </c>
      <c r="BV52" s="37">
        <f>0.25*BR52+0.25*BS52+0.2*BT52+0.3*BU52</f>
        <v/>
      </c>
      <c r="BW52" s="22" t="inlineStr">
        <is>
          <t>C4 上升三角／重心偏上</t>
        </is>
      </c>
      <c r="BX52" s="22" t="inlineStr"/>
    </row>
    <row r="53">
      <c r="A53" s="22" t="n">
        <v>2</v>
      </c>
      <c r="B53" s="22" t="n">
        <v>26</v>
      </c>
      <c r="C53" s="23" t="inlineStr">
        <is>
          <t>WEST</t>
        </is>
      </c>
      <c r="D53" s="22" t="inlineStr">
        <is>
          <t>Westrock Coffee Company</t>
        </is>
      </c>
      <c r="E53" s="22" t="inlineStr">
        <is>
          <t>NASDAQ</t>
        </is>
      </c>
      <c r="F53" s="22" t="inlineStr">
        <is>
          <t>必需消費</t>
        </is>
      </c>
      <c r="G53" s="22" t="inlineStr">
        <is>
          <t>Beverages (Production/Distribution)</t>
        </is>
      </c>
      <c r="H53" s="24" t="n">
        <v>0.785</v>
      </c>
      <c r="I53" s="22" t="inlineStr">
        <is>
          <t>小型</t>
        </is>
      </c>
      <c r="J53" s="25" t="n">
        <v>8.140000000000001</v>
      </c>
      <c r="K53" s="25" t="n">
        <v>8</v>
      </c>
      <c r="L53" s="26">
        <f>J53/K53-1</f>
        <v/>
      </c>
      <c r="M53" s="25" t="n">
        <v>8.255000000000001</v>
      </c>
      <c r="N53" s="25" t="n">
        <v>8.02</v>
      </c>
      <c r="O53" s="27" t="n">
        <v>339000</v>
      </c>
      <c r="P53" s="27" t="n">
        <v>323040</v>
      </c>
      <c r="Q53" s="28">
        <f>O53/P53</f>
        <v/>
      </c>
      <c r="R53" s="25" t="n">
        <v>8.0502</v>
      </c>
      <c r="S53" s="25" t="n">
        <v>7.9964</v>
      </c>
      <c r="T53" s="25" t="n">
        <v>7.9307</v>
      </c>
      <c r="U53" s="26">
        <f>S53/T53-1</f>
        <v/>
      </c>
      <c r="V53" s="29" t="n">
        <v>0.9</v>
      </c>
      <c r="W53" s="26">
        <f>J53/R53-1</f>
        <v/>
      </c>
      <c r="X53" s="26">
        <f>J53/S53-1</f>
        <v/>
      </c>
      <c r="Y53" s="25" t="n">
        <v>0.2959</v>
      </c>
      <c r="Z53" s="30">
        <f>Y53/J53</f>
        <v/>
      </c>
      <c r="AA53" s="28">
        <f>(J53-R53)/Y53</f>
        <v/>
      </c>
      <c r="AB53" s="28">
        <f>(J53-S53)/Y53</f>
        <v/>
      </c>
      <c r="AC53" s="22">
        <f>IF(ABS(AA53)&lt;=ABS(AB53),"9EMA","21EMA")</f>
        <v/>
      </c>
      <c r="AD53" s="22" t="inlineStr">
        <is>
          <t>9+21EMA</t>
        </is>
      </c>
      <c r="AE53" s="22" t="inlineStr">
        <is>
          <t>持續在上方</t>
        </is>
      </c>
      <c r="AF53" s="22" t="inlineStr"/>
      <c r="AG53" s="22" t="inlineStr"/>
      <c r="AH53" s="22" t="inlineStr">
        <is>
          <t>✓</t>
        </is>
      </c>
      <c r="AI53" s="22" t="inlineStr">
        <is>
          <t>2026-09-24</t>
        </is>
      </c>
      <c r="AJ53" s="22" t="n">
        <v>6</v>
      </c>
      <c r="AK53" s="31" t="n">
        <v>3</v>
      </c>
      <c r="AL53" s="22" t="inlineStr">
        <is>
          <t>2026-09-21</t>
        </is>
      </c>
      <c r="AM53" s="25" t="n">
        <v>7.66</v>
      </c>
      <c r="AN53" s="25" t="n">
        <v>7.58</v>
      </c>
      <c r="AO53" s="26">
        <f>IF(ISNUMBER(AN53),AM53/AN53-1,"")</f>
        <v/>
      </c>
      <c r="AP53" s="31" t="n">
        <v>9</v>
      </c>
      <c r="AQ53" s="26">
        <f>IF(ISNUMBER(AM53),J53/AM53-1,"")</f>
        <v/>
      </c>
      <c r="AR53" s="25" t="n">
        <v>8.25</v>
      </c>
      <c r="AS53" s="26">
        <f>J53/AR53-1</f>
        <v/>
      </c>
      <c r="AT53" s="32" t="n">
        <v>0.0371</v>
      </c>
      <c r="AU53" s="32" t="n">
        <v>0.0061</v>
      </c>
      <c r="AV53" s="32" t="n">
        <v>-0.0016</v>
      </c>
      <c r="AW53" s="33">
        <f>AU53-AV53</f>
        <v/>
      </c>
      <c r="AX53" s="32" t="n">
        <v>0.031</v>
      </c>
      <c r="AY53" s="32" t="n">
        <v>0.0303</v>
      </c>
      <c r="AZ53" s="32" t="n">
        <v>0.0409</v>
      </c>
      <c r="BA53" s="22" t="inlineStr">
        <is>
          <t>深綠</t>
        </is>
      </c>
      <c r="BB53" s="22" t="inlineStr">
        <is>
          <t>淺綠→深綠</t>
        </is>
      </c>
      <c r="BC53" s="22" t="n">
        <v>0</v>
      </c>
      <c r="BD53" s="22" t="inlineStr">
        <is>
          <t>深綠 淺綠 深綠 深綠 淺綠 淺綠 淺綠 深綠</t>
        </is>
      </c>
      <c r="BE53" s="22" t="inlineStr">
        <is>
          <t>上升通道</t>
        </is>
      </c>
      <c r="BF53" s="34" t="n">
        <v>0.1185</v>
      </c>
      <c r="BG53" s="34" t="n">
        <v>0.1404</v>
      </c>
      <c r="BH53" s="34" t="n">
        <v>0.4616</v>
      </c>
      <c r="BI53" s="34" t="n">
        <v>0.3915</v>
      </c>
      <c r="BJ53" s="31" t="n">
        <v>9</v>
      </c>
      <c r="BK53" s="25" t="n">
        <v>8.279999999999999</v>
      </c>
      <c r="BL53" s="25" t="n">
        <v>7.58</v>
      </c>
      <c r="BM53" s="25" t="n">
        <v>7.9031</v>
      </c>
      <c r="BN53" s="34" t="n">
        <v>1.1721</v>
      </c>
      <c r="BO53" s="28">
        <f>IF(M53=N53,0.5,(J53-N53)/(M53-N53))</f>
        <v/>
      </c>
      <c r="BP53" s="35" t="n">
        <v>8.867000000000001</v>
      </c>
      <c r="BQ53" s="35" t="n">
        <v>3.827</v>
      </c>
      <c r="BR53" s="36">
        <f>100*(0.4*MIN(1,MAX(0,((U53*100)-(0.0))/((2.5)-(0.0))))+0.3*MIN(1,MAX(0,((V53)-(0.6))/((1.0)-(0.6))))+0.3*MIN(1,MAX(0,((BP53)-(0.0))/((15.0)-(0.0)))))</f>
        <v/>
      </c>
      <c r="BS53" s="36">
        <f>100*(0.4*MIN(1,MAX(0,((MIN(ABS(AA53),ABS(AB53)))-(0.75))/((0.0)-(0.75))))+0.3*MIN(1,MAX(0,((BN53)-(1.2))/((0.6)-(1.2))))+0.3*BO53)</f>
        <v/>
      </c>
      <c r="BT53" s="36">
        <f>100*(0.5*MIN(1,MAX(0,((AK53)-(1.0))/((4.0)-(1.0))))+0.3*MIN(1,MAX(0,((IF(ISNUMBER(AO53),AO53,0)*100)-(0.0))/((8.0)-(0.0))))+0.2*MIN(1,MAX(0,((IF(ISNUMBER(AP53),AP53,0))-(25.0))/((5.0)-(25.0)))))</f>
        <v/>
      </c>
      <c r="BU53" s="36">
        <f>100*(0.35*MIN(1,MAX(0,((ABS(BF53))-(0.3))/((0.05)-(0.3))))+0.3*MIN(1,MAX(0,((BG53)-(0.0))/((0.3)-(0.0))))+0.25*MIN(1,MAX(0,((BH53)-(0.4))/((0.7)-(0.4))))+0.1*IF(BJ53&gt;=2,1,0.5))</f>
        <v/>
      </c>
      <c r="BV53" s="37">
        <f>0.25*BR53+0.25*BS53+0.2*BT53+0.3*BU53</f>
        <v/>
      </c>
      <c r="BW53" s="22" t="inlineStr">
        <is>
          <t>C4 上升三角／重心偏上</t>
        </is>
      </c>
      <c r="BX53" s="22" t="inlineStr"/>
    </row>
    <row r="54">
      <c r="A54" s="22" t="n">
        <v>2</v>
      </c>
      <c r="B54" s="22" t="n">
        <v>27</v>
      </c>
      <c r="C54" s="23" t="inlineStr">
        <is>
          <t>HWKN</t>
        </is>
      </c>
      <c r="D54" s="22" t="inlineStr">
        <is>
          <t>Hawkins Inc.</t>
        </is>
      </c>
      <c r="E54" s="22" t="inlineStr">
        <is>
          <t>NASDAQ</t>
        </is>
      </c>
      <c r="F54" s="22" t="inlineStr">
        <is>
          <t>非必需消費</t>
        </is>
      </c>
      <c r="G54" s="22" t="inlineStr">
        <is>
          <t>Specialty Chemicals</t>
        </is>
      </c>
      <c r="H54" s="24" t="n">
        <v>2.63</v>
      </c>
      <c r="I54" s="22" t="inlineStr">
        <is>
          <t>中型</t>
        </is>
      </c>
      <c r="J54" s="25" t="n">
        <v>131.41</v>
      </c>
      <c r="K54" s="25" t="n">
        <v>127.19</v>
      </c>
      <c r="L54" s="26">
        <f>J54/K54-1</f>
        <v/>
      </c>
      <c r="M54" s="25" t="n">
        <v>132.41</v>
      </c>
      <c r="N54" s="25" t="n">
        <v>129.45</v>
      </c>
      <c r="O54" s="27" t="n">
        <v>199700</v>
      </c>
      <c r="P54" s="27" t="n">
        <v>183740</v>
      </c>
      <c r="Q54" s="28">
        <f>O54/P54</f>
        <v/>
      </c>
      <c r="R54" s="25" t="n">
        <v>127.1746</v>
      </c>
      <c r="S54" s="25" t="n">
        <v>126.0202</v>
      </c>
      <c r="T54" s="25" t="n">
        <v>124.8825</v>
      </c>
      <c r="U54" s="26">
        <f>S54/T54-1</f>
        <v/>
      </c>
      <c r="V54" s="29" t="n">
        <v>0.9</v>
      </c>
      <c r="W54" s="26">
        <f>J54/R54-1</f>
        <v/>
      </c>
      <c r="X54" s="26">
        <f>J54/S54-1</f>
        <v/>
      </c>
      <c r="Y54" s="25" t="n">
        <v>4.0223</v>
      </c>
      <c r="Z54" s="30">
        <f>Y54/J54</f>
        <v/>
      </c>
      <c r="AA54" s="28">
        <f>(J54-R54)/Y54</f>
        <v/>
      </c>
      <c r="AB54" s="28">
        <f>(J54-S54)/Y54</f>
        <v/>
      </c>
      <c r="AC54" s="22">
        <f>IF(ABS(AA54)&lt;=ABS(AB54),"9EMA","21EMA")</f>
        <v/>
      </c>
      <c r="AD54" s="22" t="inlineStr">
        <is>
          <t>9+21EMA</t>
        </is>
      </c>
      <c r="AE54" s="21" t="inlineStr">
        <is>
          <t>剛黃金交叉</t>
        </is>
      </c>
      <c r="AF54" s="22" t="inlineStr">
        <is>
          <t>✓</t>
        </is>
      </c>
      <c r="AG54" s="22" t="inlineStr"/>
      <c r="AH54" s="22" t="inlineStr"/>
      <c r="AI54" s="22" t="inlineStr">
        <is>
          <t>2026-09-25</t>
        </is>
      </c>
      <c r="AJ54" s="22" t="n">
        <v>5</v>
      </c>
      <c r="AK54" s="31" t="n">
        <v>2</v>
      </c>
      <c r="AL54" s="22" t="inlineStr">
        <is>
          <t>2026-09-15</t>
        </is>
      </c>
      <c r="AM54" s="25" t="n">
        <v>118.71</v>
      </c>
      <c r="AN54" s="25" t="n">
        <v>116.05</v>
      </c>
      <c r="AO54" s="26">
        <f>IF(ISNUMBER(AN54),AM54/AN54-1,"")</f>
        <v/>
      </c>
      <c r="AP54" s="31" t="n">
        <v>13</v>
      </c>
      <c r="AQ54" s="26">
        <f>IF(ISNUMBER(AM54),J54/AM54-1,"")</f>
        <v/>
      </c>
      <c r="AR54" s="25" t="n">
        <v>131.41</v>
      </c>
      <c r="AS54" s="26">
        <f>J54/AR54-1</f>
        <v/>
      </c>
      <c r="AT54" s="32" t="n">
        <v>0.5145</v>
      </c>
      <c r="AU54" s="32" t="n">
        <v>-0.3886</v>
      </c>
      <c r="AV54" s="32" t="n">
        <v>-0.6143999999999999</v>
      </c>
      <c r="AW54" s="33">
        <f>AU54-AV54</f>
        <v/>
      </c>
      <c r="AX54" s="32" t="n">
        <v>0.9031</v>
      </c>
      <c r="AY54" s="32" t="n">
        <v>0.6856</v>
      </c>
      <c r="AZ54" s="32" t="n">
        <v>0.72</v>
      </c>
      <c r="BA54" s="22" t="inlineStr">
        <is>
          <t>深綠</t>
        </is>
      </c>
      <c r="BB54" s="22" t="inlineStr">
        <is>
          <t>淺綠→深綠</t>
        </is>
      </c>
      <c r="BC54" s="22" t="n">
        <v>0</v>
      </c>
      <c r="BD54" s="22" t="inlineStr">
        <is>
          <t>淺綠 深綠 深綠 深綠 淺綠 淺綠 淺綠 深綠</t>
        </is>
      </c>
      <c r="BE54" s="22" t="inlineStr">
        <is>
          <t>上升三角（平頂）</t>
        </is>
      </c>
      <c r="BF54" s="34" t="n">
        <v>-0.0288</v>
      </c>
      <c r="BG54" s="34" t="n">
        <v>0.1712</v>
      </c>
      <c r="BH54" s="34" t="n">
        <v>0.4746</v>
      </c>
      <c r="BI54" s="34" t="n">
        <v>0.4196</v>
      </c>
      <c r="BJ54" s="31" t="n">
        <v>2</v>
      </c>
      <c r="BK54" s="25" t="n">
        <v>132.41</v>
      </c>
      <c r="BL54" s="25" t="n">
        <v>118.2</v>
      </c>
      <c r="BM54" s="25" t="n">
        <v>124.9444</v>
      </c>
      <c r="BN54" s="34" t="n">
        <v>0.8964</v>
      </c>
      <c r="BO54" s="28">
        <f>IF(M54=N54,0.5,(J54-N54)/(M54-N54))</f>
        <v/>
      </c>
      <c r="BP54" s="35" t="n">
        <v>9.029</v>
      </c>
      <c r="BQ54" s="35" t="n">
        <v>3.988</v>
      </c>
      <c r="BR54" s="36">
        <f>100*(0.4*MIN(1,MAX(0,((U54*100)-(0.0))/((2.5)-(0.0))))+0.3*MIN(1,MAX(0,((V54)-(0.6))/((1.0)-(0.6))))+0.3*MIN(1,MAX(0,((BP54)-(0.0))/((15.0)-(0.0)))))</f>
        <v/>
      </c>
      <c r="BS54" s="36">
        <f>100*(0.4*MIN(1,MAX(0,((MIN(ABS(AA54),ABS(AB54)))-(0.75))/((0.0)-(0.75))))+0.3*MIN(1,MAX(0,((BN54)-(1.2))/((0.6)-(1.2))))+0.3*BO54)</f>
        <v/>
      </c>
      <c r="BT54" s="36">
        <f>100*(0.5*MIN(1,MAX(0,((AK54)-(1.0))/((4.0)-(1.0))))+0.3*MIN(1,MAX(0,((IF(ISNUMBER(AO54),AO54,0)*100)-(0.0))/((8.0)-(0.0))))+0.2*MIN(1,MAX(0,((IF(ISNUMBER(AP54),AP54,0))-(25.0))/((5.0)-(25.0)))))</f>
        <v/>
      </c>
      <c r="BU54" s="36">
        <f>100*(0.35*MIN(1,MAX(0,((ABS(BF54))-(0.3))/((0.05)-(0.3))))+0.3*MIN(1,MAX(0,((BG54)-(0.0))/((0.3)-(0.0))))+0.25*MIN(1,MAX(0,((BH54)-(0.4))/((0.7)-(0.4))))+0.1*IF(BJ54&gt;=2,1,0.5))</f>
        <v/>
      </c>
      <c r="BV54" s="37">
        <f>0.25*BR54+0.25*BS54+0.2*BT54+0.3*BU54</f>
        <v/>
      </c>
      <c r="BW54" s="22" t="inlineStr">
        <is>
          <t>C4 上升三角／重心偏上</t>
        </is>
      </c>
      <c r="BX54" s="22" t="inlineStr"/>
    </row>
    <row r="55">
      <c r="A55" s="22" t="n">
        <v>2</v>
      </c>
      <c r="B55" s="22" t="n">
        <v>28</v>
      </c>
      <c r="C55" s="23" t="inlineStr">
        <is>
          <t>FIX</t>
        </is>
      </c>
      <c r="D55" s="22" t="inlineStr">
        <is>
          <t>Comfort Systems USA Inc.</t>
        </is>
      </c>
      <c r="E55" s="22" t="inlineStr">
        <is>
          <t>NYSE</t>
        </is>
      </c>
      <c r="F55" s="22" t="inlineStr">
        <is>
          <t>工業</t>
        </is>
      </c>
      <c r="G55" s="22" t="inlineStr">
        <is>
          <t>Engineering &amp; Construction</t>
        </is>
      </c>
      <c r="H55" s="24" t="n">
        <v>58.215</v>
      </c>
      <c r="I55" s="22" t="inlineStr">
        <is>
          <t>大型</t>
        </is>
      </c>
      <c r="J55" s="25" t="n">
        <v>1728.01</v>
      </c>
      <c r="K55" s="25" t="n">
        <v>1685.29</v>
      </c>
      <c r="L55" s="26">
        <f>J55/K55-1</f>
        <v/>
      </c>
      <c r="M55" s="25" t="n">
        <v>1750.39</v>
      </c>
      <c r="N55" s="25" t="n">
        <v>1706.4399</v>
      </c>
      <c r="O55" s="27" t="n">
        <v>276600</v>
      </c>
      <c r="P55" s="27" t="n">
        <v>312770</v>
      </c>
      <c r="Q55" s="28">
        <f>O55/P55</f>
        <v/>
      </c>
      <c r="R55" s="25" t="n">
        <v>1667.3393</v>
      </c>
      <c r="S55" s="25" t="n">
        <v>1647.9849</v>
      </c>
      <c r="T55" s="25" t="n">
        <v>1627.6557</v>
      </c>
      <c r="U55" s="26">
        <f>S55/T55-1</f>
        <v/>
      </c>
      <c r="V55" s="29" t="n">
        <v>1</v>
      </c>
      <c r="W55" s="26">
        <f>J55/R55-1</f>
        <v/>
      </c>
      <c r="X55" s="26">
        <f>J55/S55-1</f>
        <v/>
      </c>
      <c r="Y55" s="25" t="n">
        <v>68.6681</v>
      </c>
      <c r="Z55" s="30">
        <f>Y55/J55</f>
        <v/>
      </c>
      <c r="AA55" s="28">
        <f>(J55-R55)/Y55</f>
        <v/>
      </c>
      <c r="AB55" s="28">
        <f>(J55-S55)/Y55</f>
        <v/>
      </c>
      <c r="AC55" s="22">
        <f>IF(ABS(AA55)&lt;=ABS(AB55),"9EMA","21EMA")</f>
        <v/>
      </c>
      <c r="AD55" s="22" t="inlineStr">
        <is>
          <t>9+21EMA</t>
        </is>
      </c>
      <c r="AE55" s="21" t="inlineStr">
        <is>
          <t>剛黃金交叉</t>
        </is>
      </c>
      <c r="AF55" s="22" t="inlineStr">
        <is>
          <t>✓</t>
        </is>
      </c>
      <c r="AG55" s="22" t="inlineStr"/>
      <c r="AH55" s="22" t="inlineStr"/>
      <c r="AI55" s="22" t="inlineStr">
        <is>
          <t>2026-09-25</t>
        </is>
      </c>
      <c r="AJ55" s="22" t="n">
        <v>5</v>
      </c>
      <c r="AK55" s="31" t="n">
        <v>3</v>
      </c>
      <c r="AL55" s="22" t="inlineStr">
        <is>
          <t>2026-09-24</t>
        </is>
      </c>
      <c r="AM55" s="25" t="n">
        <v>1570</v>
      </c>
      <c r="AN55" s="25" t="n">
        <v>1545.21</v>
      </c>
      <c r="AO55" s="26">
        <f>IF(ISNUMBER(AN55),AM55/AN55-1,"")</f>
        <v/>
      </c>
      <c r="AP55" s="31" t="n">
        <v>6</v>
      </c>
      <c r="AQ55" s="26">
        <f>IF(ISNUMBER(AM55),J55/AM55-1,"")</f>
        <v/>
      </c>
      <c r="AR55" s="25" t="n">
        <v>1728.01</v>
      </c>
      <c r="AS55" s="26">
        <f>J55/AR55-1</f>
        <v/>
      </c>
      <c r="AT55" s="32" t="n">
        <v>10.704</v>
      </c>
      <c r="AU55" s="32" t="n">
        <v>-3.0698</v>
      </c>
      <c r="AV55" s="32" t="n">
        <v>-6.5133</v>
      </c>
      <c r="AW55" s="33">
        <f>AU55-AV55</f>
        <v/>
      </c>
      <c r="AX55" s="32" t="n">
        <v>13.7738</v>
      </c>
      <c r="AY55" s="32" t="n">
        <v>11.0241</v>
      </c>
      <c r="AZ55" s="32" t="n">
        <v>10.1594</v>
      </c>
      <c r="BA55" s="22" t="inlineStr">
        <is>
          <t>深綠</t>
        </is>
      </c>
      <c r="BB55" s="22" t="inlineStr">
        <is>
          <t>淺綠→深綠</t>
        </is>
      </c>
      <c r="BC55" s="22" t="n">
        <v>1</v>
      </c>
      <c r="BD55" s="22" t="inlineStr">
        <is>
          <t>淺綠 深綠 深綠 深綠 深綠 淺綠 深綠 深綠</t>
        </is>
      </c>
      <c r="BE55" s="22" t="inlineStr">
        <is>
          <t>對稱三角</t>
        </is>
      </c>
      <c r="BF55" s="34" t="n">
        <v>-0.1823</v>
      </c>
      <c r="BG55" s="34" t="n">
        <v>0.2195</v>
      </c>
      <c r="BH55" s="34" t="n">
        <v>0.4569</v>
      </c>
      <c r="BI55" s="34" t="n">
        <v>0.472</v>
      </c>
      <c r="BJ55" s="31" t="n">
        <v>1</v>
      </c>
      <c r="BK55" s="25" t="n">
        <v>1750.39</v>
      </c>
      <c r="BL55" s="25" t="n">
        <v>1505.73</v>
      </c>
      <c r="BM55" s="25" t="n">
        <v>1617.5067</v>
      </c>
      <c r="BN55" s="34" t="n">
        <v>1.2356</v>
      </c>
      <c r="BO55" s="28">
        <f>IF(M55=N55,0.5,(J55-N55)/(M55-N55))</f>
        <v/>
      </c>
      <c r="BP55" s="35" t="n">
        <v>15.802</v>
      </c>
      <c r="BQ55" s="35" t="n">
        <v>10.761</v>
      </c>
      <c r="BR55" s="36">
        <f>100*(0.4*MIN(1,MAX(0,((U55*100)-(0.0))/((2.5)-(0.0))))+0.3*MIN(1,MAX(0,((V55)-(0.6))/((1.0)-(0.6))))+0.3*MIN(1,MAX(0,((BP55)-(0.0))/((15.0)-(0.0)))))</f>
        <v/>
      </c>
      <c r="BS55" s="36">
        <f>100*(0.4*MIN(1,MAX(0,((MIN(ABS(AA55),ABS(AB55)))-(0.75))/((0.0)-(0.75))))+0.3*MIN(1,MAX(0,((BN55)-(1.2))/((0.6)-(1.2))))+0.3*BO55)</f>
        <v/>
      </c>
      <c r="BT55" s="36">
        <f>100*(0.5*MIN(1,MAX(0,((AK55)-(1.0))/((4.0)-(1.0))))+0.3*MIN(1,MAX(0,((IF(ISNUMBER(AO55),AO55,0)*100)-(0.0))/((8.0)-(0.0))))+0.2*MIN(1,MAX(0,((IF(ISNUMBER(AP55),AP55,0))-(25.0))/((5.0)-(25.0)))))</f>
        <v/>
      </c>
      <c r="BU55" s="36">
        <f>100*(0.35*MIN(1,MAX(0,((ABS(BF55))-(0.3))/((0.05)-(0.3))))+0.3*MIN(1,MAX(0,((BG55)-(0.0))/((0.3)-(0.0))))+0.25*MIN(1,MAX(0,((BH55)-(0.4))/((0.7)-(0.4))))+0.1*IF(BJ55&gt;=2,1,0.5))</f>
        <v/>
      </c>
      <c r="BV55" s="37">
        <f>0.25*BR55+0.25*BS55+0.2*BT55+0.3*BU55</f>
        <v/>
      </c>
      <c r="BW55" s="22" t="inlineStr">
        <is>
          <t>C4 上升三角／重心偏上</t>
        </is>
      </c>
      <c r="BX55" s="22" t="inlineStr"/>
    </row>
    <row r="56">
      <c r="A56" s="22" t="n">
        <v>2</v>
      </c>
      <c r="B56" s="22" t="n">
        <v>29</v>
      </c>
      <c r="C56" s="23" t="inlineStr">
        <is>
          <t>NVTS</t>
        </is>
      </c>
      <c r="D56" s="22" t="inlineStr">
        <is>
          <t>Navitas Semiconductor Corporation</t>
        </is>
      </c>
      <c r="E56" s="22" t="inlineStr">
        <is>
          <t>NASDAQ</t>
        </is>
      </c>
      <c r="F56" s="22" t="inlineStr">
        <is>
          <t>科技</t>
        </is>
      </c>
      <c r="G56" s="22" t="inlineStr">
        <is>
          <t>Semiconductors</t>
        </is>
      </c>
      <c r="H56" s="24" t="n">
        <v>3.031</v>
      </c>
      <c r="I56" s="22" t="inlineStr">
        <is>
          <t>中型</t>
        </is>
      </c>
      <c r="J56" s="25" t="n">
        <v>12.4</v>
      </c>
      <c r="K56" s="25" t="n">
        <v>12.12</v>
      </c>
      <c r="L56" s="26">
        <f>J56/K56-1</f>
        <v/>
      </c>
      <c r="M56" s="25" t="n">
        <v>13.195</v>
      </c>
      <c r="N56" s="25" t="n">
        <v>12.23</v>
      </c>
      <c r="O56" s="27" t="n">
        <v>24676100</v>
      </c>
      <c r="P56" s="27" t="n">
        <v>14217395</v>
      </c>
      <c r="Q56" s="28">
        <f>O56/P56</f>
        <v/>
      </c>
      <c r="R56" s="25" t="n">
        <v>11.9337</v>
      </c>
      <c r="S56" s="25" t="n">
        <v>11.8666</v>
      </c>
      <c r="T56" s="25" t="n">
        <v>11.8145</v>
      </c>
      <c r="U56" s="26">
        <f>S56/T56-1</f>
        <v/>
      </c>
      <c r="V56" s="29" t="n">
        <v>0.7</v>
      </c>
      <c r="W56" s="26">
        <f>J56/R56-1</f>
        <v/>
      </c>
      <c r="X56" s="26">
        <f>J56/S56-1</f>
        <v/>
      </c>
      <c r="Y56" s="25" t="n">
        <v>0.8366</v>
      </c>
      <c r="Z56" s="30">
        <f>Y56/J56</f>
        <v/>
      </c>
      <c r="AA56" s="28">
        <f>(J56-R56)/Y56</f>
        <v/>
      </c>
      <c r="AB56" s="28">
        <f>(J56-S56)/Y56</f>
        <v/>
      </c>
      <c r="AC56" s="22">
        <f>IF(ABS(AA56)&lt;=ABS(AB56),"9EMA","21EMA")</f>
        <v/>
      </c>
      <c r="AD56" s="22" t="inlineStr">
        <is>
          <t>9+21EMA</t>
        </is>
      </c>
      <c r="AE56" s="21" t="inlineStr">
        <is>
          <t>剛黃金交叉</t>
        </is>
      </c>
      <c r="AF56" s="22" t="inlineStr">
        <is>
          <t>✓</t>
        </is>
      </c>
      <c r="AG56" s="22" t="inlineStr"/>
      <c r="AH56" s="22" t="inlineStr"/>
      <c r="AI56" s="22" t="inlineStr">
        <is>
          <t>2026-10-01</t>
        </is>
      </c>
      <c r="AJ56" s="22" t="n">
        <v>1</v>
      </c>
      <c r="AK56" s="31" t="n">
        <v>2</v>
      </c>
      <c r="AL56" s="22" t="inlineStr">
        <is>
          <t>2026-09-24</t>
        </is>
      </c>
      <c r="AM56" s="25" t="n">
        <v>11.43</v>
      </c>
      <c r="AN56" s="25" t="n">
        <v>10.27</v>
      </c>
      <c r="AO56" s="26">
        <f>IF(ISNUMBER(AN56),AM56/AN56-1,"")</f>
        <v/>
      </c>
      <c r="AP56" s="31" t="n">
        <v>6</v>
      </c>
      <c r="AQ56" s="26">
        <f>IF(ISNUMBER(AM56),J56/AM56-1,"")</f>
        <v/>
      </c>
      <c r="AR56" s="25" t="n">
        <v>12.46</v>
      </c>
      <c r="AS56" s="26">
        <f>J56/AR56-1</f>
        <v/>
      </c>
      <c r="AT56" s="32" t="n">
        <v>-0.0486</v>
      </c>
      <c r="AU56" s="32" t="n">
        <v>-0.1873</v>
      </c>
      <c r="AV56" s="32" t="n">
        <v>-0.2219</v>
      </c>
      <c r="AW56" s="33">
        <f>AU56-AV56</f>
        <v/>
      </c>
      <c r="AX56" s="32" t="n">
        <v>0.1387</v>
      </c>
      <c r="AY56" s="32" t="n">
        <v>0.1166</v>
      </c>
      <c r="AZ56" s="32" t="n">
        <v>0.1034</v>
      </c>
      <c r="BA56" s="22" t="inlineStr">
        <is>
          <t>深綠</t>
        </is>
      </c>
      <c r="BB56" s="22" t="inlineStr">
        <is>
          <t>淺綠→深綠</t>
        </is>
      </c>
      <c r="BC56" s="22" t="n">
        <v>1</v>
      </c>
      <c r="BD56" s="22" t="inlineStr">
        <is>
          <t>淺綠 淺綠 深綠 淺綠 淺綠 淺綠 深綠 深綠</t>
        </is>
      </c>
      <c r="BE56" s="22" t="inlineStr">
        <is>
          <t>上升三角（平頂）</t>
        </is>
      </c>
      <c r="BF56" s="34" t="n">
        <v>-0.0887</v>
      </c>
      <c r="BG56" s="34" t="n">
        <v>0.2415</v>
      </c>
      <c r="BH56" s="34" t="n">
        <v>0.4643</v>
      </c>
      <c r="BI56" s="34" t="n">
        <v>0.5799</v>
      </c>
      <c r="BJ56" s="31" t="n">
        <v>1</v>
      </c>
      <c r="BK56" s="25" t="n">
        <v>13.195</v>
      </c>
      <c r="BL56" s="25" t="n">
        <v>10.27</v>
      </c>
      <c r="BM56" s="25" t="n">
        <v>11.6281</v>
      </c>
      <c r="BN56" s="34" t="n">
        <v>1.1254</v>
      </c>
      <c r="BO56" s="28">
        <f>IF(M56=N56,0.5,(J56-N56)/(M56-N56))</f>
        <v/>
      </c>
      <c r="BP56" s="35" t="n">
        <v>15.656</v>
      </c>
      <c r="BQ56" s="35" t="n">
        <v>10.616</v>
      </c>
      <c r="BR56" s="36">
        <f>100*(0.4*MIN(1,MAX(0,((U56*100)-(0.0))/((2.5)-(0.0))))+0.3*MIN(1,MAX(0,((V56)-(0.6))/((1.0)-(0.6))))+0.3*MIN(1,MAX(0,((BP56)-(0.0))/((15.0)-(0.0)))))</f>
        <v/>
      </c>
      <c r="BS56" s="36">
        <f>100*(0.4*MIN(1,MAX(0,((MIN(ABS(AA56),ABS(AB56)))-(0.75))/((0.0)-(0.75))))+0.3*MIN(1,MAX(0,((BN56)-(1.2))/((0.6)-(1.2))))+0.3*BO56)</f>
        <v/>
      </c>
      <c r="BT56" s="36">
        <f>100*(0.5*MIN(1,MAX(0,((AK56)-(1.0))/((4.0)-(1.0))))+0.3*MIN(1,MAX(0,((IF(ISNUMBER(AO56),AO56,0)*100)-(0.0))/((8.0)-(0.0))))+0.2*MIN(1,MAX(0,((IF(ISNUMBER(AP56),AP56,0))-(25.0))/((5.0)-(25.0)))))</f>
        <v/>
      </c>
      <c r="BU56" s="36">
        <f>100*(0.35*MIN(1,MAX(0,((ABS(BF56))-(0.3))/((0.05)-(0.3))))+0.3*MIN(1,MAX(0,((BG56)-(0.0))/((0.3)-(0.0))))+0.25*MIN(1,MAX(0,((BH56)-(0.4))/((0.7)-(0.4))))+0.1*IF(BJ56&gt;=2,1,0.5))</f>
        <v/>
      </c>
      <c r="BV56" s="37">
        <f>0.25*BR56+0.25*BS56+0.2*BT56+0.3*BU56</f>
        <v/>
      </c>
      <c r="BW56" s="22" t="inlineStr">
        <is>
          <t>C4 上升三角／重心偏上</t>
        </is>
      </c>
      <c r="BX56" s="22" t="inlineStr"/>
    </row>
    <row r="57">
      <c r="A57" s="22" t="n">
        <v>2</v>
      </c>
      <c r="B57" s="22" t="n">
        <v>30</v>
      </c>
      <c r="C57" s="23" t="inlineStr">
        <is>
          <t>PCRX</t>
        </is>
      </c>
      <c r="D57" s="22" t="inlineStr">
        <is>
          <t>Pacira BioSciences Inc.</t>
        </is>
      </c>
      <c r="E57" s="22" t="inlineStr">
        <is>
          <t>NASDAQ</t>
        </is>
      </c>
      <c r="F57" s="22" t="inlineStr">
        <is>
          <t>醫療保健</t>
        </is>
      </c>
      <c r="G57" s="22" t="inlineStr">
        <is>
          <t>Biotechnology: Pharmaceutical Preparations</t>
        </is>
      </c>
      <c r="H57" s="24" t="n">
        <v>0.999</v>
      </c>
      <c r="I57" s="22" t="inlineStr">
        <is>
          <t>小型</t>
        </is>
      </c>
      <c r="J57" s="25" t="n">
        <v>25.21</v>
      </c>
      <c r="K57" s="25" t="n">
        <v>25.01</v>
      </c>
      <c r="L57" s="26">
        <f>J57/K57-1</f>
        <v/>
      </c>
      <c r="M57" s="25" t="n">
        <v>25.66</v>
      </c>
      <c r="N57" s="25" t="n">
        <v>24.66</v>
      </c>
      <c r="O57" s="27" t="n">
        <v>469800</v>
      </c>
      <c r="P57" s="27" t="n">
        <v>544745</v>
      </c>
      <c r="Q57" s="28">
        <f>O57/P57</f>
        <v/>
      </c>
      <c r="R57" s="25" t="n">
        <v>25.1316</v>
      </c>
      <c r="S57" s="25" t="n">
        <v>25.1303</v>
      </c>
      <c r="T57" s="25" t="n">
        <v>25.0612</v>
      </c>
      <c r="U57" s="26">
        <f>S57/T57-1</f>
        <v/>
      </c>
      <c r="V57" s="29" t="n">
        <v>0.5</v>
      </c>
      <c r="W57" s="26">
        <f>J57/R57-1</f>
        <v/>
      </c>
      <c r="X57" s="26">
        <f>J57/S57-1</f>
        <v/>
      </c>
      <c r="Y57" s="25" t="n">
        <v>0.7984</v>
      </c>
      <c r="Z57" s="30">
        <f>Y57/J57</f>
        <v/>
      </c>
      <c r="AA57" s="28">
        <f>(J57-R57)/Y57</f>
        <v/>
      </c>
      <c r="AB57" s="28">
        <f>(J57-S57)/Y57</f>
        <v/>
      </c>
      <c r="AC57" s="22">
        <f>IF(ABS(AA57)&lt;=ABS(AB57),"9EMA","21EMA")</f>
        <v/>
      </c>
      <c r="AD57" s="22" t="inlineStr">
        <is>
          <t>9+21EMA</t>
        </is>
      </c>
      <c r="AE57" s="21" t="inlineStr">
        <is>
          <t>剛黃金交叉</t>
        </is>
      </c>
      <c r="AF57" s="22" t="inlineStr">
        <is>
          <t>✓</t>
        </is>
      </c>
      <c r="AG57" s="22" t="inlineStr"/>
      <c r="AH57" s="22" t="inlineStr">
        <is>
          <t>✓</t>
        </is>
      </c>
      <c r="AI57" s="22" t="inlineStr">
        <is>
          <t>2026-10-02</t>
        </is>
      </c>
      <c r="AJ57" s="22" t="n">
        <v>0</v>
      </c>
      <c r="AK57" s="31" t="n">
        <v>3</v>
      </c>
      <c r="AL57" s="22" t="inlineStr">
        <is>
          <t>2026-09-21</t>
        </is>
      </c>
      <c r="AM57" s="25" t="n">
        <v>23.98</v>
      </c>
      <c r="AN57" s="25" t="n">
        <v>23.65</v>
      </c>
      <c r="AO57" s="26">
        <f>IF(ISNUMBER(AN57),AM57/AN57-1,"")</f>
        <v/>
      </c>
      <c r="AP57" s="31" t="n">
        <v>9</v>
      </c>
      <c r="AQ57" s="26">
        <f>IF(ISNUMBER(AM57),J57/AM57-1,"")</f>
        <v/>
      </c>
      <c r="AR57" s="25" t="n">
        <v>25.65</v>
      </c>
      <c r="AS57" s="26">
        <f>J57/AR57-1</f>
        <v/>
      </c>
      <c r="AT57" s="32" t="n">
        <v>-0.0158</v>
      </c>
      <c r="AU57" s="32" t="n">
        <v>-0.0469</v>
      </c>
      <c r="AV57" s="32" t="n">
        <v>-0.0547</v>
      </c>
      <c r="AW57" s="33">
        <f>AU57-AV57</f>
        <v/>
      </c>
      <c r="AX57" s="32" t="n">
        <v>0.0311</v>
      </c>
      <c r="AY57" s="32" t="n">
        <v>0.0286</v>
      </c>
      <c r="AZ57" s="32" t="n">
        <v>0.0432</v>
      </c>
      <c r="BA57" s="22" t="inlineStr">
        <is>
          <t>深綠</t>
        </is>
      </c>
      <c r="BB57" s="22" t="inlineStr">
        <is>
          <t>淺綠→深綠</t>
        </is>
      </c>
      <c r="BC57" s="22" t="n">
        <v>0</v>
      </c>
      <c r="BD57" s="22" t="inlineStr">
        <is>
          <t>淺紅 淺紅 淺紅 深綠 深綠 淺綠 淺綠 深綠</t>
        </is>
      </c>
      <c r="BE57" s="22" t="inlineStr">
        <is>
          <t>對稱三角</t>
        </is>
      </c>
      <c r="BF57" s="34" t="n">
        <v>-0.1912</v>
      </c>
      <c r="BG57" s="34" t="n">
        <v>0.3273</v>
      </c>
      <c r="BH57" s="34" t="n">
        <v>0.5197000000000001</v>
      </c>
      <c r="BI57" s="34" t="n">
        <v>0.5016</v>
      </c>
      <c r="BJ57" s="31" t="n">
        <v>3</v>
      </c>
      <c r="BK57" s="25" t="n">
        <v>26.91</v>
      </c>
      <c r="BL57" s="25" t="n">
        <v>23.65</v>
      </c>
      <c r="BM57" s="25" t="n">
        <v>25.3441</v>
      </c>
      <c r="BN57" s="34" t="n">
        <v>0.8931</v>
      </c>
      <c r="BO57" s="28">
        <f>IF(M57=N57,0.5,(J57-N57)/(M57-N57))</f>
        <v/>
      </c>
      <c r="BP57" s="35" t="n">
        <v>-0.113</v>
      </c>
      <c r="BQ57" s="35" t="n">
        <v>-5.154</v>
      </c>
      <c r="BR57" s="36">
        <f>100*(0.4*MIN(1,MAX(0,((U57*100)-(0.0))/((2.5)-(0.0))))+0.3*MIN(1,MAX(0,((V57)-(0.6))/((1.0)-(0.6))))+0.3*MIN(1,MAX(0,((BP57)-(0.0))/((15.0)-(0.0)))))</f>
        <v/>
      </c>
      <c r="BS57" s="36">
        <f>100*(0.4*MIN(1,MAX(0,((MIN(ABS(AA57),ABS(AB57)))-(0.75))/((0.0)-(0.75))))+0.3*MIN(1,MAX(0,((BN57)-(1.2))/((0.6)-(1.2))))+0.3*BO57)</f>
        <v/>
      </c>
      <c r="BT57" s="36">
        <f>100*(0.5*MIN(1,MAX(0,((AK57)-(1.0))/((4.0)-(1.0))))+0.3*MIN(1,MAX(0,((IF(ISNUMBER(AO57),AO57,0)*100)-(0.0))/((8.0)-(0.0))))+0.2*MIN(1,MAX(0,((IF(ISNUMBER(AP57),AP57,0))-(25.0))/((5.0)-(25.0)))))</f>
        <v/>
      </c>
      <c r="BU57" s="36">
        <f>100*(0.35*MIN(1,MAX(0,((ABS(BF57))-(0.3))/((0.05)-(0.3))))+0.3*MIN(1,MAX(0,((BG57)-(0.0))/((0.3)-(0.0))))+0.25*MIN(1,MAX(0,((BH57)-(0.4))/((0.7)-(0.4))))+0.1*IF(BJ57&gt;=2,1,0.5))</f>
        <v/>
      </c>
      <c r="BV57" s="37">
        <f>0.25*BR57+0.25*BS57+0.2*BT57+0.3*BU57</f>
        <v/>
      </c>
      <c r="BW57" s="22" t="inlineStr">
        <is>
          <t>C4 上升三角／重心偏上</t>
        </is>
      </c>
      <c r="BX57" s="22" t="inlineStr"/>
    </row>
    <row r="58">
      <c r="A58" s="22" t="n">
        <v>2</v>
      </c>
      <c r="B58" s="22" t="n">
        <v>31</v>
      </c>
      <c r="C58" s="23" t="inlineStr">
        <is>
          <t>FBLA</t>
        </is>
      </c>
      <c r="D58" s="22" t="inlineStr">
        <is>
          <t>FB Bancorp Inc.</t>
        </is>
      </c>
      <c r="E58" s="22" t="inlineStr">
        <is>
          <t>NASDAQ</t>
        </is>
      </c>
      <c r="F58" s="22" t="inlineStr">
        <is>
          <t>金融</t>
        </is>
      </c>
      <c r="G58" s="22" t="inlineStr">
        <is>
          <t>Banks</t>
        </is>
      </c>
      <c r="H58" s="24" t="n">
        <v>0.263</v>
      </c>
      <c r="I58" s="22" t="inlineStr">
        <is>
          <t>小型</t>
        </is>
      </c>
      <c r="J58" s="25" t="n">
        <v>16.96</v>
      </c>
      <c r="K58" s="25" t="n">
        <v>16.78</v>
      </c>
      <c r="L58" s="26">
        <f>J58/K58-1</f>
        <v/>
      </c>
      <c r="M58" s="25" t="n">
        <v>17.02</v>
      </c>
      <c r="N58" s="25" t="n">
        <v>16.81</v>
      </c>
      <c r="O58" s="27" t="n">
        <v>72200</v>
      </c>
      <c r="P58" s="27" t="n">
        <v>110285</v>
      </c>
      <c r="Q58" s="28">
        <f>O58/P58</f>
        <v/>
      </c>
      <c r="R58" s="25" t="n">
        <v>16.5568</v>
      </c>
      <c r="S58" s="25" t="n">
        <v>16.2921</v>
      </c>
      <c r="T58" s="25" t="n">
        <v>16.0449</v>
      </c>
      <c r="U58" s="26">
        <f>S58/T58-1</f>
        <v/>
      </c>
      <c r="V58" s="29" t="n">
        <v>1</v>
      </c>
      <c r="W58" s="26">
        <f>J58/R58-1</f>
        <v/>
      </c>
      <c r="X58" s="26">
        <f>J58/S58-1</f>
        <v/>
      </c>
      <c r="Y58" s="25" t="n">
        <v>0.2726</v>
      </c>
      <c r="Z58" s="30">
        <f>Y58/J58</f>
        <v/>
      </c>
      <c r="AA58" s="28">
        <f>(J58-R58)/Y58</f>
        <v/>
      </c>
      <c r="AB58" s="28">
        <f>(J58-S58)/Y58</f>
        <v/>
      </c>
      <c r="AC58" s="22">
        <f>IF(ABS(AA58)&lt;=ABS(AB58),"9EMA","21EMA")</f>
        <v/>
      </c>
      <c r="AD58" s="22" t="inlineStr">
        <is>
          <t>9EMA</t>
        </is>
      </c>
      <c r="AE58" s="22" t="inlineStr">
        <is>
          <t>持續在上方</t>
        </is>
      </c>
      <c r="AF58" s="22" t="inlineStr"/>
      <c r="AG58" s="22" t="inlineStr"/>
      <c r="AH58" s="22" t="inlineStr">
        <is>
          <t>✓</t>
        </is>
      </c>
      <c r="AI58" s="22" t="inlineStr">
        <is>
          <t>2026-06-08</t>
        </is>
      </c>
      <c r="AJ58" s="22" t="n">
        <v>81</v>
      </c>
      <c r="AK58" s="31" t="n">
        <v>3</v>
      </c>
      <c r="AL58" s="22" t="inlineStr">
        <is>
          <t>2026-09-18</t>
        </is>
      </c>
      <c r="AM58" s="25" t="n">
        <v>15.735</v>
      </c>
      <c r="AN58" s="25" t="n">
        <v>15.72</v>
      </c>
      <c r="AO58" s="26">
        <f>IF(ISNUMBER(AN58),AM58/AN58-1,"")</f>
        <v/>
      </c>
      <c r="AP58" s="31" t="n">
        <v>10</v>
      </c>
      <c r="AQ58" s="26">
        <f>IF(ISNUMBER(AM58),J58/AM58-1,"")</f>
        <v/>
      </c>
      <c r="AR58" s="25" t="n">
        <v>16.96</v>
      </c>
      <c r="AS58" s="26">
        <f>J58/AR58-1</f>
        <v/>
      </c>
      <c r="AT58" s="32" t="n">
        <v>0.2606</v>
      </c>
      <c r="AU58" s="32" t="n">
        <v>0.2014</v>
      </c>
      <c r="AV58" s="32" t="n">
        <v>0.1866</v>
      </c>
      <c r="AW58" s="33">
        <f>AU58-AV58</f>
        <v/>
      </c>
      <c r="AX58" s="32" t="n">
        <v>0.0592</v>
      </c>
      <c r="AY58" s="32" t="n">
        <v>0.0454</v>
      </c>
      <c r="AZ58" s="32" t="n">
        <v>0.0351</v>
      </c>
      <c r="BA58" s="22" t="inlineStr">
        <is>
          <t>深綠</t>
        </is>
      </c>
      <c r="BB58" s="22" t="inlineStr">
        <is>
          <t>淺綠→深綠</t>
        </is>
      </c>
      <c r="BC58" s="22" t="n">
        <v>1</v>
      </c>
      <c r="BD58" s="22" t="inlineStr">
        <is>
          <t>淺綠 淺綠 深綠 深綠 深綠 淺綠 深綠 深綠</t>
        </is>
      </c>
      <c r="BE58" s="22" t="inlineStr">
        <is>
          <t>上傾擴張</t>
        </is>
      </c>
      <c r="BF58" s="34" t="n">
        <v>0.2638</v>
      </c>
      <c r="BG58" s="34" t="n">
        <v>0.1645</v>
      </c>
      <c r="BH58" s="34" t="n">
        <v>0.4502</v>
      </c>
      <c r="BI58" s="34" t="n">
        <v>0.3856</v>
      </c>
      <c r="BJ58" s="31" t="n">
        <v>4</v>
      </c>
      <c r="BK58" s="25" t="n">
        <v>17.02</v>
      </c>
      <c r="BL58" s="25" t="n">
        <v>15.38</v>
      </c>
      <c r="BM58" s="25" t="n">
        <v>16.1183</v>
      </c>
      <c r="BN58" s="34" t="n">
        <v>1.0412</v>
      </c>
      <c r="BO58" s="28">
        <f>IF(M58=N58,0.5,(J58-N58)/(M58-N58))</f>
        <v/>
      </c>
      <c r="BP58" s="35" t="n">
        <v>12.998</v>
      </c>
      <c r="BQ58" s="35" t="n">
        <v>7.957</v>
      </c>
      <c r="BR58" s="36">
        <f>100*(0.4*MIN(1,MAX(0,((U58*100)-(0.0))/((2.5)-(0.0))))+0.3*MIN(1,MAX(0,((V58)-(0.6))/((1.0)-(0.6))))+0.3*MIN(1,MAX(0,((BP58)-(0.0))/((15.0)-(0.0)))))</f>
        <v/>
      </c>
      <c r="BS58" s="36">
        <f>100*(0.4*MIN(1,MAX(0,((MIN(ABS(AA58),ABS(AB58)))-(0.75))/((0.0)-(0.75))))+0.3*MIN(1,MAX(0,((BN58)-(1.2))/((0.6)-(1.2))))+0.3*BO58)</f>
        <v/>
      </c>
      <c r="BT58" s="36">
        <f>100*(0.5*MIN(1,MAX(0,((AK58)-(1.0))/((4.0)-(1.0))))+0.3*MIN(1,MAX(0,((IF(ISNUMBER(AO58),AO58,0)*100)-(0.0))/((8.0)-(0.0))))+0.2*MIN(1,MAX(0,((IF(ISNUMBER(AP58),AP58,0))-(25.0))/((5.0)-(25.0)))))</f>
        <v/>
      </c>
      <c r="BU58" s="36">
        <f>100*(0.35*MIN(1,MAX(0,((ABS(BF58))-(0.3))/((0.05)-(0.3))))+0.3*MIN(1,MAX(0,((BG58)-(0.0))/((0.3)-(0.0))))+0.25*MIN(1,MAX(0,((BH58)-(0.4))/((0.7)-(0.4))))+0.1*IF(BJ58&gt;=2,1,0.5))</f>
        <v/>
      </c>
      <c r="BV58" s="37">
        <f>0.25*BR58+0.25*BS58+0.2*BT58+0.3*BU58</f>
        <v/>
      </c>
      <c r="BW58" s="22" t="inlineStr">
        <is>
          <t>C4 上升三角／重心偏上</t>
        </is>
      </c>
      <c r="BX58" s="22" t="inlineStr"/>
    </row>
    <row r="59">
      <c r="A59" s="22" t="n">
        <v>2</v>
      </c>
      <c r="B59" s="22" t="n">
        <v>32</v>
      </c>
      <c r="C59" s="23" t="inlineStr">
        <is>
          <t>GFS</t>
        </is>
      </c>
      <c r="D59" s="22" t="inlineStr">
        <is>
          <t>GlobalFoundries Inc.</t>
        </is>
      </c>
      <c r="E59" s="22" t="inlineStr">
        <is>
          <t>NASDAQ</t>
        </is>
      </c>
      <c r="F59" s="22" t="inlineStr">
        <is>
          <t>科技</t>
        </is>
      </c>
      <c r="G59" s="22" t="inlineStr">
        <is>
          <t>Semiconductors</t>
        </is>
      </c>
      <c r="H59" s="24" t="n">
        <v>26.711</v>
      </c>
      <c r="I59" s="22" t="inlineStr">
        <is>
          <t>大型</t>
        </is>
      </c>
      <c r="J59" s="25" t="n">
        <v>50.17</v>
      </c>
      <c r="K59" s="25" t="n">
        <v>48.68</v>
      </c>
      <c r="L59" s="26">
        <f>J59/K59-1</f>
        <v/>
      </c>
      <c r="M59" s="25" t="n">
        <v>50.99</v>
      </c>
      <c r="N59" s="25" t="n">
        <v>49.827</v>
      </c>
      <c r="O59" s="27" t="n">
        <v>3646700</v>
      </c>
      <c r="P59" s="27" t="n">
        <v>3842365</v>
      </c>
      <c r="Q59" s="28">
        <f>O59/P59</f>
        <v/>
      </c>
      <c r="R59" s="25" t="n">
        <v>48.1808</v>
      </c>
      <c r="S59" s="25" t="n">
        <v>47.5542</v>
      </c>
      <c r="T59" s="25" t="n">
        <v>46.9209</v>
      </c>
      <c r="U59" s="26">
        <f>S59/T59-1</f>
        <v/>
      </c>
      <c r="V59" s="29" t="n">
        <v>0.9</v>
      </c>
      <c r="W59" s="26">
        <f>J59/R59-1</f>
        <v/>
      </c>
      <c r="X59" s="26">
        <f>J59/S59-1</f>
        <v/>
      </c>
      <c r="Y59" s="25" t="n">
        <v>2.008</v>
      </c>
      <c r="Z59" s="30">
        <f>Y59/J59</f>
        <v/>
      </c>
      <c r="AA59" s="28">
        <f>(J59-R59)/Y59</f>
        <v/>
      </c>
      <c r="AB59" s="28">
        <f>(J59-S59)/Y59</f>
        <v/>
      </c>
      <c r="AC59" s="22">
        <f>IF(ABS(AA59)&lt;=ABS(AB59),"9EMA","21EMA")</f>
        <v/>
      </c>
      <c r="AD59" s="22" t="inlineStr">
        <is>
          <t>9EMA</t>
        </is>
      </c>
      <c r="AE59" s="21" t="inlineStr">
        <is>
          <t>剛黃金交叉</t>
        </is>
      </c>
      <c r="AF59" s="22" t="inlineStr">
        <is>
          <t>✓</t>
        </is>
      </c>
      <c r="AG59" s="22" t="inlineStr"/>
      <c r="AH59" s="22" t="inlineStr"/>
      <c r="AI59" s="22" t="inlineStr">
        <is>
          <t>2026-09-25</t>
        </is>
      </c>
      <c r="AJ59" s="22" t="n">
        <v>5</v>
      </c>
      <c r="AK59" s="31" t="n">
        <v>2</v>
      </c>
      <c r="AL59" s="22" t="inlineStr">
        <is>
          <t>2026-09-24</t>
        </is>
      </c>
      <c r="AM59" s="25" t="n">
        <v>45.39</v>
      </c>
      <c r="AN59" s="25" t="n">
        <v>42.15</v>
      </c>
      <c r="AO59" s="26">
        <f>IF(ISNUMBER(AN59),AM59/AN59-1,"")</f>
        <v/>
      </c>
      <c r="AP59" s="31" t="n">
        <v>6</v>
      </c>
      <c r="AQ59" s="26">
        <f>IF(ISNUMBER(AM59),J59/AM59-1,"")</f>
        <v/>
      </c>
      <c r="AR59" s="25" t="n">
        <v>50.17</v>
      </c>
      <c r="AS59" s="26">
        <f>J59/AR59-1</f>
        <v/>
      </c>
      <c r="AT59" s="32" t="n">
        <v>0.09320000000000001</v>
      </c>
      <c r="AU59" s="32" t="n">
        <v>-0.5724</v>
      </c>
      <c r="AV59" s="32" t="n">
        <v>-0.7387</v>
      </c>
      <c r="AW59" s="33">
        <f>AU59-AV59</f>
        <v/>
      </c>
      <c r="AX59" s="32" t="n">
        <v>0.6655</v>
      </c>
      <c r="AY59" s="32" t="n">
        <v>0.6039</v>
      </c>
      <c r="AZ59" s="32" t="n">
        <v>0.6176</v>
      </c>
      <c r="BA59" s="22" t="inlineStr">
        <is>
          <t>深綠</t>
        </is>
      </c>
      <c r="BB59" s="22" t="inlineStr">
        <is>
          <t>淺綠→深綠</t>
        </is>
      </c>
      <c r="BC59" s="22" t="n">
        <v>0</v>
      </c>
      <c r="BD59" s="22" t="inlineStr">
        <is>
          <t>淺綠 淺綠 深綠 淺綠 淺綠 淺綠 淺綠 深綠</t>
        </is>
      </c>
      <c r="BE59" s="22" t="inlineStr">
        <is>
          <t>上升通道</t>
        </is>
      </c>
      <c r="BF59" s="34" t="n">
        <v>0.4176</v>
      </c>
      <c r="BG59" s="34" t="n">
        <v>0.383</v>
      </c>
      <c r="BH59" s="34" t="n">
        <v>0.4617</v>
      </c>
      <c r="BI59" s="34" t="n">
        <v>0.4692</v>
      </c>
      <c r="BJ59" s="31" t="n">
        <v>1</v>
      </c>
      <c r="BK59" s="25" t="n">
        <v>50.99</v>
      </c>
      <c r="BL59" s="25" t="n">
        <v>42.15</v>
      </c>
      <c r="BM59" s="25" t="n">
        <v>46.2312</v>
      </c>
      <c r="BN59" s="34" t="n">
        <v>1.0587</v>
      </c>
      <c r="BO59" s="28">
        <f>IF(M59=N59,0.5,(J59-N59)/(M59-N59))</f>
        <v/>
      </c>
      <c r="BP59" s="35" t="n">
        <v>19.141</v>
      </c>
      <c r="BQ59" s="35" t="n">
        <v>14.101</v>
      </c>
      <c r="BR59" s="36">
        <f>100*(0.4*MIN(1,MAX(0,((U59*100)-(0.0))/((2.5)-(0.0))))+0.3*MIN(1,MAX(0,((V59)-(0.6))/((1.0)-(0.6))))+0.3*MIN(1,MAX(0,((BP59)-(0.0))/((15.0)-(0.0)))))</f>
        <v/>
      </c>
      <c r="BS59" s="36">
        <f>100*(0.4*MIN(1,MAX(0,((MIN(ABS(AA59),ABS(AB59)))-(0.75))/((0.0)-(0.75))))+0.3*MIN(1,MAX(0,((BN59)-(1.2))/((0.6)-(1.2))))+0.3*BO59)</f>
        <v/>
      </c>
      <c r="BT59" s="36">
        <f>100*(0.5*MIN(1,MAX(0,((AK59)-(1.0))/((4.0)-(1.0))))+0.3*MIN(1,MAX(0,((IF(ISNUMBER(AO59),AO59,0)*100)-(0.0))/((8.0)-(0.0))))+0.2*MIN(1,MAX(0,((IF(ISNUMBER(AP59),AP59,0))-(25.0))/((5.0)-(25.0)))))</f>
        <v/>
      </c>
      <c r="BU59" s="36">
        <f>100*(0.35*MIN(1,MAX(0,((ABS(BF59))-(0.3))/((0.05)-(0.3))))+0.3*MIN(1,MAX(0,((BG59)-(0.0))/((0.3)-(0.0))))+0.25*MIN(1,MAX(0,((BH59)-(0.4))/((0.7)-(0.4))))+0.1*IF(BJ59&gt;=2,1,0.5))</f>
        <v/>
      </c>
      <c r="BV59" s="37">
        <f>0.25*BR59+0.25*BS59+0.2*BT59+0.3*BU59</f>
        <v/>
      </c>
      <c r="BW59" s="22" t="inlineStr">
        <is>
          <t>C4 上升三角／重心偏上</t>
        </is>
      </c>
      <c r="BX59" s="22" t="inlineStr"/>
    </row>
    <row r="60">
      <c r="A60" s="22" t="n">
        <v>2</v>
      </c>
      <c r="B60" s="22" t="n">
        <v>33</v>
      </c>
      <c r="C60" s="23" t="inlineStr">
        <is>
          <t>NTNX</t>
        </is>
      </c>
      <c r="D60" s="22" t="inlineStr">
        <is>
          <t>Nutanix Inc.</t>
        </is>
      </c>
      <c r="E60" s="22" t="inlineStr">
        <is>
          <t>NASDAQ</t>
        </is>
      </c>
      <c r="F60" s="22" t="inlineStr">
        <is>
          <t>科技</t>
        </is>
      </c>
      <c r="G60" s="22" t="inlineStr">
        <is>
          <t>Computer Software: Prepackaged Software</t>
        </is>
      </c>
      <c r="H60" s="24" t="n">
        <v>19.051</v>
      </c>
      <c r="I60" s="22" t="inlineStr">
        <is>
          <t>大型</t>
        </is>
      </c>
      <c r="J60" s="25" t="n">
        <v>72.29000000000001</v>
      </c>
      <c r="K60" s="25" t="n">
        <v>71.52</v>
      </c>
      <c r="L60" s="26">
        <f>J60/K60-1</f>
        <v/>
      </c>
      <c r="M60" s="25" t="n">
        <v>72.75</v>
      </c>
      <c r="N60" s="25" t="n">
        <v>71.815</v>
      </c>
      <c r="O60" s="27" t="n">
        <v>1960300</v>
      </c>
      <c r="P60" s="27" t="n">
        <v>2348405</v>
      </c>
      <c r="Q60" s="28">
        <f>O60/P60</f>
        <v/>
      </c>
      <c r="R60" s="25" t="n">
        <v>70.2375</v>
      </c>
      <c r="S60" s="25" t="n">
        <v>68.9434</v>
      </c>
      <c r="T60" s="25" t="n">
        <v>67.8313</v>
      </c>
      <c r="U60" s="26">
        <f>S60/T60-1</f>
        <v/>
      </c>
      <c r="V60" s="29" t="n">
        <v>1</v>
      </c>
      <c r="W60" s="26">
        <f>J60/R60-1</f>
        <v/>
      </c>
      <c r="X60" s="26">
        <f>J60/S60-1</f>
        <v/>
      </c>
      <c r="Y60" s="25" t="n">
        <v>2.0031</v>
      </c>
      <c r="Z60" s="30">
        <f>Y60/J60</f>
        <v/>
      </c>
      <c r="AA60" s="28">
        <f>(J60-R60)/Y60</f>
        <v/>
      </c>
      <c r="AB60" s="28">
        <f>(J60-S60)/Y60</f>
        <v/>
      </c>
      <c r="AC60" s="22">
        <f>IF(ABS(AA60)&lt;=ABS(AB60),"9EMA","21EMA")</f>
        <v/>
      </c>
      <c r="AD60" s="22" t="inlineStr">
        <is>
          <t>9EMA</t>
        </is>
      </c>
      <c r="AE60" s="22" t="inlineStr">
        <is>
          <t>持續在上方</t>
        </is>
      </c>
      <c r="AF60" s="22" t="inlineStr"/>
      <c r="AG60" s="22" t="inlineStr"/>
      <c r="AH60" s="22" t="inlineStr">
        <is>
          <t>✓</t>
        </is>
      </c>
      <c r="AI60" s="22" t="inlineStr">
        <is>
          <t>2026-06-29</t>
        </is>
      </c>
      <c r="AJ60" s="22" t="n">
        <v>67</v>
      </c>
      <c r="AK60" s="31" t="n">
        <v>2</v>
      </c>
      <c r="AL60" s="22" t="inlineStr">
        <is>
          <t>2026-09-28</t>
        </is>
      </c>
      <c r="AM60" s="25" t="n">
        <v>66.25</v>
      </c>
      <c r="AN60" s="25" t="n">
        <v>65.25</v>
      </c>
      <c r="AO60" s="26">
        <f>IF(ISNUMBER(AN60),AM60/AN60-1,"")</f>
        <v/>
      </c>
      <c r="AP60" s="31" t="n">
        <v>4</v>
      </c>
      <c r="AQ60" s="26">
        <f>IF(ISNUMBER(AM60),J60/AM60-1,"")</f>
        <v/>
      </c>
      <c r="AR60" s="25" t="n">
        <v>72.29000000000001</v>
      </c>
      <c r="AS60" s="26">
        <f>J60/AR60-1</f>
        <v/>
      </c>
      <c r="AT60" s="32" t="n">
        <v>1.4903</v>
      </c>
      <c r="AU60" s="32" t="n">
        <v>1.4032</v>
      </c>
      <c r="AV60" s="32" t="n">
        <v>1.3814</v>
      </c>
      <c r="AW60" s="33">
        <f>AU60-AV60</f>
        <v/>
      </c>
      <c r="AX60" s="32" t="n">
        <v>0.0871</v>
      </c>
      <c r="AY60" s="32" t="n">
        <v>-0.0174</v>
      </c>
      <c r="AZ60" s="32" t="n">
        <v>-0.1244</v>
      </c>
      <c r="BA60" s="22" t="inlineStr">
        <is>
          <t>深綠</t>
        </is>
      </c>
      <c r="BB60" s="22" t="inlineStr">
        <is>
          <t>深紅→淺紅</t>
        </is>
      </c>
      <c r="BC60" s="22" t="n">
        <v>3</v>
      </c>
      <c r="BD60" s="22" t="inlineStr">
        <is>
          <t>深紅 深紅 深紅 深紅 淺紅 淺紅 淺紅 深綠</t>
        </is>
      </c>
      <c r="BE60" s="22" t="inlineStr">
        <is>
          <t>上傾擴張</t>
        </is>
      </c>
      <c r="BF60" s="34" t="n">
        <v>0.1629</v>
      </c>
      <c r="BG60" s="34" t="n">
        <v>0.049</v>
      </c>
      <c r="BH60" s="34" t="n">
        <v>0.4749</v>
      </c>
      <c r="BI60" s="34" t="n">
        <v>0.4937</v>
      </c>
      <c r="BJ60" s="31" t="n">
        <v>3</v>
      </c>
      <c r="BK60" s="25" t="n">
        <v>72.75</v>
      </c>
      <c r="BL60" s="25" t="n">
        <v>65.25</v>
      </c>
      <c r="BM60" s="25" t="n">
        <v>68.8117</v>
      </c>
      <c r="BN60" s="34" t="n">
        <v>1.0803</v>
      </c>
      <c r="BO60" s="28">
        <f>IF(M60=N60,0.5,(J60-N60)/(M60-N60))</f>
        <v/>
      </c>
      <c r="BP60" s="35" t="n">
        <v>13.179</v>
      </c>
      <c r="BQ60" s="35" t="n">
        <v>8.138</v>
      </c>
      <c r="BR60" s="36">
        <f>100*(0.4*MIN(1,MAX(0,((U60*100)-(0.0))/((2.5)-(0.0))))+0.3*MIN(1,MAX(0,((V60)-(0.6))/((1.0)-(0.6))))+0.3*MIN(1,MAX(0,((BP60)-(0.0))/((15.0)-(0.0)))))</f>
        <v/>
      </c>
      <c r="BS60" s="36">
        <f>100*(0.4*MIN(1,MAX(0,((MIN(ABS(AA60),ABS(AB60)))-(0.75))/((0.0)-(0.75))))+0.3*MIN(1,MAX(0,((BN60)-(1.2))/((0.6)-(1.2))))+0.3*BO60)</f>
        <v/>
      </c>
      <c r="BT60" s="36">
        <f>100*(0.5*MIN(1,MAX(0,((AK60)-(1.0))/((4.0)-(1.0))))+0.3*MIN(1,MAX(0,((IF(ISNUMBER(AO60),AO60,0)*100)-(0.0))/((8.0)-(0.0))))+0.2*MIN(1,MAX(0,((IF(ISNUMBER(AP60),AP60,0))-(25.0))/((5.0)-(25.0)))))</f>
        <v/>
      </c>
      <c r="BU60" s="36">
        <f>100*(0.35*MIN(1,MAX(0,((ABS(BF60))-(0.3))/((0.05)-(0.3))))+0.3*MIN(1,MAX(0,((BG60)-(0.0))/((0.3)-(0.0))))+0.25*MIN(1,MAX(0,((BH60)-(0.4))/((0.7)-(0.4))))+0.1*IF(BJ60&gt;=2,1,0.5))</f>
        <v/>
      </c>
      <c r="BV60" s="37">
        <f>0.25*BR60+0.25*BS60+0.2*BT60+0.3*BU60</f>
        <v/>
      </c>
      <c r="BW60" s="22" t="inlineStr">
        <is>
          <t>C4 上升三角／重心偏上</t>
        </is>
      </c>
      <c r="BX60" s="22" t="inlineStr"/>
    </row>
    <row r="61">
      <c r="A61" s="22" t="n">
        <v>2</v>
      </c>
      <c r="B61" s="22" t="n">
        <v>34</v>
      </c>
      <c r="C61" s="23" t="inlineStr">
        <is>
          <t>LYTS</t>
        </is>
      </c>
      <c r="D61" s="22" t="inlineStr">
        <is>
          <t>LSI Industries Inc.</t>
        </is>
      </c>
      <c r="E61" s="22" t="inlineStr">
        <is>
          <t>NASDAQ</t>
        </is>
      </c>
      <c r="F61" s="22" t="inlineStr">
        <is>
          <t>非必需消費</t>
        </is>
      </c>
      <c r="G61" s="22" t="inlineStr">
        <is>
          <t>Building Products</t>
        </is>
      </c>
      <c r="H61" s="24" t="n">
        <v>0.773</v>
      </c>
      <c r="I61" s="22" t="inlineStr">
        <is>
          <t>小型</t>
        </is>
      </c>
      <c r="J61" s="25" t="n">
        <v>21.25</v>
      </c>
      <c r="K61" s="25" t="n">
        <v>20.94</v>
      </c>
      <c r="L61" s="26">
        <f>J61/K61-1</f>
        <v/>
      </c>
      <c r="M61" s="25" t="n">
        <v>21.51</v>
      </c>
      <c r="N61" s="25" t="n">
        <v>21.14</v>
      </c>
      <c r="O61" s="27" t="n">
        <v>246100</v>
      </c>
      <c r="P61" s="27" t="n">
        <v>393920</v>
      </c>
      <c r="Q61" s="28">
        <f>O61/P61</f>
        <v/>
      </c>
      <c r="R61" s="25" t="n">
        <v>20.8453</v>
      </c>
      <c r="S61" s="25" t="n">
        <v>20.7789</v>
      </c>
      <c r="T61" s="25" t="n">
        <v>20.6683</v>
      </c>
      <c r="U61" s="26">
        <f>S61/T61-1</f>
        <v/>
      </c>
      <c r="V61" s="29" t="n">
        <v>0.8</v>
      </c>
      <c r="W61" s="26">
        <f>J61/R61-1</f>
        <v/>
      </c>
      <c r="X61" s="26">
        <f>J61/S61-1</f>
        <v/>
      </c>
      <c r="Y61" s="25" t="n">
        <v>0.6932</v>
      </c>
      <c r="Z61" s="30">
        <f>Y61/J61</f>
        <v/>
      </c>
      <c r="AA61" s="28">
        <f>(J61-R61)/Y61</f>
        <v/>
      </c>
      <c r="AB61" s="28">
        <f>(J61-S61)/Y61</f>
        <v/>
      </c>
      <c r="AC61" s="22">
        <f>IF(ABS(AA61)&lt;=ABS(AB61),"9EMA","21EMA")</f>
        <v/>
      </c>
      <c r="AD61" s="22" t="inlineStr">
        <is>
          <t>9+21EMA</t>
        </is>
      </c>
      <c r="AE61" s="21" t="inlineStr">
        <is>
          <t>剛黃金交叉</t>
        </is>
      </c>
      <c r="AF61" s="22" t="inlineStr">
        <is>
          <t>✓</t>
        </is>
      </c>
      <c r="AG61" s="22" t="inlineStr"/>
      <c r="AH61" s="22" t="inlineStr">
        <is>
          <t>✓</t>
        </is>
      </c>
      <c r="AI61" s="22" t="inlineStr">
        <is>
          <t>2026-10-01</t>
        </is>
      </c>
      <c r="AJ61" s="22" t="n">
        <v>1</v>
      </c>
      <c r="AK61" s="31" t="n">
        <v>2</v>
      </c>
      <c r="AL61" s="22" t="inlineStr">
        <is>
          <t>2026-09-24</t>
        </is>
      </c>
      <c r="AM61" s="25" t="n">
        <v>19.94</v>
      </c>
      <c r="AN61" s="25" t="n">
        <v>19.11</v>
      </c>
      <c r="AO61" s="26">
        <f>IF(ISNUMBER(AN61),AM61/AN61-1,"")</f>
        <v/>
      </c>
      <c r="AP61" s="31" t="n">
        <v>6</v>
      </c>
      <c r="AQ61" s="26">
        <f>IF(ISNUMBER(AM61),J61/AM61-1,"")</f>
        <v/>
      </c>
      <c r="AR61" s="25" t="n">
        <v>21.25</v>
      </c>
      <c r="AS61" s="26">
        <f>J61/AR61-1</f>
        <v/>
      </c>
      <c r="AT61" s="32" t="n">
        <v>-0.1059</v>
      </c>
      <c r="AU61" s="32" t="n">
        <v>-0.3119</v>
      </c>
      <c r="AV61" s="32" t="n">
        <v>-0.3634</v>
      </c>
      <c r="AW61" s="33">
        <f>AU61-AV61</f>
        <v/>
      </c>
      <c r="AX61" s="32" t="n">
        <v>0.206</v>
      </c>
      <c r="AY61" s="32" t="n">
        <v>0.2005</v>
      </c>
      <c r="AZ61" s="32" t="n">
        <v>0.2119</v>
      </c>
      <c r="BA61" s="22" t="inlineStr">
        <is>
          <t>深綠</t>
        </is>
      </c>
      <c r="BB61" s="22" t="inlineStr">
        <is>
          <t>淺綠→深綠</t>
        </is>
      </c>
      <c r="BC61" s="22" t="n">
        <v>0</v>
      </c>
      <c r="BD61" s="22" t="inlineStr">
        <is>
          <t>淺綠 深綠 深綠 淺綠 淺綠 淺綠 淺綠 深綠</t>
        </is>
      </c>
      <c r="BE61" s="22" t="inlineStr">
        <is>
          <t>上升通道</t>
        </is>
      </c>
      <c r="BF61" s="34" t="n">
        <v>0.2715</v>
      </c>
      <c r="BG61" s="34" t="n">
        <v>0.2328</v>
      </c>
      <c r="BH61" s="34" t="n">
        <v>0.4777</v>
      </c>
      <c r="BI61" s="34" t="n">
        <v>0.4086</v>
      </c>
      <c r="BJ61" s="31" t="n">
        <v>4</v>
      </c>
      <c r="BK61" s="25" t="n">
        <v>21.51</v>
      </c>
      <c r="BL61" s="25" t="n">
        <v>19.11</v>
      </c>
      <c r="BM61" s="25" t="n">
        <v>20.2564</v>
      </c>
      <c r="BN61" s="34" t="n">
        <v>0.8691</v>
      </c>
      <c r="BO61" s="28">
        <f>IF(M61=N61,0.5,(J61-N61)/(M61-N61))</f>
        <v/>
      </c>
      <c r="BP61" s="35" t="n">
        <v>11.771</v>
      </c>
      <c r="BQ61" s="35" t="n">
        <v>6.73</v>
      </c>
      <c r="BR61" s="36">
        <f>100*(0.4*MIN(1,MAX(0,((U61*100)-(0.0))/((2.5)-(0.0))))+0.3*MIN(1,MAX(0,((V61)-(0.6))/((1.0)-(0.6))))+0.3*MIN(1,MAX(0,((BP61)-(0.0))/((15.0)-(0.0)))))</f>
        <v/>
      </c>
      <c r="BS61" s="36">
        <f>100*(0.4*MIN(1,MAX(0,((MIN(ABS(AA61),ABS(AB61)))-(0.75))/((0.0)-(0.75))))+0.3*MIN(1,MAX(0,((BN61)-(1.2))/((0.6)-(1.2))))+0.3*BO61)</f>
        <v/>
      </c>
      <c r="BT61" s="36">
        <f>100*(0.5*MIN(1,MAX(0,((AK61)-(1.0))/((4.0)-(1.0))))+0.3*MIN(1,MAX(0,((IF(ISNUMBER(AO61),AO61,0)*100)-(0.0))/((8.0)-(0.0))))+0.2*MIN(1,MAX(0,((IF(ISNUMBER(AP61),AP61,0))-(25.0))/((5.0)-(25.0)))))</f>
        <v/>
      </c>
      <c r="BU61" s="36">
        <f>100*(0.35*MIN(1,MAX(0,((ABS(BF61))-(0.3))/((0.05)-(0.3))))+0.3*MIN(1,MAX(0,((BG61)-(0.0))/((0.3)-(0.0))))+0.25*MIN(1,MAX(0,((BH61)-(0.4))/((0.7)-(0.4))))+0.1*IF(BJ61&gt;=2,1,0.5))</f>
        <v/>
      </c>
      <c r="BV61" s="37">
        <f>0.25*BR61+0.25*BS61+0.2*BT61+0.3*BU61</f>
        <v/>
      </c>
      <c r="BW61" s="22" t="inlineStr">
        <is>
          <t>C4 上升三角／重心偏上</t>
        </is>
      </c>
      <c r="BX61" s="22" t="inlineStr"/>
    </row>
    <row r="62">
      <c r="A62" s="22" t="n">
        <v>2</v>
      </c>
      <c r="B62" s="22" t="n">
        <v>35</v>
      </c>
      <c r="C62" s="23" t="inlineStr">
        <is>
          <t>FLEX</t>
        </is>
      </c>
      <c r="D62" s="22" t="inlineStr">
        <is>
          <t>Flex Ltd.</t>
        </is>
      </c>
      <c r="E62" s="22" t="inlineStr">
        <is>
          <t>NASDAQ</t>
        </is>
      </c>
      <c r="F62" s="22" t="inlineStr">
        <is>
          <t>科技</t>
        </is>
      </c>
      <c r="G62" s="22" t="inlineStr">
        <is>
          <t>Electrical Products</t>
        </is>
      </c>
      <c r="H62" s="24" t="n">
        <v>40.631</v>
      </c>
      <c r="I62" s="22" t="inlineStr">
        <is>
          <t>大型</t>
        </is>
      </c>
      <c r="J62" s="25" t="n">
        <v>116.61</v>
      </c>
      <c r="K62" s="25" t="n">
        <v>112.78</v>
      </c>
      <c r="L62" s="26">
        <f>J62/K62-1</f>
        <v/>
      </c>
      <c r="M62" s="25" t="n">
        <v>117.84</v>
      </c>
      <c r="N62" s="25" t="n">
        <v>113.99</v>
      </c>
      <c r="O62" s="27" t="n">
        <v>1953500</v>
      </c>
      <c r="P62" s="27" t="n">
        <v>3232120</v>
      </c>
      <c r="Q62" s="28">
        <f>O62/P62</f>
        <v/>
      </c>
      <c r="R62" s="25" t="n">
        <v>113.067</v>
      </c>
      <c r="S62" s="25" t="n">
        <v>112.573</v>
      </c>
      <c r="T62" s="25" t="n">
        <v>112.082</v>
      </c>
      <c r="U62" s="26">
        <f>S62/T62-1</f>
        <v/>
      </c>
      <c r="V62" s="29" t="n">
        <v>0.9</v>
      </c>
      <c r="W62" s="26">
        <f>J62/R62-1</f>
        <v/>
      </c>
      <c r="X62" s="26">
        <f>J62/S62-1</f>
        <v/>
      </c>
      <c r="Y62" s="25" t="n">
        <v>5.3301</v>
      </c>
      <c r="Z62" s="30">
        <f>Y62/J62</f>
        <v/>
      </c>
      <c r="AA62" s="28">
        <f>(J62-R62)/Y62</f>
        <v/>
      </c>
      <c r="AB62" s="28">
        <f>(J62-S62)/Y62</f>
        <v/>
      </c>
      <c r="AC62" s="22">
        <f>IF(ABS(AA62)&lt;=ABS(AB62),"9EMA","21EMA")</f>
        <v/>
      </c>
      <c r="AD62" s="22" t="inlineStr">
        <is>
          <t>9+21EMA</t>
        </is>
      </c>
      <c r="AE62" s="21" t="inlineStr">
        <is>
          <t>剛黃金交叉</t>
        </is>
      </c>
      <c r="AF62" s="22" t="inlineStr">
        <is>
          <t>✓</t>
        </is>
      </c>
      <c r="AG62" s="22" t="inlineStr"/>
      <c r="AH62" s="22" t="inlineStr"/>
      <c r="AI62" s="22" t="inlineStr">
        <is>
          <t>2026-10-01</t>
        </is>
      </c>
      <c r="AJ62" s="22" t="n">
        <v>1</v>
      </c>
      <c r="AK62" s="31" t="n">
        <v>2</v>
      </c>
      <c r="AL62" s="22" t="inlineStr">
        <is>
          <t>2026-09-16</t>
        </is>
      </c>
      <c r="AM62" s="25" t="n">
        <v>105.85</v>
      </c>
      <c r="AN62" s="25" t="n">
        <v>102.25</v>
      </c>
      <c r="AO62" s="26">
        <f>IF(ISNUMBER(AN62),AM62/AN62-1,"")</f>
        <v/>
      </c>
      <c r="AP62" s="31" t="n">
        <v>12</v>
      </c>
      <c r="AQ62" s="26">
        <f>IF(ISNUMBER(AM62),J62/AM62-1,"")</f>
        <v/>
      </c>
      <c r="AR62" s="25" t="n">
        <v>116.61</v>
      </c>
      <c r="AS62" s="26">
        <f>J62/AR62-1</f>
        <v/>
      </c>
      <c r="AT62" s="32" t="n">
        <v>-0.1692</v>
      </c>
      <c r="AU62" s="32" t="n">
        <v>-0.9798</v>
      </c>
      <c r="AV62" s="32" t="n">
        <v>-1.1824</v>
      </c>
      <c r="AW62" s="33">
        <f>AU62-AV62</f>
        <v/>
      </c>
      <c r="AX62" s="32" t="n">
        <v>0.8106</v>
      </c>
      <c r="AY62" s="32" t="n">
        <v>0.6051</v>
      </c>
      <c r="AZ62" s="32" t="n">
        <v>0.6337</v>
      </c>
      <c r="BA62" s="22" t="inlineStr">
        <is>
          <t>深綠</t>
        </is>
      </c>
      <c r="BB62" s="22" t="inlineStr">
        <is>
          <t>淺綠→深綠</t>
        </is>
      </c>
      <c r="BC62" s="22" t="n">
        <v>0</v>
      </c>
      <c r="BD62" s="22" t="inlineStr">
        <is>
          <t>深綠 淺綠 深綠 淺綠 淺綠 淺綠 淺綠 深綠</t>
        </is>
      </c>
      <c r="BE62" s="22" t="inlineStr">
        <is>
          <t>上傾收窄（楔形）</t>
        </is>
      </c>
      <c r="BF62" s="34" t="n">
        <v>0.2641</v>
      </c>
      <c r="BG62" s="34" t="n">
        <v>0.3859</v>
      </c>
      <c r="BH62" s="34" t="n">
        <v>0.4514</v>
      </c>
      <c r="BI62" s="34" t="n">
        <v>0.4367</v>
      </c>
      <c r="BJ62" s="31" t="n">
        <v>1</v>
      </c>
      <c r="BK62" s="25" t="n">
        <v>120.76</v>
      </c>
      <c r="BL62" s="25" t="n">
        <v>102.25</v>
      </c>
      <c r="BM62" s="25" t="n">
        <v>110.6048</v>
      </c>
      <c r="BN62" s="34" t="n">
        <v>1.2348</v>
      </c>
      <c r="BO62" s="28">
        <f>IF(M62=N62,0.5,(J62-N62)/(M62-N62))</f>
        <v/>
      </c>
      <c r="BP62" s="35" t="n">
        <v>15.102</v>
      </c>
      <c r="BQ62" s="35" t="n">
        <v>10.061</v>
      </c>
      <c r="BR62" s="36">
        <f>100*(0.4*MIN(1,MAX(0,((U62*100)-(0.0))/((2.5)-(0.0))))+0.3*MIN(1,MAX(0,((V62)-(0.6))/((1.0)-(0.6))))+0.3*MIN(1,MAX(0,((BP62)-(0.0))/((15.0)-(0.0)))))</f>
        <v/>
      </c>
      <c r="BS62" s="36">
        <f>100*(0.4*MIN(1,MAX(0,((MIN(ABS(AA62),ABS(AB62)))-(0.75))/((0.0)-(0.75))))+0.3*MIN(1,MAX(0,((BN62)-(1.2))/((0.6)-(1.2))))+0.3*BO62)</f>
        <v/>
      </c>
      <c r="BT62" s="36">
        <f>100*(0.5*MIN(1,MAX(0,((AK62)-(1.0))/((4.0)-(1.0))))+0.3*MIN(1,MAX(0,((IF(ISNUMBER(AO62),AO62,0)*100)-(0.0))/((8.0)-(0.0))))+0.2*MIN(1,MAX(0,((IF(ISNUMBER(AP62),AP62,0))-(25.0))/((5.0)-(25.0)))))</f>
        <v/>
      </c>
      <c r="BU62" s="36">
        <f>100*(0.35*MIN(1,MAX(0,((ABS(BF62))-(0.3))/((0.05)-(0.3))))+0.3*MIN(1,MAX(0,((BG62)-(0.0))/((0.3)-(0.0))))+0.25*MIN(1,MAX(0,((BH62)-(0.4))/((0.7)-(0.4))))+0.1*IF(BJ62&gt;=2,1,0.5))</f>
        <v/>
      </c>
      <c r="BV62" s="37">
        <f>0.25*BR62+0.25*BS62+0.2*BT62+0.3*BU62</f>
        <v/>
      </c>
      <c r="BW62" s="22" t="inlineStr">
        <is>
          <t>C4 上升三角／重心偏上</t>
        </is>
      </c>
      <c r="BX62" s="22" t="inlineStr"/>
    </row>
    <row r="63">
      <c r="A63" s="38" t="n">
        <v>3</v>
      </c>
      <c r="B63" s="38" t="n">
        <v>1</v>
      </c>
      <c r="C63" s="39" t="inlineStr">
        <is>
          <t>FEIM</t>
        </is>
      </c>
      <c r="D63" s="38" t="inlineStr">
        <is>
          <t>Frequency Electronics Inc.</t>
        </is>
      </c>
      <c r="E63" s="38" t="inlineStr">
        <is>
          <t>NASDAQ</t>
        </is>
      </c>
      <c r="F63" s="38" t="inlineStr">
        <is>
          <t>工業</t>
        </is>
      </c>
      <c r="G63" s="38" t="inlineStr">
        <is>
          <t>Electrical Products</t>
        </is>
      </c>
      <c r="H63" s="40" t="n">
        <v>0.953</v>
      </c>
      <c r="I63" s="38" t="inlineStr">
        <is>
          <t>小型</t>
        </is>
      </c>
      <c r="J63" s="41" t="n">
        <v>86.03</v>
      </c>
      <c r="K63" s="41" t="n">
        <v>85.97</v>
      </c>
      <c r="L63" s="42">
        <f>J63/K63-1</f>
        <v/>
      </c>
      <c r="M63" s="41" t="n">
        <v>88.19</v>
      </c>
      <c r="N63" s="41" t="n">
        <v>85.55</v>
      </c>
      <c r="O63" s="43" t="n">
        <v>184200</v>
      </c>
      <c r="P63" s="43" t="n">
        <v>400650</v>
      </c>
      <c r="Q63" s="44">
        <f>O63/P63</f>
        <v/>
      </c>
      <c r="R63" s="41" t="n">
        <v>84.66030000000001</v>
      </c>
      <c r="S63" s="41" t="n">
        <v>80.67440000000001</v>
      </c>
      <c r="T63" s="41" t="n">
        <v>78.1551</v>
      </c>
      <c r="U63" s="42">
        <f>S63/T63-1</f>
        <v/>
      </c>
      <c r="V63" s="45" t="n">
        <v>1</v>
      </c>
      <c r="W63" s="42">
        <f>J63/R63-1</f>
        <v/>
      </c>
      <c r="X63" s="42">
        <f>J63/S63-1</f>
        <v/>
      </c>
      <c r="Y63" s="41" t="n">
        <v>4.8344</v>
      </c>
      <c r="Z63" s="46">
        <f>Y63/J63</f>
        <v/>
      </c>
      <c r="AA63" s="44">
        <f>(J63-R63)/Y63</f>
        <v/>
      </c>
      <c r="AB63" s="44">
        <f>(J63-S63)/Y63</f>
        <v/>
      </c>
      <c r="AC63" s="38">
        <f>IF(ABS(AA63)&lt;=ABS(AB63),"9EMA","21EMA")</f>
        <v/>
      </c>
      <c r="AD63" s="38" t="inlineStr">
        <is>
          <t>9EMA</t>
        </is>
      </c>
      <c r="AE63" s="38" t="inlineStr">
        <is>
          <t>持續在上方</t>
        </is>
      </c>
      <c r="AF63" s="38" t="inlineStr"/>
      <c r="AG63" s="38" t="inlineStr"/>
      <c r="AH63" s="38" t="inlineStr">
        <is>
          <t>✓</t>
        </is>
      </c>
      <c r="AI63" s="38" t="inlineStr">
        <is>
          <t>2026-09-11</t>
        </is>
      </c>
      <c r="AJ63" s="38" t="n">
        <v>15</v>
      </c>
      <c r="AK63" s="47" t="n">
        <v>2</v>
      </c>
      <c r="AL63" s="38" t="inlineStr">
        <is>
          <t>2026-09-28</t>
        </is>
      </c>
      <c r="AM63" s="41" t="n">
        <v>81.58</v>
      </c>
      <c r="AN63" s="41" t="n">
        <v>56.98</v>
      </c>
      <c r="AO63" s="42">
        <f>IF(ISNUMBER(AN63),AM63/AN63-1,"")</f>
        <v/>
      </c>
      <c r="AP63" s="47" t="n">
        <v>4</v>
      </c>
      <c r="AQ63" s="42">
        <f>IF(ISNUMBER(AM63),J63/AM63-1,"")</f>
        <v/>
      </c>
      <c r="AR63" s="41" t="n">
        <v>89</v>
      </c>
      <c r="AS63" s="42">
        <f>J63/AR63-1</f>
        <v/>
      </c>
      <c r="AT63" s="48" t="n">
        <v>4.5115</v>
      </c>
      <c r="AU63" s="48" t="n">
        <v>4.624</v>
      </c>
      <c r="AV63" s="48" t="n">
        <v>4.6521</v>
      </c>
      <c r="AW63" s="49">
        <f>AU63-AV63</f>
        <v/>
      </c>
      <c r="AX63" s="48" t="n">
        <v>-0.1125</v>
      </c>
      <c r="AY63" s="48" t="n">
        <v>-0.0124</v>
      </c>
      <c r="AZ63" s="48" t="n">
        <v>0.0868</v>
      </c>
      <c r="BA63" s="38" t="inlineStr">
        <is>
          <t>深紅</t>
        </is>
      </c>
      <c r="BB63" s="38" t="inlineStr">
        <is>
          <t>—</t>
        </is>
      </c>
      <c r="BC63" s="38" t="inlineStr">
        <is>
          <t>—</t>
        </is>
      </c>
      <c r="BD63" s="38" t="inlineStr">
        <is>
          <t>淺綠 淺綠 淺綠 淺綠 淺綠 淺綠 深紅 深紅</t>
        </is>
      </c>
      <c r="BE63" s="38" t="inlineStr">
        <is>
          <t>上升三角（平頂）</t>
        </is>
      </c>
      <c r="BF63" s="50" t="n">
        <v>-0.0206</v>
      </c>
      <c r="BG63" s="50" t="n">
        <v>1.5886</v>
      </c>
      <c r="BH63" s="50" t="n">
        <v>0.7217</v>
      </c>
      <c r="BI63" s="50" t="n">
        <v>0.7215</v>
      </c>
      <c r="BJ63" s="47" t="n">
        <v>5</v>
      </c>
      <c r="BK63" s="41" t="n">
        <v>89.76000000000001</v>
      </c>
      <c r="BL63" s="41" t="n">
        <v>56.98</v>
      </c>
      <c r="BM63" s="41" t="n">
        <v>80.6386</v>
      </c>
      <c r="BN63" s="50" t="n">
        <v>1.0567</v>
      </c>
      <c r="BO63" s="44">
        <f>IF(M63=N63,0.5,(J63-N63)/(M63-N63))</f>
        <v/>
      </c>
      <c r="BP63" s="51" t="n">
        <v>50.682</v>
      </c>
      <c r="BQ63" s="51" t="n">
        <v>45.641</v>
      </c>
      <c r="BR63" s="52">
        <f>100*(0.4*MIN(1,MAX(0,((U63*100)-(0.0))/((2.5)-(0.0))))+0.3*MIN(1,MAX(0,((V63)-(0.6))/((1.0)-(0.6))))+0.3*MIN(1,MAX(0,((BP63)-(0.0))/((15.0)-(0.0)))))</f>
        <v/>
      </c>
      <c r="BS63" s="52">
        <f>100*(0.4*MIN(1,MAX(0,((MIN(ABS(AA63),ABS(AB63)))-(0.75))/((0.0)-(0.75))))+0.3*MIN(1,MAX(0,((BN63)-(1.2))/((0.6)-(1.2))))+0.3*BO63)</f>
        <v/>
      </c>
      <c r="BT63" s="52">
        <f>100*(0.5*MIN(1,MAX(0,((AK63)-(1.0))/((4.0)-(1.0))))+0.3*MIN(1,MAX(0,((IF(ISNUMBER(AO63),AO63,0)*100)-(0.0))/((8.0)-(0.0))))+0.2*MIN(1,MAX(0,((IF(ISNUMBER(AP63),AP63,0))-(25.0))/((5.0)-(25.0)))))</f>
        <v/>
      </c>
      <c r="BU63" s="52">
        <f>100*(0.35*MIN(1,MAX(0,((ABS(BF63))-(0.3))/((0.05)-(0.3))))+0.3*MIN(1,MAX(0,((BG63)-(0.0))/((0.3)-(0.0))))+0.25*MIN(1,MAX(0,((BH63)-(0.4))/((0.7)-(0.4))))+0.1*IF(BJ63&gt;=2,1,0.5))</f>
        <v/>
      </c>
      <c r="BV63" s="53">
        <f>0.25*BR63+0.25*BS63+0.2*BT63+0.3*BU63</f>
        <v/>
      </c>
      <c r="BW63" s="38" t="inlineStr">
        <is>
          <t>C5 MACD慢線向上、C6 MACD柱轉勢</t>
        </is>
      </c>
      <c r="BX63" s="38" t="inlineStr"/>
    </row>
    <row r="64">
      <c r="A64" s="38" t="n">
        <v>3</v>
      </c>
      <c r="B64" s="38" t="n">
        <v>2</v>
      </c>
      <c r="C64" s="39" t="inlineStr">
        <is>
          <t>JILL</t>
        </is>
      </c>
      <c r="D64" s="38" t="inlineStr">
        <is>
          <t>J. Jill Inc.</t>
        </is>
      </c>
      <c r="E64" s="38" t="inlineStr">
        <is>
          <t>NYSE</t>
        </is>
      </c>
      <c r="F64" s="38" t="inlineStr">
        <is>
          <t>非必需消費</t>
        </is>
      </c>
      <c r="G64" s="38" t="inlineStr">
        <is>
          <t>Apparel</t>
        </is>
      </c>
      <c r="H64" s="40" t="n">
        <v>0.362</v>
      </c>
      <c r="I64" s="38" t="inlineStr">
        <is>
          <t>小型</t>
        </is>
      </c>
      <c r="J64" s="41" t="n">
        <v>24.84</v>
      </c>
      <c r="K64" s="41" t="n">
        <v>24.4</v>
      </c>
      <c r="L64" s="42">
        <f>J64/K64-1</f>
        <v/>
      </c>
      <c r="M64" s="41" t="n">
        <v>25.135</v>
      </c>
      <c r="N64" s="41" t="n">
        <v>24.47</v>
      </c>
      <c r="O64" s="43" t="n">
        <v>267000</v>
      </c>
      <c r="P64" s="43" t="n">
        <v>258625</v>
      </c>
      <c r="Q64" s="44">
        <f>O64/P64</f>
        <v/>
      </c>
      <c r="R64" s="41" t="n">
        <v>24.3132</v>
      </c>
      <c r="S64" s="41" t="n">
        <v>23.338</v>
      </c>
      <c r="T64" s="41" t="n">
        <v>22.638</v>
      </c>
      <c r="U64" s="42">
        <f>S64/T64-1</f>
        <v/>
      </c>
      <c r="V64" s="45" t="n">
        <v>1</v>
      </c>
      <c r="W64" s="42">
        <f>J64/R64-1</f>
        <v/>
      </c>
      <c r="X64" s="42">
        <f>J64/S64-1</f>
        <v/>
      </c>
      <c r="Y64" s="41" t="n">
        <v>0.9502</v>
      </c>
      <c r="Z64" s="46">
        <f>Y64/J64</f>
        <v/>
      </c>
      <c r="AA64" s="44">
        <f>(J64-R64)/Y64</f>
        <v/>
      </c>
      <c r="AB64" s="44">
        <f>(J64-S64)/Y64</f>
        <v/>
      </c>
      <c r="AC64" s="38">
        <f>IF(ABS(AA64)&lt;=ABS(AB64),"9EMA","21EMA")</f>
        <v/>
      </c>
      <c r="AD64" s="38" t="inlineStr">
        <is>
          <t>9EMA</t>
        </is>
      </c>
      <c r="AE64" s="38" t="inlineStr">
        <is>
          <t>持續在上方</t>
        </is>
      </c>
      <c r="AF64" s="38" t="inlineStr"/>
      <c r="AG64" s="38" t="inlineStr"/>
      <c r="AH64" s="38" t="inlineStr">
        <is>
          <t>✓</t>
        </is>
      </c>
      <c r="AI64" s="38" t="inlineStr">
        <is>
          <t>2026-05-28</t>
        </is>
      </c>
      <c r="AJ64" s="38" t="n">
        <v>88</v>
      </c>
      <c r="AK64" s="47" t="n">
        <v>6</v>
      </c>
      <c r="AL64" s="38" t="inlineStr">
        <is>
          <t>2026-09-24</t>
        </is>
      </c>
      <c r="AM64" s="41" t="n">
        <v>22.86</v>
      </c>
      <c r="AN64" s="41" t="n">
        <v>18.49</v>
      </c>
      <c r="AO64" s="42">
        <f>IF(ISNUMBER(AN64),AM64/AN64-1,"")</f>
        <v/>
      </c>
      <c r="AP64" s="47" t="n">
        <v>6</v>
      </c>
      <c r="AQ64" s="42">
        <f>IF(ISNUMBER(AM64),J64/AM64-1,"")</f>
        <v/>
      </c>
      <c r="AR64" s="41" t="n">
        <v>24.84</v>
      </c>
      <c r="AS64" s="42">
        <f>J64/AR64-1</f>
        <v/>
      </c>
      <c r="AT64" s="48" t="n">
        <v>1.1803</v>
      </c>
      <c r="AU64" s="48" t="n">
        <v>1.2636</v>
      </c>
      <c r="AV64" s="48" t="n">
        <v>1.2844</v>
      </c>
      <c r="AW64" s="49">
        <f>AU64-AV64</f>
        <v/>
      </c>
      <c r="AX64" s="48" t="n">
        <v>-0.0833</v>
      </c>
      <c r="AY64" s="48" t="n">
        <v>-0.0852</v>
      </c>
      <c r="AZ64" s="48" t="n">
        <v>-0.055</v>
      </c>
      <c r="BA64" s="38" t="inlineStr">
        <is>
          <t>淺紅</t>
        </is>
      </c>
      <c r="BB64" s="38" t="inlineStr">
        <is>
          <t>深紅→淺紅</t>
        </is>
      </c>
      <c r="BC64" s="38" t="n">
        <v>0</v>
      </c>
      <c r="BD64" s="38" t="inlineStr">
        <is>
          <t>淺綠 淺綠 淺綠 淺綠 深紅 深紅 深紅 淺紅</t>
        </is>
      </c>
      <c r="BE64" s="38" t="inlineStr">
        <is>
          <t>上傾收窄（楔形）</t>
        </is>
      </c>
      <c r="BF64" s="50" t="n">
        <v>0.9802999999999999</v>
      </c>
      <c r="BG64" s="50" t="n">
        <v>1.2566</v>
      </c>
      <c r="BH64" s="50" t="n">
        <v>0.7161999999999999</v>
      </c>
      <c r="BI64" s="50" t="n">
        <v>0.7194</v>
      </c>
      <c r="BJ64" s="47" t="n">
        <v>3</v>
      </c>
      <c r="BK64" s="41" t="n">
        <v>25.135</v>
      </c>
      <c r="BL64" s="41" t="n">
        <v>18.49</v>
      </c>
      <c r="BM64" s="41" t="n">
        <v>23.249</v>
      </c>
      <c r="BN64" s="50" t="n">
        <v>0.7178</v>
      </c>
      <c r="BO64" s="44">
        <f>IF(M64=N64,0.5,(J64-N64)/(M64-N64))</f>
        <v/>
      </c>
      <c r="BP64" s="51" t="n">
        <v>34.618</v>
      </c>
      <c r="BQ64" s="51" t="n">
        <v>29.577</v>
      </c>
      <c r="BR64" s="52">
        <f>100*(0.4*MIN(1,MAX(0,((U64*100)-(0.0))/((2.5)-(0.0))))+0.3*MIN(1,MAX(0,((V64)-(0.6))/((1.0)-(0.6))))+0.3*MIN(1,MAX(0,((BP64)-(0.0))/((15.0)-(0.0)))))</f>
        <v/>
      </c>
      <c r="BS64" s="52">
        <f>100*(0.4*MIN(1,MAX(0,((MIN(ABS(AA64),ABS(AB64)))-(0.75))/((0.0)-(0.75))))+0.3*MIN(1,MAX(0,((BN64)-(1.2))/((0.6)-(1.2))))+0.3*BO64)</f>
        <v/>
      </c>
      <c r="BT64" s="52">
        <f>100*(0.5*MIN(1,MAX(0,((AK64)-(1.0))/((4.0)-(1.0))))+0.3*MIN(1,MAX(0,((IF(ISNUMBER(AO64),AO64,0)*100)-(0.0))/((8.0)-(0.0))))+0.2*MIN(1,MAX(0,((IF(ISNUMBER(AP64),AP64,0))-(25.0))/((5.0)-(25.0)))))</f>
        <v/>
      </c>
      <c r="BU64" s="52">
        <f>100*(0.35*MIN(1,MAX(0,((ABS(BF64))-(0.3))/((0.05)-(0.3))))+0.3*MIN(1,MAX(0,((BG64)-(0.0))/((0.3)-(0.0))))+0.25*MIN(1,MAX(0,((BH64)-(0.4))/((0.7)-(0.4))))+0.1*IF(BJ64&gt;=2,1,0.5))</f>
        <v/>
      </c>
      <c r="BV64" s="53">
        <f>0.25*BR64+0.25*BS64+0.2*BT64+0.3*BU64</f>
        <v/>
      </c>
      <c r="BW64" s="38" t="inlineStr">
        <is>
          <t>C5 MACD慢線向上</t>
        </is>
      </c>
      <c r="BX64" s="38" t="inlineStr"/>
    </row>
    <row r="65">
      <c r="A65" s="38" t="n">
        <v>3</v>
      </c>
      <c r="B65" s="38" t="n">
        <v>3</v>
      </c>
      <c r="C65" s="39" t="inlineStr">
        <is>
          <t>PPIH</t>
        </is>
      </c>
      <c r="D65" s="38" t="inlineStr">
        <is>
          <t>Perma-Pipe International Holdings Inc.</t>
        </is>
      </c>
      <c r="E65" s="38" t="inlineStr">
        <is>
          <t>NASDAQ</t>
        </is>
      </c>
      <c r="F65" s="38" t="inlineStr">
        <is>
          <t>工業</t>
        </is>
      </c>
      <c r="G65" s="38" t="inlineStr">
        <is>
          <t>Pollution Control Equipment</t>
        </is>
      </c>
      <c r="H65" s="40" t="n">
        <v>0.252</v>
      </c>
      <c r="I65" s="38" t="inlineStr">
        <is>
          <t>小型</t>
        </is>
      </c>
      <c r="J65" s="41" t="n">
        <v>31.86</v>
      </c>
      <c r="K65" s="41" t="n">
        <v>31.32</v>
      </c>
      <c r="L65" s="42">
        <f>J65/K65-1</f>
        <v/>
      </c>
      <c r="M65" s="41" t="n">
        <v>32.13</v>
      </c>
      <c r="N65" s="41" t="n">
        <v>31.41</v>
      </c>
      <c r="O65" s="43" t="n">
        <v>51600</v>
      </c>
      <c r="P65" s="43" t="n">
        <v>97185</v>
      </c>
      <c r="Q65" s="44">
        <f>O65/P65</f>
        <v/>
      </c>
      <c r="R65" s="41" t="n">
        <v>31.1648</v>
      </c>
      <c r="S65" s="41" t="n">
        <v>30.2585</v>
      </c>
      <c r="T65" s="41" t="n">
        <v>29.5552</v>
      </c>
      <c r="U65" s="42">
        <f>S65/T65-1</f>
        <v/>
      </c>
      <c r="V65" s="45" t="n">
        <v>1</v>
      </c>
      <c r="W65" s="42">
        <f>J65/R65-1</f>
        <v/>
      </c>
      <c r="X65" s="42">
        <f>J65/S65-1</f>
        <v/>
      </c>
      <c r="Y65" s="41" t="n">
        <v>1.0224</v>
      </c>
      <c r="Z65" s="46">
        <f>Y65/J65</f>
        <v/>
      </c>
      <c r="AA65" s="44">
        <f>(J65-R65)/Y65</f>
        <v/>
      </c>
      <c r="AB65" s="44">
        <f>(J65-S65)/Y65</f>
        <v/>
      </c>
      <c r="AC65" s="38">
        <f>IF(ABS(AA65)&lt;=ABS(AB65),"9EMA","21EMA")</f>
        <v/>
      </c>
      <c r="AD65" s="38" t="inlineStr">
        <is>
          <t>9EMA</t>
        </is>
      </c>
      <c r="AE65" s="38" t="inlineStr">
        <is>
          <t>持續在上方</t>
        </is>
      </c>
      <c r="AF65" s="38" t="inlineStr"/>
      <c r="AG65" s="38" t="inlineStr"/>
      <c r="AH65" s="38" t="inlineStr">
        <is>
          <t>✓</t>
        </is>
      </c>
      <c r="AI65" s="38" t="inlineStr">
        <is>
          <t>2026-08-10</t>
        </is>
      </c>
      <c r="AJ65" s="38" t="n">
        <v>38</v>
      </c>
      <c r="AK65" s="47" t="n">
        <v>4</v>
      </c>
      <c r="AL65" s="38" t="inlineStr">
        <is>
          <t>2026-09-23</t>
        </is>
      </c>
      <c r="AM65" s="41" t="n">
        <v>29.77</v>
      </c>
      <c r="AN65" s="41" t="n">
        <v>26.24</v>
      </c>
      <c r="AO65" s="42">
        <f>IF(ISNUMBER(AN65),AM65/AN65-1,"")</f>
        <v/>
      </c>
      <c r="AP65" s="47" t="n">
        <v>7</v>
      </c>
      <c r="AQ65" s="42">
        <f>IF(ISNUMBER(AM65),J65/AM65-1,"")</f>
        <v/>
      </c>
      <c r="AR65" s="41" t="n">
        <v>31.88</v>
      </c>
      <c r="AS65" s="42">
        <f>J65/AR65-1</f>
        <v/>
      </c>
      <c r="AT65" s="48" t="n">
        <v>1.0338</v>
      </c>
      <c r="AU65" s="48" t="n">
        <v>1.0442</v>
      </c>
      <c r="AV65" s="48" t="n">
        <v>1.0468</v>
      </c>
      <c r="AW65" s="49">
        <f>AU65-AV65</f>
        <v/>
      </c>
      <c r="AX65" s="48" t="n">
        <v>-0.0104</v>
      </c>
      <c r="AY65" s="48" t="n">
        <v>-0.0232</v>
      </c>
      <c r="AZ65" s="48" t="n">
        <v>-0.0018</v>
      </c>
      <c r="BA65" s="38" t="inlineStr">
        <is>
          <t>淺紅</t>
        </is>
      </c>
      <c r="BB65" s="38" t="inlineStr">
        <is>
          <t>深紅→淺紅</t>
        </is>
      </c>
      <c r="BC65" s="38" t="n">
        <v>0</v>
      </c>
      <c r="BD65" s="38" t="inlineStr">
        <is>
          <t>淺綠 深綠 深綠 深綠 淺綠 深紅 深紅 淺紅</t>
        </is>
      </c>
      <c r="BE65" s="38" t="inlineStr">
        <is>
          <t>上傾收窄（楔形）</t>
        </is>
      </c>
      <c r="BF65" s="50" t="n">
        <v>0.1548</v>
      </c>
      <c r="BG65" s="50" t="n">
        <v>0.6516999999999999</v>
      </c>
      <c r="BH65" s="50" t="n">
        <v>0.5965</v>
      </c>
      <c r="BI65" s="50" t="n">
        <v>0.601</v>
      </c>
      <c r="BJ65" s="47" t="n">
        <v>5</v>
      </c>
      <c r="BK65" s="41" t="n">
        <v>32.19</v>
      </c>
      <c r="BL65" s="41" t="n">
        <v>26.24</v>
      </c>
      <c r="BM65" s="41" t="n">
        <v>29.7894</v>
      </c>
      <c r="BN65" s="50" t="n">
        <v>0.8518</v>
      </c>
      <c r="BO65" s="44">
        <f>IF(M65=N65,0.5,(J65-N65)/(M65-N65))</f>
        <v/>
      </c>
      <c r="BP65" s="51" t="n">
        <v>21.873</v>
      </c>
      <c r="BQ65" s="51" t="n">
        <v>16.832</v>
      </c>
      <c r="BR65" s="52">
        <f>100*(0.4*MIN(1,MAX(0,((U65*100)-(0.0))/((2.5)-(0.0))))+0.3*MIN(1,MAX(0,((V65)-(0.6))/((1.0)-(0.6))))+0.3*MIN(1,MAX(0,((BP65)-(0.0))/((15.0)-(0.0)))))</f>
        <v/>
      </c>
      <c r="BS65" s="52">
        <f>100*(0.4*MIN(1,MAX(0,((MIN(ABS(AA65),ABS(AB65)))-(0.75))/((0.0)-(0.75))))+0.3*MIN(1,MAX(0,((BN65)-(1.2))/((0.6)-(1.2))))+0.3*BO65)</f>
        <v/>
      </c>
      <c r="BT65" s="52">
        <f>100*(0.5*MIN(1,MAX(0,((AK65)-(1.0))/((4.0)-(1.0))))+0.3*MIN(1,MAX(0,((IF(ISNUMBER(AO65),AO65,0)*100)-(0.0))/((8.0)-(0.0))))+0.2*MIN(1,MAX(0,((IF(ISNUMBER(AP65),AP65,0))-(25.0))/((5.0)-(25.0)))))</f>
        <v/>
      </c>
      <c r="BU65" s="52">
        <f>100*(0.35*MIN(1,MAX(0,((ABS(BF65))-(0.3))/((0.05)-(0.3))))+0.3*MIN(1,MAX(0,((BG65)-(0.0))/((0.3)-(0.0))))+0.25*MIN(1,MAX(0,((BH65)-(0.4))/((0.7)-(0.4))))+0.1*IF(BJ65&gt;=2,1,0.5))</f>
        <v/>
      </c>
      <c r="BV65" s="53">
        <f>0.25*BR65+0.25*BS65+0.2*BT65+0.3*BU65</f>
        <v/>
      </c>
      <c r="BW65" s="38" t="inlineStr">
        <is>
          <t>C5 MACD慢線向上</t>
        </is>
      </c>
      <c r="BX65" s="38" t="inlineStr"/>
    </row>
    <row r="66">
      <c r="A66" s="38" t="n">
        <v>3</v>
      </c>
      <c r="B66" s="38" t="n">
        <v>4</v>
      </c>
      <c r="C66" s="39" t="inlineStr">
        <is>
          <t>NET</t>
        </is>
      </c>
      <c r="D66" s="38" t="inlineStr">
        <is>
          <t>Cloudflare Inc.</t>
        </is>
      </c>
      <c r="E66" s="38" t="inlineStr">
        <is>
          <t>NYSE</t>
        </is>
      </c>
      <c r="F66" s="38" t="inlineStr">
        <is>
          <t>科技</t>
        </is>
      </c>
      <c r="G66" s="38" t="inlineStr">
        <is>
          <t>Computer Software: Prepackaged Software</t>
        </is>
      </c>
      <c r="H66" s="40" t="n">
        <v>123.659</v>
      </c>
      <c r="I66" s="38" t="inlineStr">
        <is>
          <t>大型</t>
        </is>
      </c>
      <c r="J66" s="41" t="n">
        <v>349.07</v>
      </c>
      <c r="K66" s="41" t="n">
        <v>351</v>
      </c>
      <c r="L66" s="42">
        <f>J66/K66-1</f>
        <v/>
      </c>
      <c r="M66" s="41" t="n">
        <v>354.58</v>
      </c>
      <c r="N66" s="41" t="n">
        <v>344.51</v>
      </c>
      <c r="O66" s="43" t="n">
        <v>2834400</v>
      </c>
      <c r="P66" s="43" t="n">
        <v>3112035</v>
      </c>
      <c r="Q66" s="44">
        <f>O66/P66</f>
        <v/>
      </c>
      <c r="R66" s="41" t="n">
        <v>347.38</v>
      </c>
      <c r="S66" s="41" t="n">
        <v>334.2457</v>
      </c>
      <c r="T66" s="41" t="n">
        <v>324.3122</v>
      </c>
      <c r="U66" s="42">
        <f>S66/T66-1</f>
        <v/>
      </c>
      <c r="V66" s="45" t="n">
        <v>1</v>
      </c>
      <c r="W66" s="42">
        <f>J66/R66-1</f>
        <v/>
      </c>
      <c r="X66" s="42">
        <f>J66/S66-1</f>
        <v/>
      </c>
      <c r="Y66" s="41" t="n">
        <v>16.017</v>
      </c>
      <c r="Z66" s="46">
        <f>Y66/J66</f>
        <v/>
      </c>
      <c r="AA66" s="44">
        <f>(J66-R66)/Y66</f>
        <v/>
      </c>
      <c r="AB66" s="44">
        <f>(J66-S66)/Y66</f>
        <v/>
      </c>
      <c r="AC66" s="38">
        <f>IF(ABS(AA66)&lt;=ABS(AB66),"9EMA","21EMA")</f>
        <v/>
      </c>
      <c r="AD66" s="38" t="inlineStr">
        <is>
          <t>9EMA</t>
        </is>
      </c>
      <c r="AE66" s="38" t="inlineStr">
        <is>
          <t>持續在上方</t>
        </is>
      </c>
      <c r="AF66" s="38" t="inlineStr"/>
      <c r="AG66" s="38" t="inlineStr"/>
      <c r="AH66" s="38" t="inlineStr">
        <is>
          <t>✓</t>
        </is>
      </c>
      <c r="AI66" s="38" t="inlineStr">
        <is>
          <t>2026-09-09</t>
        </is>
      </c>
      <c r="AJ66" s="38" t="n">
        <v>17</v>
      </c>
      <c r="AK66" s="47" t="n">
        <v>3</v>
      </c>
      <c r="AL66" s="38" t="inlineStr">
        <is>
          <t>2026-09-28</t>
        </is>
      </c>
      <c r="AM66" s="41" t="n">
        <v>338.67</v>
      </c>
      <c r="AN66" s="41" t="n">
        <v>313.5</v>
      </c>
      <c r="AO66" s="42">
        <f>IF(ISNUMBER(AN66),AM66/AN66-1,"")</f>
        <v/>
      </c>
      <c r="AP66" s="47" t="n">
        <v>4</v>
      </c>
      <c r="AQ66" s="42">
        <f>IF(ISNUMBER(AM66),J66/AM66-1,"")</f>
        <v/>
      </c>
      <c r="AR66" s="41" t="n">
        <v>358.82</v>
      </c>
      <c r="AS66" s="42">
        <f>J66/AR66-1</f>
        <v/>
      </c>
      <c r="AT66" s="48" t="n">
        <v>14.8374</v>
      </c>
      <c r="AU66" s="48" t="n">
        <v>14.8413</v>
      </c>
      <c r="AV66" s="48" t="n">
        <v>14.8423</v>
      </c>
      <c r="AW66" s="49">
        <f>AU66-AV66</f>
        <v/>
      </c>
      <c r="AX66" s="48" t="n">
        <v>-0.0039</v>
      </c>
      <c r="AY66" s="48" t="n">
        <v>0.6865</v>
      </c>
      <c r="AZ66" s="48" t="n">
        <v>1.3181</v>
      </c>
      <c r="BA66" s="38" t="inlineStr">
        <is>
          <t>深紅</t>
        </is>
      </c>
      <c r="BB66" s="38" t="inlineStr">
        <is>
          <t>—</t>
        </is>
      </c>
      <c r="BC66" s="38" t="inlineStr">
        <is>
          <t>—</t>
        </is>
      </c>
      <c r="BD66" s="38" t="inlineStr">
        <is>
          <t>淺綠 深綠 淺綠 淺綠 淺綠 淺綠 淺綠 深紅</t>
        </is>
      </c>
      <c r="BE66" s="38" t="inlineStr">
        <is>
          <t>上升通道</t>
        </is>
      </c>
      <c r="BF66" s="50" t="n">
        <v>0.948</v>
      </c>
      <c r="BG66" s="50" t="n">
        <v>1.1668</v>
      </c>
      <c r="BH66" s="50" t="n">
        <v>0.5661</v>
      </c>
      <c r="BI66" s="50" t="n">
        <v>0.6054</v>
      </c>
      <c r="BJ66" s="47" t="n">
        <v>3</v>
      </c>
      <c r="BK66" s="41" t="n">
        <v>367.43</v>
      </c>
      <c r="BL66" s="41" t="n">
        <v>269.3</v>
      </c>
      <c r="BM66" s="41" t="n">
        <v>324.8523</v>
      </c>
      <c r="BN66" s="50" t="n">
        <v>0.8566</v>
      </c>
      <c r="BO66" s="44">
        <f>IF(M66=N66,0.5,(J66-N66)/(M66-N66))</f>
        <v/>
      </c>
      <c r="BP66" s="51" t="n">
        <v>33.027</v>
      </c>
      <c r="BQ66" s="51" t="n">
        <v>27.986</v>
      </c>
      <c r="BR66" s="52">
        <f>100*(0.4*MIN(1,MAX(0,((U66*100)-(0.0))/((2.5)-(0.0))))+0.3*MIN(1,MAX(0,((V66)-(0.6))/((1.0)-(0.6))))+0.3*MIN(1,MAX(0,((BP66)-(0.0))/((15.0)-(0.0)))))</f>
        <v/>
      </c>
      <c r="BS66" s="52">
        <f>100*(0.4*MIN(1,MAX(0,((MIN(ABS(AA66),ABS(AB66)))-(0.75))/((0.0)-(0.75))))+0.3*MIN(1,MAX(0,((BN66)-(1.2))/((0.6)-(1.2))))+0.3*BO66)</f>
        <v/>
      </c>
      <c r="BT66" s="52">
        <f>100*(0.5*MIN(1,MAX(0,((AK66)-(1.0))/((4.0)-(1.0))))+0.3*MIN(1,MAX(0,((IF(ISNUMBER(AO66),AO66,0)*100)-(0.0))/((8.0)-(0.0))))+0.2*MIN(1,MAX(0,((IF(ISNUMBER(AP66),AP66,0))-(25.0))/((5.0)-(25.0)))))</f>
        <v/>
      </c>
      <c r="BU66" s="52">
        <f>100*(0.35*MIN(1,MAX(0,((ABS(BF66))-(0.3))/((0.05)-(0.3))))+0.3*MIN(1,MAX(0,((BG66)-(0.0))/((0.3)-(0.0))))+0.25*MIN(1,MAX(0,((BH66)-(0.4))/((0.7)-(0.4))))+0.1*IF(BJ66&gt;=2,1,0.5))</f>
        <v/>
      </c>
      <c r="BV66" s="53">
        <f>0.25*BR66+0.25*BS66+0.2*BT66+0.3*BU66</f>
        <v/>
      </c>
      <c r="BW66" s="38" t="inlineStr">
        <is>
          <t>C5 MACD慢線向上、C6 MACD柱轉勢</t>
        </is>
      </c>
      <c r="BX66" s="38" t="inlineStr"/>
    </row>
    <row r="67">
      <c r="A67" s="38" t="n">
        <v>3</v>
      </c>
      <c r="B67" s="38" t="n">
        <v>5</v>
      </c>
      <c r="C67" s="39" t="inlineStr">
        <is>
          <t>LTC</t>
        </is>
      </c>
      <c r="D67" s="38" t="inlineStr">
        <is>
          <t>LTC Properties Inc.</t>
        </is>
      </c>
      <c r="E67" s="38" t="inlineStr">
        <is>
          <t>NYSE</t>
        </is>
      </c>
      <c r="F67" s="38" t="inlineStr">
        <is>
          <t>房地產</t>
        </is>
      </c>
      <c r="G67" s="38" t="inlineStr">
        <is>
          <t>Real Estate Investment Trusts</t>
        </is>
      </c>
      <c r="H67" s="40" t="n">
        <v>2.311</v>
      </c>
      <c r="I67" s="38" t="inlineStr">
        <is>
          <t>中型</t>
        </is>
      </c>
      <c r="J67" s="41" t="n">
        <v>43</v>
      </c>
      <c r="K67" s="41" t="n">
        <v>42.67</v>
      </c>
      <c r="L67" s="42">
        <f>J67/K67-1</f>
        <v/>
      </c>
      <c r="M67" s="41" t="n">
        <v>43.42</v>
      </c>
      <c r="N67" s="41" t="n">
        <v>42.51</v>
      </c>
      <c r="O67" s="43" t="n">
        <v>721700</v>
      </c>
      <c r="P67" s="43" t="n">
        <v>668565</v>
      </c>
      <c r="Q67" s="44">
        <f>O67/P67</f>
        <v/>
      </c>
      <c r="R67" s="41" t="n">
        <v>42.8817</v>
      </c>
      <c r="S67" s="41" t="n">
        <v>42.5078</v>
      </c>
      <c r="T67" s="41" t="n">
        <v>42.2469</v>
      </c>
      <c r="U67" s="42">
        <f>S67/T67-1</f>
        <v/>
      </c>
      <c r="V67" s="45" t="n">
        <v>1</v>
      </c>
      <c r="W67" s="42">
        <f>J67/R67-1</f>
        <v/>
      </c>
      <c r="X67" s="42">
        <f>J67/S67-1</f>
        <v/>
      </c>
      <c r="Y67" s="41" t="n">
        <v>0.8405</v>
      </c>
      <c r="Z67" s="46">
        <f>Y67/J67</f>
        <v/>
      </c>
      <c r="AA67" s="44">
        <f>(J67-R67)/Y67</f>
        <v/>
      </c>
      <c r="AB67" s="44">
        <f>(J67-S67)/Y67</f>
        <v/>
      </c>
      <c r="AC67" s="38">
        <f>IF(ABS(AA67)&lt;=ABS(AB67),"9EMA","21EMA")</f>
        <v/>
      </c>
      <c r="AD67" s="38" t="inlineStr">
        <is>
          <t>9+21EMA</t>
        </is>
      </c>
      <c r="AE67" s="38" t="inlineStr">
        <is>
          <t>持續在上方</t>
        </is>
      </c>
      <c r="AF67" s="38" t="inlineStr"/>
      <c r="AG67" s="38" t="inlineStr"/>
      <c r="AH67" s="38" t="inlineStr">
        <is>
          <t>✓</t>
        </is>
      </c>
      <c r="AI67" s="38" t="inlineStr">
        <is>
          <t>2026-08-20</t>
        </is>
      </c>
      <c r="AJ67" s="38" t="n">
        <v>30</v>
      </c>
      <c r="AK67" s="47" t="n">
        <v>5</v>
      </c>
      <c r="AL67" s="38" t="inlineStr">
        <is>
          <t>2026-09-21</t>
        </is>
      </c>
      <c r="AM67" s="41" t="n">
        <v>42.06</v>
      </c>
      <c r="AN67" s="41" t="n">
        <v>40.82</v>
      </c>
      <c r="AO67" s="42">
        <f>IF(ISNUMBER(AN67),AM67/AN67-1,"")</f>
        <v/>
      </c>
      <c r="AP67" s="47" t="n">
        <v>9</v>
      </c>
      <c r="AQ67" s="42">
        <f>IF(ISNUMBER(AM67),J67/AM67-1,"")</f>
        <v/>
      </c>
      <c r="AR67" s="41" t="n">
        <v>43.5</v>
      </c>
      <c r="AS67" s="42">
        <f>J67/AR67-1</f>
        <v/>
      </c>
      <c r="AT67" s="48" t="n">
        <v>0.4967</v>
      </c>
      <c r="AU67" s="48" t="n">
        <v>0.5871</v>
      </c>
      <c r="AV67" s="48" t="n">
        <v>0.6097</v>
      </c>
      <c r="AW67" s="49">
        <f>AU67-AV67</f>
        <v/>
      </c>
      <c r="AX67" s="48" t="n">
        <v>-0.09039999999999999</v>
      </c>
      <c r="AY67" s="48" t="n">
        <v>-0.0919</v>
      </c>
      <c r="AZ67" s="48" t="n">
        <v>-0.062</v>
      </c>
      <c r="BA67" s="38" t="inlineStr">
        <is>
          <t>淺紅</t>
        </is>
      </c>
      <c r="BB67" s="38" t="inlineStr">
        <is>
          <t>深紅→淺紅</t>
        </is>
      </c>
      <c r="BC67" s="38" t="n">
        <v>0</v>
      </c>
      <c r="BD67" s="38" t="inlineStr">
        <is>
          <t>深紅 淺紅 深紅 深紅 深紅 深紅 深紅 淺紅</t>
        </is>
      </c>
      <c r="BE67" s="38" t="inlineStr">
        <is>
          <t>上升三角（平頂）</t>
        </is>
      </c>
      <c r="BF67" s="50" t="n">
        <v>-0.0145</v>
      </c>
      <c r="BG67" s="50" t="n">
        <v>0.3147</v>
      </c>
      <c r="BH67" s="50" t="n">
        <v>0.6892</v>
      </c>
      <c r="BI67" s="50" t="n">
        <v>0.6963</v>
      </c>
      <c r="BJ67" s="47" t="n">
        <v>13</v>
      </c>
      <c r="BK67" s="41" t="n">
        <v>43.6</v>
      </c>
      <c r="BL67" s="41" t="n">
        <v>40.17</v>
      </c>
      <c r="BM67" s="41" t="n">
        <v>42.5341</v>
      </c>
      <c r="BN67" s="50" t="n">
        <v>1.0242</v>
      </c>
      <c r="BO67" s="44">
        <f>IF(M67=N67,0.5,(J67-N67)/(M67-N67))</f>
        <v/>
      </c>
      <c r="BP67" s="51" t="n">
        <v>8.481</v>
      </c>
      <c r="BQ67" s="51" t="n">
        <v>3.44</v>
      </c>
      <c r="BR67" s="52">
        <f>100*(0.4*MIN(1,MAX(0,((U67*100)-(0.0))/((2.5)-(0.0))))+0.3*MIN(1,MAX(0,((V67)-(0.6))/((1.0)-(0.6))))+0.3*MIN(1,MAX(0,((BP67)-(0.0))/((15.0)-(0.0)))))</f>
        <v/>
      </c>
      <c r="BS67" s="52">
        <f>100*(0.4*MIN(1,MAX(0,((MIN(ABS(AA67),ABS(AB67)))-(0.75))/((0.0)-(0.75))))+0.3*MIN(1,MAX(0,((BN67)-(1.2))/((0.6)-(1.2))))+0.3*BO67)</f>
        <v/>
      </c>
      <c r="BT67" s="52">
        <f>100*(0.5*MIN(1,MAX(0,((AK67)-(1.0))/((4.0)-(1.0))))+0.3*MIN(1,MAX(0,((IF(ISNUMBER(AO67),AO67,0)*100)-(0.0))/((8.0)-(0.0))))+0.2*MIN(1,MAX(0,((IF(ISNUMBER(AP67),AP67,0))-(25.0))/((5.0)-(25.0)))))</f>
        <v/>
      </c>
      <c r="BU67" s="52">
        <f>100*(0.35*MIN(1,MAX(0,((ABS(BF67))-(0.3))/((0.05)-(0.3))))+0.3*MIN(1,MAX(0,((BG67)-(0.0))/((0.3)-(0.0))))+0.25*MIN(1,MAX(0,((BH67)-(0.4))/((0.7)-(0.4))))+0.1*IF(BJ67&gt;=2,1,0.5))</f>
        <v/>
      </c>
      <c r="BV67" s="53">
        <f>0.25*BR67+0.25*BS67+0.2*BT67+0.3*BU67</f>
        <v/>
      </c>
      <c r="BW67" s="38" t="inlineStr">
        <is>
          <t>C5 MACD慢線向上</t>
        </is>
      </c>
      <c r="BX67" s="38" t="inlineStr"/>
    </row>
    <row r="68">
      <c r="A68" s="38" t="n">
        <v>3</v>
      </c>
      <c r="B68" s="38" t="n">
        <v>6</v>
      </c>
      <c r="C68" s="39" t="inlineStr">
        <is>
          <t>NVAX</t>
        </is>
      </c>
      <c r="D68" s="38" t="inlineStr">
        <is>
          <t>Novavax Inc.</t>
        </is>
      </c>
      <c r="E68" s="38" t="inlineStr">
        <is>
          <t>NASDAQ</t>
        </is>
      </c>
      <c r="F68" s="38" t="inlineStr">
        <is>
          <t>醫療保健</t>
        </is>
      </c>
      <c r="G68" s="38" t="inlineStr">
        <is>
          <t>Biotechnology: Biological Products (No Diagnostic Substances)</t>
        </is>
      </c>
      <c r="H68" s="40" t="n">
        <v>1.783</v>
      </c>
      <c r="I68" s="38" t="inlineStr">
        <is>
          <t>小型</t>
        </is>
      </c>
      <c r="J68" s="41" t="n">
        <v>10.46</v>
      </c>
      <c r="K68" s="41" t="n">
        <v>10.6</v>
      </c>
      <c r="L68" s="42">
        <f>J68/K68-1</f>
        <v/>
      </c>
      <c r="M68" s="41" t="n">
        <v>10.86</v>
      </c>
      <c r="N68" s="41" t="n">
        <v>10.33</v>
      </c>
      <c r="O68" s="43" t="n">
        <v>4023000</v>
      </c>
      <c r="P68" s="43" t="n">
        <v>5167530</v>
      </c>
      <c r="Q68" s="44">
        <f>O68/P68</f>
        <v/>
      </c>
      <c r="R68" s="41" t="n">
        <v>10.5454</v>
      </c>
      <c r="S68" s="41" t="n">
        <v>10.1888</v>
      </c>
      <c r="T68" s="41" t="n">
        <v>9.8887</v>
      </c>
      <c r="U68" s="42">
        <f>S68/T68-1</f>
        <v/>
      </c>
      <c r="V68" s="45" t="n">
        <v>1</v>
      </c>
      <c r="W68" s="42">
        <f>J68/R68-1</f>
        <v/>
      </c>
      <c r="X68" s="42">
        <f>J68/S68-1</f>
        <v/>
      </c>
      <c r="Y68" s="41" t="n">
        <v>0.5659</v>
      </c>
      <c r="Z68" s="46">
        <f>Y68/J68</f>
        <v/>
      </c>
      <c r="AA68" s="44">
        <f>(J68-R68)/Y68</f>
        <v/>
      </c>
      <c r="AB68" s="44">
        <f>(J68-S68)/Y68</f>
        <v/>
      </c>
      <c r="AC68" s="38">
        <f>IF(ABS(AA68)&lt;=ABS(AB68),"9EMA","21EMA")</f>
        <v/>
      </c>
      <c r="AD68" s="38" t="inlineStr">
        <is>
          <t>9EMA</t>
        </is>
      </c>
      <c r="AE68" s="38" t="inlineStr">
        <is>
          <t>持續在上方</t>
        </is>
      </c>
      <c r="AF68" s="38" t="inlineStr"/>
      <c r="AG68" s="38" t="inlineStr"/>
      <c r="AH68" s="38" t="inlineStr">
        <is>
          <t>✓</t>
        </is>
      </c>
      <c r="AI68" s="38" t="inlineStr">
        <is>
          <t>2026-08-19</t>
        </is>
      </c>
      <c r="AJ68" s="38" t="n">
        <v>31</v>
      </c>
      <c r="AK68" s="47" t="n">
        <v>5</v>
      </c>
      <c r="AL68" s="38" t="inlineStr">
        <is>
          <t>2026-09-28</t>
        </is>
      </c>
      <c r="AM68" s="41" t="n">
        <v>10.26</v>
      </c>
      <c r="AN68" s="41" t="n">
        <v>9.109999999999999</v>
      </c>
      <c r="AO68" s="42">
        <f>IF(ISNUMBER(AN68),AM68/AN68-1,"")</f>
        <v/>
      </c>
      <c r="AP68" s="47" t="n">
        <v>4</v>
      </c>
      <c r="AQ68" s="42">
        <f>IF(ISNUMBER(AM68),J68/AM68-1,"")</f>
        <v/>
      </c>
      <c r="AR68" s="41" t="n">
        <v>10.83</v>
      </c>
      <c r="AS68" s="42">
        <f>J68/AR68-1</f>
        <v/>
      </c>
      <c r="AT68" s="48" t="n">
        <v>0.4176</v>
      </c>
      <c r="AU68" s="48" t="n">
        <v>0.4347</v>
      </c>
      <c r="AV68" s="48" t="n">
        <v>0.4389</v>
      </c>
      <c r="AW68" s="49">
        <f>AU68-AV68</f>
        <v/>
      </c>
      <c r="AX68" s="48" t="n">
        <v>-0.017</v>
      </c>
      <c r="AY68" s="48" t="n">
        <v>0.0125</v>
      </c>
      <c r="AZ68" s="48" t="n">
        <v>0.0379</v>
      </c>
      <c r="BA68" s="38" t="inlineStr">
        <is>
          <t>深紅</t>
        </is>
      </c>
      <c r="BB68" s="38" t="inlineStr">
        <is>
          <t>—</t>
        </is>
      </c>
      <c r="BC68" s="38" t="inlineStr">
        <is>
          <t>—</t>
        </is>
      </c>
      <c r="BD68" s="38" t="inlineStr">
        <is>
          <t>深綠 淺綠 淺綠 深綠 淺綠 淺綠 淺綠 深紅</t>
        </is>
      </c>
      <c r="BE68" s="38" t="inlineStr">
        <is>
          <t>上傾收窄（楔形）</t>
        </is>
      </c>
      <c r="BF68" s="50" t="n">
        <v>0.2283</v>
      </c>
      <c r="BG68" s="50" t="n">
        <v>0.6755</v>
      </c>
      <c r="BH68" s="50" t="n">
        <v>0.5588</v>
      </c>
      <c r="BI68" s="50" t="n">
        <v>0.5628</v>
      </c>
      <c r="BJ68" s="47" t="n">
        <v>6</v>
      </c>
      <c r="BK68" s="41" t="n">
        <v>11.11</v>
      </c>
      <c r="BL68" s="41" t="n">
        <v>8.890000000000001</v>
      </c>
      <c r="BM68" s="41" t="n">
        <v>10.1305</v>
      </c>
      <c r="BN68" s="50" t="n">
        <v>0.8608</v>
      </c>
      <c r="BO68" s="44">
        <f>IF(M68=N68,0.5,(J68-N68)/(M68-N68))</f>
        <v/>
      </c>
      <c r="BP68" s="51" t="n">
        <v>6.398</v>
      </c>
      <c r="BQ68" s="51" t="n">
        <v>1.357</v>
      </c>
      <c r="BR68" s="52">
        <f>100*(0.4*MIN(1,MAX(0,((U68*100)-(0.0))/((2.5)-(0.0))))+0.3*MIN(1,MAX(0,((V68)-(0.6))/((1.0)-(0.6))))+0.3*MIN(1,MAX(0,((BP68)-(0.0))/((15.0)-(0.0)))))</f>
        <v/>
      </c>
      <c r="BS68" s="52">
        <f>100*(0.4*MIN(1,MAX(0,((MIN(ABS(AA68),ABS(AB68)))-(0.75))/((0.0)-(0.75))))+0.3*MIN(1,MAX(0,((BN68)-(1.2))/((0.6)-(1.2))))+0.3*BO68)</f>
        <v/>
      </c>
      <c r="BT68" s="52">
        <f>100*(0.5*MIN(1,MAX(0,((AK68)-(1.0))/((4.0)-(1.0))))+0.3*MIN(1,MAX(0,((IF(ISNUMBER(AO68),AO68,0)*100)-(0.0))/((8.0)-(0.0))))+0.2*MIN(1,MAX(0,((IF(ISNUMBER(AP68),AP68,0))-(25.0))/((5.0)-(25.0)))))</f>
        <v/>
      </c>
      <c r="BU68" s="52">
        <f>100*(0.35*MIN(1,MAX(0,((ABS(BF68))-(0.3))/((0.05)-(0.3))))+0.3*MIN(1,MAX(0,((BG68)-(0.0))/((0.3)-(0.0))))+0.25*MIN(1,MAX(0,((BH68)-(0.4))/((0.7)-(0.4))))+0.1*IF(BJ68&gt;=2,1,0.5))</f>
        <v/>
      </c>
      <c r="BV68" s="53">
        <f>0.25*BR68+0.25*BS68+0.2*BT68+0.3*BU68</f>
        <v/>
      </c>
      <c r="BW68" s="38" t="inlineStr">
        <is>
          <t>C5 MACD慢線向上、C6 MACD柱轉勢</t>
        </is>
      </c>
      <c r="BX68" s="38" t="inlineStr"/>
    </row>
    <row r="69">
      <c r="A69" s="38" t="n">
        <v>3</v>
      </c>
      <c r="B69" s="38" t="n">
        <v>7</v>
      </c>
      <c r="C69" s="39" t="inlineStr">
        <is>
          <t>NUTX</t>
        </is>
      </c>
      <c r="D69" s="38" t="inlineStr">
        <is>
          <t>Nutex Health Inc.</t>
        </is>
      </c>
      <c r="E69" s="38" t="inlineStr">
        <is>
          <t>NASDAQ</t>
        </is>
      </c>
      <c r="F69" s="38" t="inlineStr">
        <is>
          <t>非必需消費</t>
        </is>
      </c>
      <c r="G69" s="38" t="inlineStr">
        <is>
          <t>Business Services</t>
        </is>
      </c>
      <c r="H69" s="40" t="n">
        <v>1.449</v>
      </c>
      <c r="I69" s="38" t="inlineStr">
        <is>
          <t>小型</t>
        </is>
      </c>
      <c r="J69" s="41" t="n">
        <v>216.5</v>
      </c>
      <c r="K69" s="41" t="n">
        <v>212.31</v>
      </c>
      <c r="L69" s="42">
        <f>J69/K69-1</f>
        <v/>
      </c>
      <c r="M69" s="41" t="n">
        <v>221.01</v>
      </c>
      <c r="N69" s="41" t="n">
        <v>212.59</v>
      </c>
      <c r="O69" s="43" t="n">
        <v>297100</v>
      </c>
      <c r="P69" s="43" t="n">
        <v>161855</v>
      </c>
      <c r="Q69" s="44">
        <f>O69/P69</f>
        <v/>
      </c>
      <c r="R69" s="41" t="n">
        <v>211.6083</v>
      </c>
      <c r="S69" s="41" t="n">
        <v>206.1376</v>
      </c>
      <c r="T69" s="41" t="n">
        <v>202.0351</v>
      </c>
      <c r="U69" s="42">
        <f>S69/T69-1</f>
        <v/>
      </c>
      <c r="V69" s="45" t="n">
        <v>1</v>
      </c>
      <c r="W69" s="42">
        <f>J69/R69-1</f>
        <v/>
      </c>
      <c r="X69" s="42">
        <f>J69/S69-1</f>
        <v/>
      </c>
      <c r="Y69" s="41" t="n">
        <v>10.4229</v>
      </c>
      <c r="Z69" s="46">
        <f>Y69/J69</f>
        <v/>
      </c>
      <c r="AA69" s="44">
        <f>(J69-R69)/Y69</f>
        <v/>
      </c>
      <c r="AB69" s="44">
        <f>(J69-S69)/Y69</f>
        <v/>
      </c>
      <c r="AC69" s="38">
        <f>IF(ABS(AA69)&lt;=ABS(AB69),"9EMA","21EMA")</f>
        <v/>
      </c>
      <c r="AD69" s="38" t="inlineStr">
        <is>
          <t>9EMA</t>
        </is>
      </c>
      <c r="AE69" s="38" t="inlineStr">
        <is>
          <t>持續在上方</t>
        </is>
      </c>
      <c r="AF69" s="38" t="inlineStr"/>
      <c r="AG69" s="38" t="inlineStr"/>
      <c r="AH69" s="38" t="inlineStr">
        <is>
          <t>✓</t>
        </is>
      </c>
      <c r="AI69" s="38" t="inlineStr">
        <is>
          <t>2026-08-10</t>
        </is>
      </c>
      <c r="AJ69" s="38" t="n">
        <v>38</v>
      </c>
      <c r="AK69" s="47" t="n">
        <v>5</v>
      </c>
      <c r="AL69" s="38" t="inlineStr">
        <is>
          <t>2026-09-24</t>
        </is>
      </c>
      <c r="AM69" s="41" t="n">
        <v>198.25</v>
      </c>
      <c r="AN69" s="41" t="n">
        <v>184</v>
      </c>
      <c r="AO69" s="42">
        <f>IF(ISNUMBER(AN69),AM69/AN69-1,"")</f>
        <v/>
      </c>
      <c r="AP69" s="47" t="n">
        <v>6</v>
      </c>
      <c r="AQ69" s="42">
        <f>IF(ISNUMBER(AM69),J69/AM69-1,"")</f>
        <v/>
      </c>
      <c r="AR69" s="41" t="n">
        <v>220.11</v>
      </c>
      <c r="AS69" s="42">
        <f>J69/AR69-1</f>
        <v/>
      </c>
      <c r="AT69" s="48" t="n">
        <v>6.7704</v>
      </c>
      <c r="AU69" s="48" t="n">
        <v>7.2827</v>
      </c>
      <c r="AV69" s="48" t="n">
        <v>7.4108</v>
      </c>
      <c r="AW69" s="49">
        <f>AU69-AV69</f>
        <v/>
      </c>
      <c r="AX69" s="48" t="n">
        <v>-0.5123</v>
      </c>
      <c r="AY69" s="48" t="n">
        <v>-0.7208</v>
      </c>
      <c r="AZ69" s="48" t="n">
        <v>-0.6743</v>
      </c>
      <c r="BA69" s="38" t="inlineStr">
        <is>
          <t>淺紅</t>
        </is>
      </c>
      <c r="BB69" s="38" t="inlineStr">
        <is>
          <t>深紅→淺紅</t>
        </is>
      </c>
      <c r="BC69" s="38" t="n">
        <v>0</v>
      </c>
      <c r="BD69" s="38" t="inlineStr">
        <is>
          <t>深紅 深紅 淺紅 深紅 深紅 深紅 深紅 淺紅</t>
        </is>
      </c>
      <c r="BE69" s="38" t="inlineStr">
        <is>
          <t>上傾擴張</t>
        </is>
      </c>
      <c r="BF69" s="50" t="n">
        <v>0.6624</v>
      </c>
      <c r="BG69" s="50" t="n">
        <v>0.4744</v>
      </c>
      <c r="BH69" s="50" t="n">
        <v>0.532</v>
      </c>
      <c r="BI69" s="50" t="n">
        <v>0.5329</v>
      </c>
      <c r="BJ69" s="47" t="n">
        <v>5</v>
      </c>
      <c r="BK69" s="41" t="n">
        <v>224.28</v>
      </c>
      <c r="BL69" s="41" t="n">
        <v>182.66</v>
      </c>
      <c r="BM69" s="41" t="n">
        <v>204.8026</v>
      </c>
      <c r="BN69" s="50" t="n">
        <v>0.7519</v>
      </c>
      <c r="BO69" s="44">
        <f>IF(M69=N69,0.5,(J69-N69)/(M69-N69))</f>
        <v/>
      </c>
      <c r="BP69" s="51" t="n">
        <v>17.801</v>
      </c>
      <c r="BQ69" s="51" t="n">
        <v>12.76</v>
      </c>
      <c r="BR69" s="52">
        <f>100*(0.4*MIN(1,MAX(0,((U69*100)-(0.0))/((2.5)-(0.0))))+0.3*MIN(1,MAX(0,((V69)-(0.6))/((1.0)-(0.6))))+0.3*MIN(1,MAX(0,((BP69)-(0.0))/((15.0)-(0.0)))))</f>
        <v/>
      </c>
      <c r="BS69" s="52">
        <f>100*(0.4*MIN(1,MAX(0,((MIN(ABS(AA69),ABS(AB69)))-(0.75))/((0.0)-(0.75))))+0.3*MIN(1,MAX(0,((BN69)-(1.2))/((0.6)-(1.2))))+0.3*BO69)</f>
        <v/>
      </c>
      <c r="BT69" s="52">
        <f>100*(0.5*MIN(1,MAX(0,((AK69)-(1.0))/((4.0)-(1.0))))+0.3*MIN(1,MAX(0,((IF(ISNUMBER(AO69),AO69,0)*100)-(0.0))/((8.0)-(0.0))))+0.2*MIN(1,MAX(0,((IF(ISNUMBER(AP69),AP69,0))-(25.0))/((5.0)-(25.0)))))</f>
        <v/>
      </c>
      <c r="BU69" s="52">
        <f>100*(0.35*MIN(1,MAX(0,((ABS(BF69))-(0.3))/((0.05)-(0.3))))+0.3*MIN(1,MAX(0,((BG69)-(0.0))/((0.3)-(0.0))))+0.25*MIN(1,MAX(0,((BH69)-(0.4))/((0.7)-(0.4))))+0.1*IF(BJ69&gt;=2,1,0.5))</f>
        <v/>
      </c>
      <c r="BV69" s="53">
        <f>0.25*BR69+0.25*BS69+0.2*BT69+0.3*BU69</f>
        <v/>
      </c>
      <c r="BW69" s="38" t="inlineStr">
        <is>
          <t>C5 MACD慢線向上</t>
        </is>
      </c>
      <c r="BX69" s="38" t="inlineStr"/>
    </row>
    <row r="70">
      <c r="A70" s="38" t="n">
        <v>3</v>
      </c>
      <c r="B70" s="38" t="n">
        <v>8</v>
      </c>
      <c r="C70" s="39" t="inlineStr">
        <is>
          <t>SMMT</t>
        </is>
      </c>
      <c r="D70" s="38" t="inlineStr">
        <is>
          <t>Summit Therapeutics Inc.</t>
        </is>
      </c>
      <c r="E70" s="38" t="inlineStr">
        <is>
          <t>NASDAQ</t>
        </is>
      </c>
      <c r="F70" s="38" t="inlineStr">
        <is>
          <t>醫療保健</t>
        </is>
      </c>
      <c r="G70" s="38" t="inlineStr">
        <is>
          <t>Biotechnology: Pharmaceutical Preparations</t>
        </is>
      </c>
      <c r="H70" s="40" t="n">
        <v>13.49</v>
      </c>
      <c r="I70" s="38" t="inlineStr">
        <is>
          <t>大型</t>
        </is>
      </c>
      <c r="J70" s="41" t="n">
        <v>16.755</v>
      </c>
      <c r="K70" s="41" t="n">
        <v>16.69</v>
      </c>
      <c r="L70" s="42">
        <f>J70/K70-1</f>
        <v/>
      </c>
      <c r="M70" s="41" t="n">
        <v>17.32</v>
      </c>
      <c r="N70" s="41" t="n">
        <v>16.66</v>
      </c>
      <c r="O70" s="43" t="n">
        <v>5190100</v>
      </c>
      <c r="P70" s="43" t="n">
        <v>7425085</v>
      </c>
      <c r="Q70" s="44">
        <f>O70/P70</f>
        <v/>
      </c>
      <c r="R70" s="41" t="n">
        <v>16.59</v>
      </c>
      <c r="S70" s="41" t="n">
        <v>16.3828</v>
      </c>
      <c r="T70" s="41" t="n">
        <v>16.3132</v>
      </c>
      <c r="U70" s="42">
        <f>S70/T70-1</f>
        <v/>
      </c>
      <c r="V70" s="45" t="n">
        <v>0.7</v>
      </c>
      <c r="W70" s="42">
        <f>J70/R70-1</f>
        <v/>
      </c>
      <c r="X70" s="42">
        <f>J70/S70-1</f>
        <v/>
      </c>
      <c r="Y70" s="41" t="n">
        <v>1.1153</v>
      </c>
      <c r="Z70" s="46">
        <f>Y70/J70</f>
        <v/>
      </c>
      <c r="AA70" s="44">
        <f>(J70-R70)/Y70</f>
        <v/>
      </c>
      <c r="AB70" s="44">
        <f>(J70-S70)/Y70</f>
        <v/>
      </c>
      <c r="AC70" s="38">
        <f>IF(ABS(AA70)&lt;=ABS(AB70),"9EMA","21EMA")</f>
        <v/>
      </c>
      <c r="AD70" s="38" t="inlineStr">
        <is>
          <t>9+21EMA</t>
        </is>
      </c>
      <c r="AE70" s="38" t="inlineStr">
        <is>
          <t>持續在上方</t>
        </is>
      </c>
      <c r="AF70" s="38" t="inlineStr"/>
      <c r="AG70" s="38" t="inlineStr"/>
      <c r="AH70" s="38" t="inlineStr">
        <is>
          <t>✓</t>
        </is>
      </c>
      <c r="AI70" s="38" t="inlineStr">
        <is>
          <t>2026-09-01</t>
        </is>
      </c>
      <c r="AJ70" s="38" t="n">
        <v>22</v>
      </c>
      <c r="AK70" s="47" t="n">
        <v>4</v>
      </c>
      <c r="AL70" s="38" t="inlineStr">
        <is>
          <t>2026-09-28</t>
        </is>
      </c>
      <c r="AM70" s="41" t="n">
        <v>15.18</v>
      </c>
      <c r="AN70" s="41" t="n">
        <v>13.37</v>
      </c>
      <c r="AO70" s="42">
        <f>IF(ISNUMBER(AN70),AM70/AN70-1,"")</f>
        <v/>
      </c>
      <c r="AP70" s="47" t="n">
        <v>4</v>
      </c>
      <c r="AQ70" s="42">
        <f>IF(ISNUMBER(AM70),J70/AM70-1,"")</f>
        <v/>
      </c>
      <c r="AR70" s="41" t="n">
        <v>18.42</v>
      </c>
      <c r="AS70" s="42">
        <f>J70/AR70-1</f>
        <v/>
      </c>
      <c r="AT70" s="48" t="n">
        <v>0.3517</v>
      </c>
      <c r="AU70" s="48" t="n">
        <v>0.5012</v>
      </c>
      <c r="AV70" s="48" t="n">
        <v>0.5385</v>
      </c>
      <c r="AW70" s="49">
        <f>AU70-AV70</f>
        <v/>
      </c>
      <c r="AX70" s="48" t="n">
        <v>-0.1495</v>
      </c>
      <c r="AY70" s="48" t="n">
        <v>-0.1763</v>
      </c>
      <c r="AZ70" s="48" t="n">
        <v>-0.2055</v>
      </c>
      <c r="BA70" s="38" t="inlineStr">
        <is>
          <t>淺紅</t>
        </is>
      </c>
      <c r="BB70" s="38" t="inlineStr">
        <is>
          <t>深紅→淺紅</t>
        </is>
      </c>
      <c r="BC70" s="38" t="n">
        <v>3</v>
      </c>
      <c r="BD70" s="38" t="inlineStr">
        <is>
          <t>深紅 深紅 深紅 深紅 淺紅 淺紅 淺紅 淺紅</t>
        </is>
      </c>
      <c r="BE70" s="38" t="inlineStr">
        <is>
          <t>上傾收窄（楔形）</t>
        </is>
      </c>
      <c r="BF70" s="50" t="n">
        <v>0.1584</v>
      </c>
      <c r="BG70" s="50" t="n">
        <v>0.6002</v>
      </c>
      <c r="BH70" s="50" t="n">
        <v>0.5843</v>
      </c>
      <c r="BI70" s="50" t="n">
        <v>0.6442</v>
      </c>
      <c r="BJ70" s="47" t="n">
        <v>2</v>
      </c>
      <c r="BK70" s="41" t="n">
        <v>19.09</v>
      </c>
      <c r="BL70" s="41" t="n">
        <v>13.37</v>
      </c>
      <c r="BM70" s="41" t="n">
        <v>16.712</v>
      </c>
      <c r="BN70" s="50" t="n">
        <v>0.4324</v>
      </c>
      <c r="BO70" s="44">
        <f>IF(M70=N70,0.5,(J70-N70)/(M70-N70))</f>
        <v/>
      </c>
      <c r="BP70" s="51" t="n">
        <v>19.801</v>
      </c>
      <c r="BQ70" s="51" t="n">
        <v>14.76</v>
      </c>
      <c r="BR70" s="52">
        <f>100*(0.4*MIN(1,MAX(0,((U70*100)-(0.0))/((2.5)-(0.0))))+0.3*MIN(1,MAX(0,((V70)-(0.6))/((1.0)-(0.6))))+0.3*MIN(1,MAX(0,((BP70)-(0.0))/((15.0)-(0.0)))))</f>
        <v/>
      </c>
      <c r="BS70" s="52">
        <f>100*(0.4*MIN(1,MAX(0,((MIN(ABS(AA70),ABS(AB70)))-(0.75))/((0.0)-(0.75))))+0.3*MIN(1,MAX(0,((BN70)-(1.2))/((0.6)-(1.2))))+0.3*BO70)</f>
        <v/>
      </c>
      <c r="BT70" s="52">
        <f>100*(0.5*MIN(1,MAX(0,((AK70)-(1.0))/((4.0)-(1.0))))+0.3*MIN(1,MAX(0,((IF(ISNUMBER(AO70),AO70,0)*100)-(0.0))/((8.0)-(0.0))))+0.2*MIN(1,MAX(0,((IF(ISNUMBER(AP70),AP70,0))-(25.0))/((5.0)-(25.0)))))</f>
        <v/>
      </c>
      <c r="BU70" s="52">
        <f>100*(0.35*MIN(1,MAX(0,((ABS(BF70))-(0.3))/((0.05)-(0.3))))+0.3*MIN(1,MAX(0,((BG70)-(0.0))/((0.3)-(0.0))))+0.25*MIN(1,MAX(0,((BH70)-(0.4))/((0.7)-(0.4))))+0.1*IF(BJ70&gt;=2,1,0.5))</f>
        <v/>
      </c>
      <c r="BV70" s="53">
        <f>0.25*BR70+0.25*BS70+0.2*BT70+0.3*BU70</f>
        <v/>
      </c>
      <c r="BW70" s="38" t="inlineStr">
        <is>
          <t>C5 MACD慢線向上</t>
        </is>
      </c>
      <c r="BX70" s="38" t="inlineStr"/>
    </row>
    <row r="71">
      <c r="A71" s="38" t="n">
        <v>3</v>
      </c>
      <c r="B71" s="38" t="n">
        <v>9</v>
      </c>
      <c r="C71" s="39" t="inlineStr">
        <is>
          <t>FLGT</t>
        </is>
      </c>
      <c r="D71" s="38" t="inlineStr">
        <is>
          <t>Fulgent Genetics Inc.</t>
        </is>
      </c>
      <c r="E71" s="38" t="inlineStr">
        <is>
          <t>NASDAQ</t>
        </is>
      </c>
      <c r="F71" s="38" t="inlineStr">
        <is>
          <t>醫療保健</t>
        </is>
      </c>
      <c r="G71" s="38" t="inlineStr">
        <is>
          <t>Medical Specialities</t>
        </is>
      </c>
      <c r="H71" s="40" t="n">
        <v>0.606</v>
      </c>
      <c r="I71" s="38" t="inlineStr">
        <is>
          <t>小型</t>
        </is>
      </c>
      <c r="J71" s="41" t="n">
        <v>21.48</v>
      </c>
      <c r="K71" s="41" t="n">
        <v>21.3</v>
      </c>
      <c r="L71" s="42">
        <f>J71/K71-1</f>
        <v/>
      </c>
      <c r="M71" s="41" t="n">
        <v>21.64</v>
      </c>
      <c r="N71" s="41" t="n">
        <v>21.065</v>
      </c>
      <c r="O71" s="43" t="n">
        <v>297600</v>
      </c>
      <c r="P71" s="43" t="n">
        <v>330705</v>
      </c>
      <c r="Q71" s="44">
        <f>O71/P71</f>
        <v/>
      </c>
      <c r="R71" s="41" t="n">
        <v>21.6537</v>
      </c>
      <c r="S71" s="41" t="n">
        <v>21.2219</v>
      </c>
      <c r="T71" s="41" t="n">
        <v>20.8689</v>
      </c>
      <c r="U71" s="42">
        <f>S71/T71-1</f>
        <v/>
      </c>
      <c r="V71" s="45" t="n">
        <v>1</v>
      </c>
      <c r="W71" s="42">
        <f>J71/R71-1</f>
        <v/>
      </c>
      <c r="X71" s="42">
        <f>J71/S71-1</f>
        <v/>
      </c>
      <c r="Y71" s="41" t="n">
        <v>0.6604</v>
      </c>
      <c r="Z71" s="46">
        <f>Y71/J71</f>
        <v/>
      </c>
      <c r="AA71" s="44">
        <f>(J71-R71)/Y71</f>
        <v/>
      </c>
      <c r="AB71" s="44">
        <f>(J71-S71)/Y71</f>
        <v/>
      </c>
      <c r="AC71" s="38">
        <f>IF(ABS(AA71)&lt;=ABS(AB71),"9EMA","21EMA")</f>
        <v/>
      </c>
      <c r="AD71" s="38" t="inlineStr">
        <is>
          <t>9+21EMA</t>
        </is>
      </c>
      <c r="AE71" s="38" t="inlineStr">
        <is>
          <t>持續在上方</t>
        </is>
      </c>
      <c r="AF71" s="38" t="inlineStr"/>
      <c r="AG71" s="38" t="inlineStr"/>
      <c r="AH71" s="38" t="inlineStr">
        <is>
          <t>✓</t>
        </is>
      </c>
      <c r="AI71" s="38" t="inlineStr">
        <is>
          <t>2026-08-20</t>
        </is>
      </c>
      <c r="AJ71" s="38" t="n">
        <v>30</v>
      </c>
      <c r="AK71" s="47" t="n">
        <v>4</v>
      </c>
      <c r="AL71" s="38" t="inlineStr">
        <is>
          <t>2026-09-21</t>
        </is>
      </c>
      <c r="AM71" s="41" t="n">
        <v>21.01</v>
      </c>
      <c r="AN71" s="41" t="n">
        <v>19.04</v>
      </c>
      <c r="AO71" s="42">
        <f>IF(ISNUMBER(AN71),AM71/AN71-1,"")</f>
        <v/>
      </c>
      <c r="AP71" s="47" t="n">
        <v>9</v>
      </c>
      <c r="AQ71" s="42">
        <f>IF(ISNUMBER(AM71),J71/AM71-1,"")</f>
        <v/>
      </c>
      <c r="AR71" s="41" t="n">
        <v>22.36</v>
      </c>
      <c r="AS71" s="42">
        <f>J71/AR71-1</f>
        <v/>
      </c>
      <c r="AT71" s="48" t="n">
        <v>0.5189</v>
      </c>
      <c r="AU71" s="48" t="n">
        <v>0.5685</v>
      </c>
      <c r="AV71" s="48" t="n">
        <v>0.581</v>
      </c>
      <c r="AW71" s="49">
        <f>AU71-AV71</f>
        <v/>
      </c>
      <c r="AX71" s="48" t="n">
        <v>-0.0496</v>
      </c>
      <c r="AY71" s="48" t="n">
        <v>-0.0119</v>
      </c>
      <c r="AZ71" s="48" t="n">
        <v>0.0593</v>
      </c>
      <c r="BA71" s="38" t="inlineStr">
        <is>
          <t>深紅</t>
        </is>
      </c>
      <c r="BB71" s="38" t="inlineStr">
        <is>
          <t>—</t>
        </is>
      </c>
      <c r="BC71" s="38" t="inlineStr">
        <is>
          <t>—</t>
        </is>
      </c>
      <c r="BD71" s="38" t="inlineStr">
        <is>
          <t>淺綠 淺綠 深綠 深綠 淺綠 淺綠 深紅 深紅</t>
        </is>
      </c>
      <c r="BE71" s="38" t="inlineStr">
        <is>
          <t>上升通道</t>
        </is>
      </c>
      <c r="BF71" s="50" t="n">
        <v>0.6232</v>
      </c>
      <c r="BG71" s="50" t="n">
        <v>0.6551</v>
      </c>
      <c r="BH71" s="50" t="n">
        <v>0.5294</v>
      </c>
      <c r="BI71" s="50" t="n">
        <v>0.5182</v>
      </c>
      <c r="BJ71" s="47" t="n">
        <v>2</v>
      </c>
      <c r="BK71" s="41" t="n">
        <v>22.59</v>
      </c>
      <c r="BL71" s="41" t="n">
        <v>19.04</v>
      </c>
      <c r="BM71" s="41" t="n">
        <v>20.9193</v>
      </c>
      <c r="BN71" s="50" t="n">
        <v>0.9792</v>
      </c>
      <c r="BO71" s="44">
        <f>IF(M71=N71,0.5,(J71-N71)/(M71-N71))</f>
        <v/>
      </c>
      <c r="BP71" s="51" t="n">
        <v>12.227</v>
      </c>
      <c r="BQ71" s="51" t="n">
        <v>7.186</v>
      </c>
      <c r="BR71" s="52">
        <f>100*(0.4*MIN(1,MAX(0,((U71*100)-(0.0))/((2.5)-(0.0))))+0.3*MIN(1,MAX(0,((V71)-(0.6))/((1.0)-(0.6))))+0.3*MIN(1,MAX(0,((BP71)-(0.0))/((15.0)-(0.0)))))</f>
        <v/>
      </c>
      <c r="BS71" s="52">
        <f>100*(0.4*MIN(1,MAX(0,((MIN(ABS(AA71),ABS(AB71)))-(0.75))/((0.0)-(0.75))))+0.3*MIN(1,MAX(0,((BN71)-(1.2))/((0.6)-(1.2))))+0.3*BO71)</f>
        <v/>
      </c>
      <c r="BT71" s="52">
        <f>100*(0.5*MIN(1,MAX(0,((AK71)-(1.0))/((4.0)-(1.0))))+0.3*MIN(1,MAX(0,((IF(ISNUMBER(AO71),AO71,0)*100)-(0.0))/((8.0)-(0.0))))+0.2*MIN(1,MAX(0,((IF(ISNUMBER(AP71),AP71,0))-(25.0))/((5.0)-(25.0)))))</f>
        <v/>
      </c>
      <c r="BU71" s="52">
        <f>100*(0.35*MIN(1,MAX(0,((ABS(BF71))-(0.3))/((0.05)-(0.3))))+0.3*MIN(1,MAX(0,((BG71)-(0.0))/((0.3)-(0.0))))+0.25*MIN(1,MAX(0,((BH71)-(0.4))/((0.7)-(0.4))))+0.1*IF(BJ71&gt;=2,1,0.5))</f>
        <v/>
      </c>
      <c r="BV71" s="53">
        <f>0.25*BR71+0.25*BS71+0.2*BT71+0.3*BU71</f>
        <v/>
      </c>
      <c r="BW71" s="38" t="inlineStr">
        <is>
          <t>C5 MACD慢線向上、C6 MACD柱轉勢</t>
        </is>
      </c>
      <c r="BX71" s="38" t="inlineStr"/>
    </row>
    <row r="72">
      <c r="A72" s="38" t="n">
        <v>3</v>
      </c>
      <c r="B72" s="38" t="n">
        <v>10</v>
      </c>
      <c r="C72" s="39" t="inlineStr">
        <is>
          <t>HURN</t>
        </is>
      </c>
      <c r="D72" s="38" t="inlineStr">
        <is>
          <t>Huron Consulting Group Inc.</t>
        </is>
      </c>
      <c r="E72" s="38" t="inlineStr">
        <is>
          <t>NASDAQ</t>
        </is>
      </c>
      <c r="F72" s="38" t="inlineStr">
        <is>
          <t>非必需消費</t>
        </is>
      </c>
      <c r="G72" s="38" t="inlineStr">
        <is>
          <t>Professional Services</t>
        </is>
      </c>
      <c r="H72" s="40" t="n">
        <v>2.495</v>
      </c>
      <c r="I72" s="38" t="inlineStr">
        <is>
          <t>中型</t>
        </is>
      </c>
      <c r="J72" s="41" t="n">
        <v>162.15</v>
      </c>
      <c r="K72" s="41" t="n">
        <v>168.42</v>
      </c>
      <c r="L72" s="42">
        <f>J72/K72-1</f>
        <v/>
      </c>
      <c r="M72" s="41" t="n">
        <v>168</v>
      </c>
      <c r="N72" s="41" t="n">
        <v>161.12</v>
      </c>
      <c r="O72" s="43" t="n">
        <v>269900</v>
      </c>
      <c r="P72" s="43" t="n">
        <v>253100</v>
      </c>
      <c r="Q72" s="44">
        <f>O72/P72</f>
        <v/>
      </c>
      <c r="R72" s="41" t="n">
        <v>159.9353</v>
      </c>
      <c r="S72" s="41" t="n">
        <v>157.5206</v>
      </c>
      <c r="T72" s="41" t="n">
        <v>155.5934</v>
      </c>
      <c r="U72" s="42">
        <f>S72/T72-1</f>
        <v/>
      </c>
      <c r="V72" s="45" t="n">
        <v>1</v>
      </c>
      <c r="W72" s="42">
        <f>J72/R72-1</f>
        <v/>
      </c>
      <c r="X72" s="42">
        <f>J72/S72-1</f>
        <v/>
      </c>
      <c r="Y72" s="41" t="n">
        <v>5.5545</v>
      </c>
      <c r="Z72" s="46">
        <f>Y72/J72</f>
        <v/>
      </c>
      <c r="AA72" s="44">
        <f>(J72-R72)/Y72</f>
        <v/>
      </c>
      <c r="AB72" s="44">
        <f>(J72-S72)/Y72</f>
        <v/>
      </c>
      <c r="AC72" s="38">
        <f>IF(ABS(AA72)&lt;=ABS(AB72),"9EMA","21EMA")</f>
        <v/>
      </c>
      <c r="AD72" s="38" t="inlineStr">
        <is>
          <t>9+21EMA</t>
        </is>
      </c>
      <c r="AE72" s="38" t="inlineStr">
        <is>
          <t>持續在上方</t>
        </is>
      </c>
      <c r="AF72" s="38" t="inlineStr"/>
      <c r="AG72" s="38" t="inlineStr"/>
      <c r="AH72" s="38" t="inlineStr">
        <is>
          <t>✓</t>
        </is>
      </c>
      <c r="AI72" s="38" t="inlineStr">
        <is>
          <t>2026-07-13</t>
        </is>
      </c>
      <c r="AJ72" s="38" t="n">
        <v>58</v>
      </c>
      <c r="AK72" s="47" t="n">
        <v>2</v>
      </c>
      <c r="AL72" s="38" t="inlineStr">
        <is>
          <t>2026-09-29</t>
        </is>
      </c>
      <c r="AM72" s="41" t="n">
        <v>155.46</v>
      </c>
      <c r="AN72" s="41" t="n">
        <v>144.2</v>
      </c>
      <c r="AO72" s="42">
        <f>IF(ISNUMBER(AN72),AM72/AN72-1,"")</f>
        <v/>
      </c>
      <c r="AP72" s="47" t="n">
        <v>3</v>
      </c>
      <c r="AQ72" s="42">
        <f>IF(ISNUMBER(AM72),J72/AM72-1,"")</f>
        <v/>
      </c>
      <c r="AR72" s="41" t="n">
        <v>168.42</v>
      </c>
      <c r="AS72" s="42">
        <f>J72/AR72-1</f>
        <v/>
      </c>
      <c r="AT72" s="48" t="n">
        <v>2.8173</v>
      </c>
      <c r="AU72" s="48" t="n">
        <v>2.587</v>
      </c>
      <c r="AV72" s="48" t="n">
        <v>2.5295</v>
      </c>
      <c r="AW72" s="49">
        <f>AU72-AV72</f>
        <v/>
      </c>
      <c r="AX72" s="48" t="n">
        <v>0.2303</v>
      </c>
      <c r="AY72" s="48" t="n">
        <v>0.2156</v>
      </c>
      <c r="AZ72" s="48" t="n">
        <v>-0.501</v>
      </c>
      <c r="BA72" s="38" t="inlineStr">
        <is>
          <t>深綠</t>
        </is>
      </c>
      <c r="BB72" s="38" t="inlineStr">
        <is>
          <t>—</t>
        </is>
      </c>
      <c r="BC72" s="38" t="inlineStr">
        <is>
          <t>—</t>
        </is>
      </c>
      <c r="BD72" s="38" t="inlineStr">
        <is>
          <t>淺紅 深紅 深紅 深紅 深紅 深紅 深綠 深綠</t>
        </is>
      </c>
      <c r="BE72" s="38" t="inlineStr">
        <is>
          <t>上升三角（平頂）</t>
        </is>
      </c>
      <c r="BF72" s="50" t="n">
        <v>-0.0116</v>
      </c>
      <c r="BG72" s="50" t="n">
        <v>0.496</v>
      </c>
      <c r="BH72" s="50" t="n">
        <v>0.5459000000000001</v>
      </c>
      <c r="BI72" s="50" t="n">
        <v>0.4978</v>
      </c>
      <c r="BJ72" s="47" t="n">
        <v>2</v>
      </c>
      <c r="BK72" s="41" t="n">
        <v>169.45</v>
      </c>
      <c r="BL72" s="41" t="n">
        <v>144.2</v>
      </c>
      <c r="BM72" s="41" t="n">
        <v>157.9837</v>
      </c>
      <c r="BN72" s="50" t="n">
        <v>0.6216</v>
      </c>
      <c r="BO72" s="44">
        <f>IF(M72=N72,0.5,(J72-N72)/(M72-N72))</f>
        <v/>
      </c>
      <c r="BP72" s="51" t="n">
        <v>8.558999999999999</v>
      </c>
      <c r="BQ72" s="51" t="n">
        <v>3.518</v>
      </c>
      <c r="BR72" s="52">
        <f>100*(0.4*MIN(1,MAX(0,((U72*100)-(0.0))/((2.5)-(0.0))))+0.3*MIN(1,MAX(0,((V72)-(0.6))/((1.0)-(0.6))))+0.3*MIN(1,MAX(0,((BP72)-(0.0))/((15.0)-(0.0)))))</f>
        <v/>
      </c>
      <c r="BS72" s="52">
        <f>100*(0.4*MIN(1,MAX(0,((MIN(ABS(AA72),ABS(AB72)))-(0.75))/((0.0)-(0.75))))+0.3*MIN(1,MAX(0,((BN72)-(1.2))/((0.6)-(1.2))))+0.3*BO72)</f>
        <v/>
      </c>
      <c r="BT72" s="52">
        <f>100*(0.5*MIN(1,MAX(0,((AK72)-(1.0))/((4.0)-(1.0))))+0.3*MIN(1,MAX(0,((IF(ISNUMBER(AO72),AO72,0)*100)-(0.0))/((8.0)-(0.0))))+0.2*MIN(1,MAX(0,((IF(ISNUMBER(AP72),AP72,0))-(25.0))/((5.0)-(25.0)))))</f>
        <v/>
      </c>
      <c r="BU72" s="52">
        <f>100*(0.35*MIN(1,MAX(0,((ABS(BF72))-(0.3))/((0.05)-(0.3))))+0.3*MIN(1,MAX(0,((BG72)-(0.0))/((0.3)-(0.0))))+0.25*MIN(1,MAX(0,((BH72)-(0.4))/((0.7)-(0.4))))+0.1*IF(BJ72&gt;=2,1,0.5))</f>
        <v/>
      </c>
      <c r="BV72" s="53">
        <f>0.25*BR72+0.25*BS72+0.2*BT72+0.3*BU72</f>
        <v/>
      </c>
      <c r="BW72" s="38" t="inlineStr">
        <is>
          <t>C6 MACD柱轉勢</t>
        </is>
      </c>
      <c r="BX72" s="38" t="inlineStr"/>
    </row>
    <row r="73">
      <c r="A73" s="38" t="n">
        <v>3</v>
      </c>
      <c r="B73" s="38" t="n">
        <v>11</v>
      </c>
      <c r="C73" s="39" t="inlineStr">
        <is>
          <t>MG</t>
        </is>
      </c>
      <c r="D73" s="38" t="inlineStr">
        <is>
          <t>Mistras Group Inc</t>
        </is>
      </c>
      <c r="E73" s="38" t="inlineStr">
        <is>
          <t>NYSE</t>
        </is>
      </c>
      <c r="F73" s="38" t="inlineStr">
        <is>
          <t>非必需消費</t>
        </is>
      </c>
      <c r="G73" s="38" t="inlineStr">
        <is>
          <t>Military/Government/Technical</t>
        </is>
      </c>
      <c r="H73" s="40" t="n">
        <v>0.671</v>
      </c>
      <c r="I73" s="38" t="inlineStr">
        <is>
          <t>小型</t>
        </is>
      </c>
      <c r="J73" s="41" t="n">
        <v>20.65</v>
      </c>
      <c r="K73" s="41" t="n">
        <v>20.63</v>
      </c>
      <c r="L73" s="42">
        <f>J73/K73-1</f>
        <v/>
      </c>
      <c r="M73" s="41" t="n">
        <v>20.85</v>
      </c>
      <c r="N73" s="41" t="n">
        <v>20.6</v>
      </c>
      <c r="O73" s="43" t="n">
        <v>344300</v>
      </c>
      <c r="P73" s="43" t="n">
        <v>519735</v>
      </c>
      <c r="Q73" s="44">
        <f>O73/P73</f>
        <v/>
      </c>
      <c r="R73" s="41" t="n">
        <v>20.8751</v>
      </c>
      <c r="S73" s="41" t="n">
        <v>20.3491</v>
      </c>
      <c r="T73" s="41" t="n">
        <v>19.9486</v>
      </c>
      <c r="U73" s="42">
        <f>S73/T73-1</f>
        <v/>
      </c>
      <c r="V73" s="45" t="n">
        <v>1</v>
      </c>
      <c r="W73" s="42">
        <f>J73/R73-1</f>
        <v/>
      </c>
      <c r="X73" s="42">
        <f>J73/S73-1</f>
        <v/>
      </c>
      <c r="Y73" s="41" t="n">
        <v>0.6382</v>
      </c>
      <c r="Z73" s="46">
        <f>Y73/J73</f>
        <v/>
      </c>
      <c r="AA73" s="44">
        <f>(J73-R73)/Y73</f>
        <v/>
      </c>
      <c r="AB73" s="44">
        <f>(J73-S73)/Y73</f>
        <v/>
      </c>
      <c r="AC73" s="38">
        <f>IF(ABS(AA73)&lt;=ABS(AB73),"9EMA","21EMA")</f>
        <v/>
      </c>
      <c r="AD73" s="38" t="inlineStr">
        <is>
          <t>9EMA</t>
        </is>
      </c>
      <c r="AE73" s="38" t="inlineStr">
        <is>
          <t>持續在上方</t>
        </is>
      </c>
      <c r="AF73" s="38" t="inlineStr"/>
      <c r="AG73" s="38" t="inlineStr"/>
      <c r="AH73" s="38" t="inlineStr">
        <is>
          <t>✓</t>
        </is>
      </c>
      <c r="AI73" s="38" t="inlineStr">
        <is>
          <t>2026-08-11</t>
        </is>
      </c>
      <c r="AJ73" s="38" t="n">
        <v>37</v>
      </c>
      <c r="AK73" s="47" t="n">
        <v>4</v>
      </c>
      <c r="AL73" s="38" t="inlineStr">
        <is>
          <t>2026-09-23</t>
        </is>
      </c>
      <c r="AM73" s="41" t="n">
        <v>20.51</v>
      </c>
      <c r="AN73" s="41" t="n">
        <v>19.15</v>
      </c>
      <c r="AO73" s="42">
        <f>IF(ISNUMBER(AN73),AM73/AN73-1,"")</f>
        <v/>
      </c>
      <c r="AP73" s="47" t="n">
        <v>7</v>
      </c>
      <c r="AQ73" s="42">
        <f>IF(ISNUMBER(AM73),J73/AM73-1,"")</f>
        <v/>
      </c>
      <c r="AR73" s="41" t="n">
        <v>21.59</v>
      </c>
      <c r="AS73" s="42">
        <f>J73/AR73-1</f>
        <v/>
      </c>
      <c r="AT73" s="48" t="n">
        <v>0.6584</v>
      </c>
      <c r="AU73" s="48" t="n">
        <v>0.7375</v>
      </c>
      <c r="AV73" s="48" t="n">
        <v>0.7572</v>
      </c>
      <c r="AW73" s="49">
        <f>AU73-AV73</f>
        <v/>
      </c>
      <c r="AX73" s="48" t="n">
        <v>-0.0791</v>
      </c>
      <c r="AY73" s="48" t="n">
        <v>-0.034</v>
      </c>
      <c r="AZ73" s="48" t="n">
        <v>0.0319</v>
      </c>
      <c r="BA73" s="38" t="inlineStr">
        <is>
          <t>深紅</t>
        </is>
      </c>
      <c r="BB73" s="38" t="inlineStr">
        <is>
          <t>—</t>
        </is>
      </c>
      <c r="BC73" s="38" t="inlineStr">
        <is>
          <t>—</t>
        </is>
      </c>
      <c r="BD73" s="38" t="inlineStr">
        <is>
          <t>深綠 深綠 深綠 淺綠 淺綠 淺綠 深紅 深紅</t>
        </is>
      </c>
      <c r="BE73" s="38" t="inlineStr">
        <is>
          <t>上升通道</t>
        </is>
      </c>
      <c r="BF73" s="50" t="n">
        <v>0.6914</v>
      </c>
      <c r="BG73" s="50" t="n">
        <v>0.6998</v>
      </c>
      <c r="BH73" s="50" t="n">
        <v>0.6298</v>
      </c>
      <c r="BI73" s="50" t="n">
        <v>0.6281</v>
      </c>
      <c r="BJ73" s="47" t="n">
        <v>4</v>
      </c>
      <c r="BK73" s="41" t="n">
        <v>21.77</v>
      </c>
      <c r="BL73" s="41" t="n">
        <v>18.17</v>
      </c>
      <c r="BM73" s="41" t="n">
        <v>20.4371</v>
      </c>
      <c r="BN73" s="50" t="n">
        <v>0.8971</v>
      </c>
      <c r="BO73" s="44">
        <f>IF(M73=N73,0.5,(J73-N73)/(M73-N73))</f>
        <v/>
      </c>
      <c r="BP73" s="51" t="n">
        <v>11.539</v>
      </c>
      <c r="BQ73" s="51" t="n">
        <v>6.498</v>
      </c>
      <c r="BR73" s="52">
        <f>100*(0.4*MIN(1,MAX(0,((U73*100)-(0.0))/((2.5)-(0.0))))+0.3*MIN(1,MAX(0,((V73)-(0.6))/((1.0)-(0.6))))+0.3*MIN(1,MAX(0,((BP73)-(0.0))/((15.0)-(0.0)))))</f>
        <v/>
      </c>
      <c r="BS73" s="52">
        <f>100*(0.4*MIN(1,MAX(0,((MIN(ABS(AA73),ABS(AB73)))-(0.75))/((0.0)-(0.75))))+0.3*MIN(1,MAX(0,((BN73)-(1.2))/((0.6)-(1.2))))+0.3*BO73)</f>
        <v/>
      </c>
      <c r="BT73" s="52">
        <f>100*(0.5*MIN(1,MAX(0,((AK73)-(1.0))/((4.0)-(1.0))))+0.3*MIN(1,MAX(0,((IF(ISNUMBER(AO73),AO73,0)*100)-(0.0))/((8.0)-(0.0))))+0.2*MIN(1,MAX(0,((IF(ISNUMBER(AP73),AP73,0))-(25.0))/((5.0)-(25.0)))))</f>
        <v/>
      </c>
      <c r="BU73" s="52">
        <f>100*(0.35*MIN(1,MAX(0,((ABS(BF73))-(0.3))/((0.05)-(0.3))))+0.3*MIN(1,MAX(0,((BG73)-(0.0))/((0.3)-(0.0))))+0.25*MIN(1,MAX(0,((BH73)-(0.4))/((0.7)-(0.4))))+0.1*IF(BJ73&gt;=2,1,0.5))</f>
        <v/>
      </c>
      <c r="BV73" s="53">
        <f>0.25*BR73+0.25*BS73+0.2*BT73+0.3*BU73</f>
        <v/>
      </c>
      <c r="BW73" s="38" t="inlineStr">
        <is>
          <t>C5 MACD慢線向上、C6 MACD柱轉勢</t>
        </is>
      </c>
      <c r="BX73" s="38" t="inlineStr"/>
    </row>
    <row r="74">
      <c r="A74" s="38" t="n">
        <v>3</v>
      </c>
      <c r="B74" s="38" t="n">
        <v>12</v>
      </c>
      <c r="C74" s="39" t="inlineStr">
        <is>
          <t>PLTR</t>
        </is>
      </c>
      <c r="D74" s="38" t="inlineStr">
        <is>
          <t>Palantir Technologies Inc.</t>
        </is>
      </c>
      <c r="E74" s="38" t="inlineStr">
        <is>
          <t>NASDAQ</t>
        </is>
      </c>
      <c r="F74" s="38" t="inlineStr">
        <is>
          <t>科技</t>
        </is>
      </c>
      <c r="G74" s="38" t="inlineStr">
        <is>
          <t>Computer Software: Prepackaged Software</t>
        </is>
      </c>
      <c r="H74" s="40" t="n">
        <v>449.304</v>
      </c>
      <c r="I74" s="38" t="inlineStr">
        <is>
          <t>大型</t>
        </is>
      </c>
      <c r="J74" s="41" t="n">
        <v>188.75</v>
      </c>
      <c r="K74" s="41" t="n">
        <v>190.04</v>
      </c>
      <c r="L74" s="42">
        <f>J74/K74-1</f>
        <v/>
      </c>
      <c r="M74" s="41" t="n">
        <v>194.78</v>
      </c>
      <c r="N74" s="41" t="n">
        <v>188.26</v>
      </c>
      <c r="O74" s="43" t="n">
        <v>17824100</v>
      </c>
      <c r="P74" s="43" t="n">
        <v>23028005</v>
      </c>
      <c r="Q74" s="44">
        <f>O74/P74</f>
        <v/>
      </c>
      <c r="R74" s="41" t="n">
        <v>187.0081</v>
      </c>
      <c r="S74" s="41" t="n">
        <v>182.226</v>
      </c>
      <c r="T74" s="41" t="n">
        <v>178.5998</v>
      </c>
      <c r="U74" s="42">
        <f>S74/T74-1</f>
        <v/>
      </c>
      <c r="V74" s="45" t="n">
        <v>1</v>
      </c>
      <c r="W74" s="42">
        <f>J74/R74-1</f>
        <v/>
      </c>
      <c r="X74" s="42">
        <f>J74/S74-1</f>
        <v/>
      </c>
      <c r="Y74" s="41" t="n">
        <v>6.2733</v>
      </c>
      <c r="Z74" s="46">
        <f>Y74/J74</f>
        <v/>
      </c>
      <c r="AA74" s="44">
        <f>(J74-R74)/Y74</f>
        <v/>
      </c>
      <c r="AB74" s="44">
        <f>(J74-S74)/Y74</f>
        <v/>
      </c>
      <c r="AC74" s="38">
        <f>IF(ABS(AA74)&lt;=ABS(AB74),"9EMA","21EMA")</f>
        <v/>
      </c>
      <c r="AD74" s="38" t="inlineStr">
        <is>
          <t>9EMA</t>
        </is>
      </c>
      <c r="AE74" s="38" t="inlineStr">
        <is>
          <t>持續在上方</t>
        </is>
      </c>
      <c r="AF74" s="38" t="inlineStr"/>
      <c r="AG74" s="38" t="inlineStr"/>
      <c r="AH74" s="38" t="inlineStr">
        <is>
          <t>✓</t>
        </is>
      </c>
      <c r="AI74" s="38" t="inlineStr">
        <is>
          <t>2026-08-04</t>
        </is>
      </c>
      <c r="AJ74" s="38" t="n">
        <v>42</v>
      </c>
      <c r="AK74" s="47" t="n">
        <v>2</v>
      </c>
      <c r="AL74" s="38" t="inlineStr">
        <is>
          <t>2026-09-29</t>
        </is>
      </c>
      <c r="AM74" s="41" t="n">
        <v>184.81</v>
      </c>
      <c r="AN74" s="41" t="n">
        <v>164.55</v>
      </c>
      <c r="AO74" s="42">
        <f>IF(ISNUMBER(AN74),AM74/AN74-1,"")</f>
        <v/>
      </c>
      <c r="AP74" s="47" t="n">
        <v>3</v>
      </c>
      <c r="AQ74" s="42">
        <f>IF(ISNUMBER(AM74),J74/AM74-1,"")</f>
        <v/>
      </c>
      <c r="AR74" s="41" t="n">
        <v>192.59</v>
      </c>
      <c r="AS74" s="42">
        <f>J74/AR74-1</f>
        <v/>
      </c>
      <c r="AT74" s="48" t="n">
        <v>5.5841</v>
      </c>
      <c r="AU74" s="48" t="n">
        <v>5.5227</v>
      </c>
      <c r="AV74" s="48" t="n">
        <v>5.5073</v>
      </c>
      <c r="AW74" s="49">
        <f>AU74-AV74</f>
        <v/>
      </c>
      <c r="AX74" s="48" t="n">
        <v>0.0614</v>
      </c>
      <c r="AY74" s="48" t="n">
        <v>0.2214</v>
      </c>
      <c r="AZ74" s="48" t="n">
        <v>0.2468</v>
      </c>
      <c r="BA74" s="38" t="inlineStr">
        <is>
          <t>淺綠</t>
        </is>
      </c>
      <c r="BB74" s="38" t="inlineStr">
        <is>
          <t>—</t>
        </is>
      </c>
      <c r="BC74" s="38" t="inlineStr">
        <is>
          <t>—</t>
        </is>
      </c>
      <c r="BD74" s="38" t="inlineStr">
        <is>
          <t>深綠 深綠 淺綠 淺綠 淺綠 淺綠 淺綠 淺綠</t>
        </is>
      </c>
      <c r="BE74" s="38" t="inlineStr">
        <is>
          <t>上傾收窄（楔形）</t>
        </is>
      </c>
      <c r="BF74" s="50" t="n">
        <v>0.1857</v>
      </c>
      <c r="BG74" s="50" t="n">
        <v>0.6151</v>
      </c>
      <c r="BH74" s="50" t="n">
        <v>0.5064</v>
      </c>
      <c r="BI74" s="50" t="n">
        <v>0.5237000000000001</v>
      </c>
      <c r="BJ74" s="47" t="n">
        <v>4</v>
      </c>
      <c r="BK74" s="41" t="n">
        <v>194.78</v>
      </c>
      <c r="BL74" s="41" t="n">
        <v>164.55</v>
      </c>
      <c r="BM74" s="41" t="n">
        <v>179.8582</v>
      </c>
      <c r="BN74" s="50" t="n">
        <v>0.7504</v>
      </c>
      <c r="BO74" s="44">
        <f>IF(M74=N74,0.5,(J74-N74)/(M74-N74))</f>
        <v/>
      </c>
      <c r="BP74" s="51" t="n">
        <v>16.424</v>
      </c>
      <c r="BQ74" s="51" t="n">
        <v>11.383</v>
      </c>
      <c r="BR74" s="52">
        <f>100*(0.4*MIN(1,MAX(0,((U74*100)-(0.0))/((2.5)-(0.0))))+0.3*MIN(1,MAX(0,((V74)-(0.6))/((1.0)-(0.6))))+0.3*MIN(1,MAX(0,((BP74)-(0.0))/((15.0)-(0.0)))))</f>
        <v/>
      </c>
      <c r="BS74" s="52">
        <f>100*(0.4*MIN(1,MAX(0,((MIN(ABS(AA74),ABS(AB74)))-(0.75))/((0.0)-(0.75))))+0.3*MIN(1,MAX(0,((BN74)-(1.2))/((0.6)-(1.2))))+0.3*BO74)</f>
        <v/>
      </c>
      <c r="BT74" s="52">
        <f>100*(0.5*MIN(1,MAX(0,((AK74)-(1.0))/((4.0)-(1.0))))+0.3*MIN(1,MAX(0,((IF(ISNUMBER(AO74),AO74,0)*100)-(0.0))/((8.0)-(0.0))))+0.2*MIN(1,MAX(0,((IF(ISNUMBER(AP74),AP74,0))-(25.0))/((5.0)-(25.0)))))</f>
        <v/>
      </c>
      <c r="BU74" s="52">
        <f>100*(0.35*MIN(1,MAX(0,((ABS(BF74))-(0.3))/((0.05)-(0.3))))+0.3*MIN(1,MAX(0,((BG74)-(0.0))/((0.3)-(0.0))))+0.25*MIN(1,MAX(0,((BH74)-(0.4))/((0.7)-(0.4))))+0.1*IF(BJ74&gt;=2,1,0.5))</f>
        <v/>
      </c>
      <c r="BV74" s="53">
        <f>0.25*BR74+0.25*BS74+0.2*BT74+0.3*BU74</f>
        <v/>
      </c>
      <c r="BW74" s="38" t="inlineStr">
        <is>
          <t>C6 MACD柱轉勢</t>
        </is>
      </c>
      <c r="BX74" s="38" t="inlineStr"/>
    </row>
    <row r="75">
      <c r="A75" s="38" t="n">
        <v>3</v>
      </c>
      <c r="B75" s="38" t="n">
        <v>13</v>
      </c>
      <c r="C75" s="39" t="inlineStr">
        <is>
          <t>ACVA</t>
        </is>
      </c>
      <c r="D75" s="38" t="inlineStr">
        <is>
          <t>ACV Auctions Inc.</t>
        </is>
      </c>
      <c r="E75" s="38" t="inlineStr">
        <is>
          <t>NYSE</t>
        </is>
      </c>
      <c r="F75" s="38" t="inlineStr">
        <is>
          <t>非必需消費</t>
        </is>
      </c>
      <c r="G75" s="38" t="inlineStr">
        <is>
          <t>Business Services</t>
        </is>
      </c>
      <c r="H75" s="40" t="n">
        <v>1.771</v>
      </c>
      <c r="I75" s="38" t="inlineStr">
        <is>
          <t>小型</t>
        </is>
      </c>
      <c r="J75" s="41" t="n">
        <v>10.45</v>
      </c>
      <c r="K75" s="41" t="n">
        <v>10.45</v>
      </c>
      <c r="L75" s="42">
        <f>J75/K75-1</f>
        <v/>
      </c>
      <c r="M75" s="41" t="n">
        <v>10.48</v>
      </c>
      <c r="N75" s="41" t="n">
        <v>10.45</v>
      </c>
      <c r="O75" s="43" t="n">
        <v>2681700</v>
      </c>
      <c r="P75" s="43" t="n">
        <v>15692215</v>
      </c>
      <c r="Q75" s="44">
        <f>O75/P75</f>
        <v/>
      </c>
      <c r="R75" s="41" t="n">
        <v>10.3545</v>
      </c>
      <c r="S75" s="41" t="n">
        <v>9.7484</v>
      </c>
      <c r="T75" s="41" t="n">
        <v>9.3226</v>
      </c>
      <c r="U75" s="42">
        <f>S75/T75-1</f>
        <v/>
      </c>
      <c r="V75" s="45" t="n">
        <v>1</v>
      </c>
      <c r="W75" s="42">
        <f>J75/R75-1</f>
        <v/>
      </c>
      <c r="X75" s="42">
        <f>J75/S75-1</f>
        <v/>
      </c>
      <c r="Y75" s="41" t="n">
        <v>0.2316</v>
      </c>
      <c r="Z75" s="46">
        <f>Y75/J75</f>
        <v/>
      </c>
      <c r="AA75" s="44">
        <f>(J75-R75)/Y75</f>
        <v/>
      </c>
      <c r="AB75" s="44">
        <f>(J75-S75)/Y75</f>
        <v/>
      </c>
      <c r="AC75" s="38">
        <f>IF(ABS(AA75)&lt;=ABS(AB75),"9EMA","21EMA")</f>
        <v/>
      </c>
      <c r="AD75" s="38" t="inlineStr">
        <is>
          <t>—</t>
        </is>
      </c>
      <c r="AE75" s="38" t="inlineStr">
        <is>
          <t>持續在上方</t>
        </is>
      </c>
      <c r="AF75" s="38" t="inlineStr"/>
      <c r="AG75" s="38" t="inlineStr"/>
      <c r="AH75" s="38" t="inlineStr">
        <is>
          <t>✓</t>
        </is>
      </c>
      <c r="AI75" s="38" t="inlineStr">
        <is>
          <t>2026-09-11</t>
        </is>
      </c>
      <c r="AJ75" s="38" t="n">
        <v>15</v>
      </c>
      <c r="AK75" s="47" t="n">
        <v>3</v>
      </c>
      <c r="AL75" s="38" t="inlineStr">
        <is>
          <t>2026-09-29</t>
        </is>
      </c>
      <c r="AM75" s="41" t="n">
        <v>10.425</v>
      </c>
      <c r="AN75" s="41" t="n">
        <v>10.41</v>
      </c>
      <c r="AO75" s="42">
        <f>IF(ISNUMBER(AN75),AM75/AN75-1,"")</f>
        <v/>
      </c>
      <c r="AP75" s="47" t="n">
        <v>3</v>
      </c>
      <c r="AQ75" s="42">
        <f>IF(ISNUMBER(AM75),J75/AM75-1,"")</f>
        <v/>
      </c>
      <c r="AR75" s="41" t="n">
        <v>10.48</v>
      </c>
      <c r="AS75" s="42">
        <f>J75/AR75-1</f>
        <v/>
      </c>
      <c r="AT75" s="48" t="n">
        <v>0.7033</v>
      </c>
      <c r="AU75" s="48" t="n">
        <v>0.7393999999999999</v>
      </c>
      <c r="AV75" s="48" t="n">
        <v>0.7485000000000001</v>
      </c>
      <c r="AW75" s="49">
        <f>AU75-AV75</f>
        <v/>
      </c>
      <c r="AX75" s="48" t="n">
        <v>-0.0361</v>
      </c>
      <c r="AY75" s="48" t="n">
        <v>-0.0123</v>
      </c>
      <c r="AZ75" s="48" t="n">
        <v>0.0159</v>
      </c>
      <c r="BA75" s="38" t="inlineStr">
        <is>
          <t>深紅</t>
        </is>
      </c>
      <c r="BB75" s="38" t="inlineStr">
        <is>
          <t>—</t>
        </is>
      </c>
      <c r="BC75" s="38" t="inlineStr">
        <is>
          <t>—</t>
        </is>
      </c>
      <c r="BD75" s="38" t="inlineStr">
        <is>
          <t>淺綠 淺綠 淺綠 淺綠 淺綠 淺綠 深紅 深紅</t>
        </is>
      </c>
      <c r="BE75" s="38" t="inlineStr">
        <is>
          <t>上升三角（平頂）</t>
        </is>
      </c>
      <c r="BF75" s="50" t="n">
        <v>0.09569999999999999</v>
      </c>
      <c r="BG75" s="50" t="n">
        <v>2.4609</v>
      </c>
      <c r="BH75" s="50" t="n">
        <v>0.8667</v>
      </c>
      <c r="BI75" s="50" t="n">
        <v>0.8677</v>
      </c>
      <c r="BJ75" s="47" t="n">
        <v>16</v>
      </c>
      <c r="BK75" s="41" t="n">
        <v>10.5</v>
      </c>
      <c r="BL75" s="41" t="n">
        <v>6.6</v>
      </c>
      <c r="BM75" s="41" t="n">
        <v>9.9801</v>
      </c>
      <c r="BN75" s="50" t="n">
        <v>2.1707</v>
      </c>
      <c r="BO75" s="44">
        <f>IF(M75=N75,0.5,(J75-N75)/(M75-N75))</f>
        <v/>
      </c>
      <c r="BP75" s="51" t="n">
        <v>59.398</v>
      </c>
      <c r="BQ75" s="51" t="n">
        <v>54.357</v>
      </c>
      <c r="BR75" s="52">
        <f>100*(0.4*MIN(1,MAX(0,((U75*100)-(0.0))/((2.5)-(0.0))))+0.3*MIN(1,MAX(0,((V75)-(0.6))/((1.0)-(0.6))))+0.3*MIN(1,MAX(0,((BP75)-(0.0))/((15.0)-(0.0)))))</f>
        <v/>
      </c>
      <c r="BS75" s="52">
        <f>100*(0.4*MIN(1,MAX(0,((MIN(ABS(AA75),ABS(AB75)))-(0.75))/((0.0)-(0.75))))+0.3*MIN(1,MAX(0,((BN75)-(1.2))/((0.6)-(1.2))))+0.3*BO75)</f>
        <v/>
      </c>
      <c r="BT75" s="52">
        <f>100*(0.5*MIN(1,MAX(0,((AK75)-(1.0))/((4.0)-(1.0))))+0.3*MIN(1,MAX(0,((IF(ISNUMBER(AO75),AO75,0)*100)-(0.0))/((8.0)-(0.0))))+0.2*MIN(1,MAX(0,((IF(ISNUMBER(AP75),AP75,0))-(25.0))/((5.0)-(25.0)))))</f>
        <v/>
      </c>
      <c r="BU75" s="52">
        <f>100*(0.35*MIN(1,MAX(0,((ABS(BF75))-(0.3))/((0.05)-(0.3))))+0.3*MIN(1,MAX(0,((BG75)-(0.0))/((0.3)-(0.0))))+0.25*MIN(1,MAX(0,((BH75)-(0.4))/((0.7)-(0.4))))+0.1*IF(BJ75&gt;=2,1,0.5))</f>
        <v/>
      </c>
      <c r="BV75" s="53">
        <f>0.25*BR75+0.25*BS75+0.2*BT75+0.3*BU75</f>
        <v/>
      </c>
      <c r="BW75" s="38" t="inlineStr">
        <is>
          <t>C5 MACD慢線向上、C6 MACD柱轉勢</t>
        </is>
      </c>
      <c r="BX75" s="38" t="inlineStr"/>
    </row>
    <row r="76">
      <c r="A76" s="38" t="n">
        <v>3</v>
      </c>
      <c r="B76" s="38" t="n">
        <v>14</v>
      </c>
      <c r="C76" s="39" t="inlineStr">
        <is>
          <t>MNTK</t>
        </is>
      </c>
      <c r="D76" s="38" t="inlineStr">
        <is>
          <t>Montauk Renewables Inc.</t>
        </is>
      </c>
      <c r="E76" s="38" t="inlineStr">
        <is>
          <t>NASDAQ</t>
        </is>
      </c>
      <c r="F76" s="38" t="inlineStr">
        <is>
          <t>公用事業</t>
        </is>
      </c>
      <c r="G76" s="38" t="inlineStr">
        <is>
          <t>Natural Gas Distribution</t>
        </is>
      </c>
      <c r="H76" s="40" t="n">
        <v>0.389</v>
      </c>
      <c r="I76" s="38" t="inlineStr">
        <is>
          <t>小型</t>
        </is>
      </c>
      <c r="J76" s="41" t="n">
        <v>2.87</v>
      </c>
      <c r="K76" s="41" t="n">
        <v>2.79</v>
      </c>
      <c r="L76" s="42">
        <f>J76/K76-1</f>
        <v/>
      </c>
      <c r="M76" s="41" t="n">
        <v>2.91</v>
      </c>
      <c r="N76" s="41" t="n">
        <v>2.79</v>
      </c>
      <c r="O76" s="43" t="n">
        <v>512500</v>
      </c>
      <c r="P76" s="43" t="n">
        <v>773490</v>
      </c>
      <c r="Q76" s="44">
        <f>O76/P76</f>
        <v/>
      </c>
      <c r="R76" s="41" t="n">
        <v>2.732</v>
      </c>
      <c r="S76" s="41" t="n">
        <v>2.5214</v>
      </c>
      <c r="T76" s="41" t="n">
        <v>2.3355</v>
      </c>
      <c r="U76" s="42">
        <f>S76/T76-1</f>
        <v/>
      </c>
      <c r="V76" s="45" t="n">
        <v>1</v>
      </c>
      <c r="W76" s="42">
        <f>J76/R76-1</f>
        <v/>
      </c>
      <c r="X76" s="42">
        <f>J76/S76-1</f>
        <v/>
      </c>
      <c r="Y76" s="41" t="n">
        <v>0.2234</v>
      </c>
      <c r="Z76" s="46">
        <f>Y76/J76</f>
        <v/>
      </c>
      <c r="AA76" s="44">
        <f>(J76-R76)/Y76</f>
        <v/>
      </c>
      <c r="AB76" s="44">
        <f>(J76-S76)/Y76</f>
        <v/>
      </c>
      <c r="AC76" s="38">
        <f>IF(ABS(AA76)&lt;=ABS(AB76),"9EMA","21EMA")</f>
        <v/>
      </c>
      <c r="AD76" s="38" t="inlineStr">
        <is>
          <t>9EMA</t>
        </is>
      </c>
      <c r="AE76" s="38" t="inlineStr">
        <is>
          <t>持續在上方</t>
        </is>
      </c>
      <c r="AF76" s="38" t="inlineStr"/>
      <c r="AG76" s="38" t="inlineStr"/>
      <c r="AH76" s="38" t="inlineStr"/>
      <c r="AI76" s="38" t="inlineStr">
        <is>
          <t>2026-09-02</t>
        </is>
      </c>
      <c r="AJ76" s="38" t="n">
        <v>21</v>
      </c>
      <c r="AK76" s="47" t="n">
        <v>2</v>
      </c>
      <c r="AL76" s="38" t="inlineStr">
        <is>
          <t>2026-09-18</t>
        </is>
      </c>
      <c r="AM76" s="41" t="n">
        <v>2.16</v>
      </c>
      <c r="AN76" s="41" t="n">
        <v>1.715</v>
      </c>
      <c r="AO76" s="42">
        <f>IF(ISNUMBER(AN76),AM76/AN76-1,"")</f>
        <v/>
      </c>
      <c r="AP76" s="47" t="n">
        <v>10</v>
      </c>
      <c r="AQ76" s="42">
        <f>IF(ISNUMBER(AM76),J76/AM76-1,"")</f>
        <v/>
      </c>
      <c r="AR76" s="41" t="n">
        <v>2.94</v>
      </c>
      <c r="AS76" s="42">
        <f>J76/AR76-1</f>
        <v/>
      </c>
      <c r="AT76" s="48" t="n">
        <v>0.2223</v>
      </c>
      <c r="AU76" s="48" t="n">
        <v>0.1996</v>
      </c>
      <c r="AV76" s="48" t="n">
        <v>0.1939</v>
      </c>
      <c r="AW76" s="49">
        <f>AU76-AV76</f>
        <v/>
      </c>
      <c r="AX76" s="48" t="n">
        <v>0.0228</v>
      </c>
      <c r="AY76" s="48" t="n">
        <v>0.0263</v>
      </c>
      <c r="AZ76" s="48" t="n">
        <v>0.035</v>
      </c>
      <c r="BA76" s="38" t="inlineStr">
        <is>
          <t>淺綠</t>
        </is>
      </c>
      <c r="BB76" s="38" t="inlineStr">
        <is>
          <t>—</t>
        </is>
      </c>
      <c r="BC76" s="38" t="inlineStr">
        <is>
          <t>—</t>
        </is>
      </c>
      <c r="BD76" s="38" t="inlineStr">
        <is>
          <t>深紅 深綠 深綠 深綠 深綠 淺綠 淺綠 淺綠</t>
        </is>
      </c>
      <c r="BE76" s="38" t="inlineStr">
        <is>
          <t>上傾收窄（楔形）</t>
        </is>
      </c>
      <c r="BF76" s="50" t="n">
        <v>0.9292</v>
      </c>
      <c r="BG76" s="50" t="n">
        <v>1.1927</v>
      </c>
      <c r="BH76" s="50" t="n">
        <v>0.6627999999999999</v>
      </c>
      <c r="BI76" s="50" t="n">
        <v>0.7212</v>
      </c>
      <c r="BJ76" s="47" t="n">
        <v>2</v>
      </c>
      <c r="BK76" s="41" t="n">
        <v>3.05</v>
      </c>
      <c r="BL76" s="41" t="n">
        <v>1.715</v>
      </c>
      <c r="BM76" s="41" t="n">
        <v>2.5999</v>
      </c>
      <c r="BN76" s="50" t="n">
        <v>0.7554999999999999</v>
      </c>
      <c r="BO76" s="44">
        <f>IF(M76=N76,0.5,(J76-N76)/(M76-N76))</f>
        <v/>
      </c>
      <c r="BP76" s="51" t="n">
        <v>39.783</v>
      </c>
      <c r="BQ76" s="51" t="n">
        <v>34.742</v>
      </c>
      <c r="BR76" s="52">
        <f>100*(0.4*MIN(1,MAX(0,((U76*100)-(0.0))/((2.5)-(0.0))))+0.3*MIN(1,MAX(0,((V76)-(0.6))/((1.0)-(0.6))))+0.3*MIN(1,MAX(0,((BP76)-(0.0))/((15.0)-(0.0)))))</f>
        <v/>
      </c>
      <c r="BS76" s="52">
        <f>100*(0.4*MIN(1,MAX(0,((MIN(ABS(AA76),ABS(AB76)))-(0.75))/((0.0)-(0.75))))+0.3*MIN(1,MAX(0,((BN76)-(1.2))/((0.6)-(1.2))))+0.3*BO76)</f>
        <v/>
      </c>
      <c r="BT76" s="52">
        <f>100*(0.5*MIN(1,MAX(0,((AK76)-(1.0))/((4.0)-(1.0))))+0.3*MIN(1,MAX(0,((IF(ISNUMBER(AO76),AO76,0)*100)-(0.0))/((8.0)-(0.0))))+0.2*MIN(1,MAX(0,((IF(ISNUMBER(AP76),AP76,0))-(25.0))/((5.0)-(25.0)))))</f>
        <v/>
      </c>
      <c r="BU76" s="52">
        <f>100*(0.35*MIN(1,MAX(0,((ABS(BF76))-(0.3))/((0.05)-(0.3))))+0.3*MIN(1,MAX(0,((BG76)-(0.0))/((0.3)-(0.0))))+0.25*MIN(1,MAX(0,((BH76)-(0.4))/((0.7)-(0.4))))+0.1*IF(BJ76&gt;=2,1,0.5))</f>
        <v/>
      </c>
      <c r="BV76" s="53">
        <f>0.25*BR76+0.25*BS76+0.2*BT76+0.3*BU76</f>
        <v/>
      </c>
      <c r="BW76" s="38" t="inlineStr">
        <is>
          <t>C6 MACD柱轉勢</t>
        </is>
      </c>
      <c r="BX76" s="38" t="inlineStr"/>
    </row>
    <row r="77">
      <c r="A77" s="38" t="n">
        <v>3</v>
      </c>
      <c r="B77" s="38" t="n">
        <v>15</v>
      </c>
      <c r="C77" s="39" t="inlineStr">
        <is>
          <t>OBIO</t>
        </is>
      </c>
      <c r="D77" s="38" t="inlineStr">
        <is>
          <t>Orchestra BioMed Holdings Inc.</t>
        </is>
      </c>
      <c r="E77" s="38" t="inlineStr">
        <is>
          <t>NASDAQ</t>
        </is>
      </c>
      <c r="F77" s="38" t="inlineStr">
        <is>
          <t>醫療保健</t>
        </is>
      </c>
      <c r="G77" s="38" t="inlineStr">
        <is>
          <t>Medicinal Chemicals and Botanical Products</t>
        </is>
      </c>
      <c r="H77" s="40" t="n">
        <v>0.374</v>
      </c>
      <c r="I77" s="38" t="inlineStr">
        <is>
          <t>小型</t>
        </is>
      </c>
      <c r="J77" s="41" t="n">
        <v>5.95</v>
      </c>
      <c r="K77" s="41" t="n">
        <v>6.35</v>
      </c>
      <c r="L77" s="42">
        <f>J77/K77-1</f>
        <v/>
      </c>
      <c r="M77" s="41" t="n">
        <v>6.44</v>
      </c>
      <c r="N77" s="41" t="n">
        <v>5.77</v>
      </c>
      <c r="O77" s="43" t="n">
        <v>421100</v>
      </c>
      <c r="P77" s="43" t="n">
        <v>387300</v>
      </c>
      <c r="Q77" s="44">
        <f>O77/P77</f>
        <v/>
      </c>
      <c r="R77" s="41" t="n">
        <v>6.0573</v>
      </c>
      <c r="S77" s="41" t="n">
        <v>5.8426</v>
      </c>
      <c r="T77" s="41" t="n">
        <v>5.6827</v>
      </c>
      <c r="U77" s="42">
        <f>S77/T77-1</f>
        <v/>
      </c>
      <c r="V77" s="45" t="n">
        <v>1</v>
      </c>
      <c r="W77" s="42">
        <f>J77/R77-1</f>
        <v/>
      </c>
      <c r="X77" s="42">
        <f>J77/S77-1</f>
        <v/>
      </c>
      <c r="Y77" s="41" t="n">
        <v>0.36</v>
      </c>
      <c r="Z77" s="46">
        <f>Y77/J77</f>
        <v/>
      </c>
      <c r="AA77" s="44">
        <f>(J77-R77)/Y77</f>
        <v/>
      </c>
      <c r="AB77" s="44">
        <f>(J77-S77)/Y77</f>
        <v/>
      </c>
      <c r="AC77" s="38">
        <f>IF(ABS(AA77)&lt;=ABS(AB77),"9EMA","21EMA")</f>
        <v/>
      </c>
      <c r="AD77" s="38" t="inlineStr">
        <is>
          <t>9+21EMA</t>
        </is>
      </c>
      <c r="AE77" s="38" t="inlineStr">
        <is>
          <t>持續在上方</t>
        </is>
      </c>
      <c r="AF77" s="38" t="inlineStr"/>
      <c r="AG77" s="38" t="inlineStr"/>
      <c r="AH77" s="38" t="inlineStr">
        <is>
          <t>✓</t>
        </is>
      </c>
      <c r="AI77" s="38" t="inlineStr">
        <is>
          <t>2026-08-03</t>
        </is>
      </c>
      <c r="AJ77" s="38" t="n">
        <v>43</v>
      </c>
      <c r="AK77" s="47" t="n">
        <v>4</v>
      </c>
      <c r="AL77" s="38" t="inlineStr">
        <is>
          <t>2026-09-24</t>
        </is>
      </c>
      <c r="AM77" s="41" t="n">
        <v>5.75</v>
      </c>
      <c r="AN77" s="41" t="n">
        <v>5.71</v>
      </c>
      <c r="AO77" s="42">
        <f>IF(ISNUMBER(AN77),AM77/AN77-1,"")</f>
        <v/>
      </c>
      <c r="AP77" s="47" t="n">
        <v>6</v>
      </c>
      <c r="AQ77" s="42">
        <f>IF(ISNUMBER(AM77),J77/AM77-1,"")</f>
        <v/>
      </c>
      <c r="AR77" s="41" t="n">
        <v>6.35</v>
      </c>
      <c r="AS77" s="42">
        <f>J77/AR77-1</f>
        <v/>
      </c>
      <c r="AT77" s="48" t="n">
        <v>0.2737</v>
      </c>
      <c r="AU77" s="48" t="n">
        <v>0.3071</v>
      </c>
      <c r="AV77" s="48" t="n">
        <v>0.3154</v>
      </c>
      <c r="AW77" s="49">
        <f>AU77-AV77</f>
        <v/>
      </c>
      <c r="AX77" s="48" t="n">
        <v>-0.0333</v>
      </c>
      <c r="AY77" s="48" t="n">
        <v>-0.0133</v>
      </c>
      <c r="AZ77" s="48" t="n">
        <v>-0.0255</v>
      </c>
      <c r="BA77" s="38" t="inlineStr">
        <is>
          <t>深紅</t>
        </is>
      </c>
      <c r="BB77" s="38" t="inlineStr">
        <is>
          <t>—</t>
        </is>
      </c>
      <c r="BC77" s="38" t="inlineStr">
        <is>
          <t>—</t>
        </is>
      </c>
      <c r="BD77" s="38" t="inlineStr">
        <is>
          <t>淺綠 深紅 深紅 深紅 淺紅 淺紅 淺紅 深紅</t>
        </is>
      </c>
      <c r="BE77" s="38" t="inlineStr">
        <is>
          <t>上傾收窄（楔形）</t>
        </is>
      </c>
      <c r="BF77" s="50" t="n">
        <v>0.9122</v>
      </c>
      <c r="BG77" s="50" t="n">
        <v>1.3316</v>
      </c>
      <c r="BH77" s="50" t="n">
        <v>0.6057</v>
      </c>
      <c r="BI77" s="50" t="n">
        <v>0.6548</v>
      </c>
      <c r="BJ77" s="47" t="n">
        <v>3</v>
      </c>
      <c r="BK77" s="41" t="n">
        <v>6.5</v>
      </c>
      <c r="BL77" s="41" t="n">
        <v>4.71</v>
      </c>
      <c r="BM77" s="41" t="n">
        <v>5.7942</v>
      </c>
      <c r="BN77" s="50" t="n">
        <v>0.9284</v>
      </c>
      <c r="BO77" s="44">
        <f>IF(M77=N77,0.5,(J77-N77)/(M77-N77))</f>
        <v/>
      </c>
      <c r="BP77" s="51" t="n">
        <v>25.243</v>
      </c>
      <c r="BQ77" s="51" t="n">
        <v>20.202</v>
      </c>
      <c r="BR77" s="52">
        <f>100*(0.4*MIN(1,MAX(0,((U77*100)-(0.0))/((2.5)-(0.0))))+0.3*MIN(1,MAX(0,((V77)-(0.6))/((1.0)-(0.6))))+0.3*MIN(1,MAX(0,((BP77)-(0.0))/((15.0)-(0.0)))))</f>
        <v/>
      </c>
      <c r="BS77" s="52">
        <f>100*(0.4*MIN(1,MAX(0,((MIN(ABS(AA77),ABS(AB77)))-(0.75))/((0.0)-(0.75))))+0.3*MIN(1,MAX(0,((BN77)-(1.2))/((0.6)-(1.2))))+0.3*BO77)</f>
        <v/>
      </c>
      <c r="BT77" s="52">
        <f>100*(0.5*MIN(1,MAX(0,((AK77)-(1.0))/((4.0)-(1.0))))+0.3*MIN(1,MAX(0,((IF(ISNUMBER(AO77),AO77,0)*100)-(0.0))/((8.0)-(0.0))))+0.2*MIN(1,MAX(0,((IF(ISNUMBER(AP77),AP77,0))-(25.0))/((5.0)-(25.0)))))</f>
        <v/>
      </c>
      <c r="BU77" s="52">
        <f>100*(0.35*MIN(1,MAX(0,((ABS(BF77))-(0.3))/((0.05)-(0.3))))+0.3*MIN(1,MAX(0,((BG77)-(0.0))/((0.3)-(0.0))))+0.25*MIN(1,MAX(0,((BH77)-(0.4))/((0.7)-(0.4))))+0.1*IF(BJ77&gt;=2,1,0.5))</f>
        <v/>
      </c>
      <c r="BV77" s="53">
        <f>0.25*BR77+0.25*BS77+0.2*BT77+0.3*BU77</f>
        <v/>
      </c>
      <c r="BW77" s="38" t="inlineStr">
        <is>
          <t>C5 MACD慢線向上、C6 MACD柱轉勢</t>
        </is>
      </c>
      <c r="BX77" s="38" t="inlineStr"/>
    </row>
    <row r="78">
      <c r="A78" s="38" t="n">
        <v>3</v>
      </c>
      <c r="B78" s="38" t="n">
        <v>16</v>
      </c>
      <c r="C78" s="39" t="inlineStr">
        <is>
          <t>PSIX</t>
        </is>
      </c>
      <c r="D78" s="38" t="inlineStr">
        <is>
          <t>Power Solutions International Inc.</t>
        </is>
      </c>
      <c r="E78" s="38" t="inlineStr">
        <is>
          <t>NASDAQ</t>
        </is>
      </c>
      <c r="F78" s="38" t="inlineStr">
        <is>
          <t>工業</t>
        </is>
      </c>
      <c r="G78" s="38" t="inlineStr">
        <is>
          <t>Industrial Machinery/Components</t>
        </is>
      </c>
      <c r="H78" s="40" t="n">
        <v>1.06</v>
      </c>
      <c r="I78" s="38" t="inlineStr">
        <is>
          <t>小型</t>
        </is>
      </c>
      <c r="J78" s="41" t="n">
        <v>44.85</v>
      </c>
      <c r="K78" s="41" t="n">
        <v>45.4</v>
      </c>
      <c r="L78" s="42">
        <f>J78/K78-1</f>
        <v/>
      </c>
      <c r="M78" s="41" t="n">
        <v>47.12</v>
      </c>
      <c r="N78" s="41" t="n">
        <v>44.52</v>
      </c>
      <c r="O78" s="43" t="n">
        <v>623000</v>
      </c>
      <c r="P78" s="43" t="n">
        <v>415905</v>
      </c>
      <c r="Q78" s="44">
        <f>O78/P78</f>
        <v/>
      </c>
      <c r="R78" s="41" t="n">
        <v>45.4263</v>
      </c>
      <c r="S78" s="41" t="n">
        <v>43.6523</v>
      </c>
      <c r="T78" s="41" t="n">
        <v>42.3958</v>
      </c>
      <c r="U78" s="42">
        <f>S78/T78-1</f>
        <v/>
      </c>
      <c r="V78" s="45" t="n">
        <v>1</v>
      </c>
      <c r="W78" s="42">
        <f>J78/R78-1</f>
        <v/>
      </c>
      <c r="X78" s="42">
        <f>J78/S78-1</f>
        <v/>
      </c>
      <c r="Y78" s="41" t="n">
        <v>2.2929</v>
      </c>
      <c r="Z78" s="46">
        <f>Y78/J78</f>
        <v/>
      </c>
      <c r="AA78" s="44">
        <f>(J78-R78)/Y78</f>
        <v/>
      </c>
      <c r="AB78" s="44">
        <f>(J78-S78)/Y78</f>
        <v/>
      </c>
      <c r="AC78" s="38">
        <f>IF(ABS(AA78)&lt;=ABS(AB78),"9EMA","21EMA")</f>
        <v/>
      </c>
      <c r="AD78" s="38" t="inlineStr">
        <is>
          <t>9EMA</t>
        </is>
      </c>
      <c r="AE78" s="38" t="inlineStr">
        <is>
          <t>持續在上方</t>
        </is>
      </c>
      <c r="AF78" s="38" t="inlineStr"/>
      <c r="AG78" s="38" t="inlineStr"/>
      <c r="AH78" s="38" t="inlineStr">
        <is>
          <t>✓</t>
        </is>
      </c>
      <c r="AI78" s="38" t="inlineStr">
        <is>
          <t>2026-08-07</t>
        </is>
      </c>
      <c r="AJ78" s="38" t="n">
        <v>39</v>
      </c>
      <c r="AK78" s="47" t="n">
        <v>3</v>
      </c>
      <c r="AL78" s="38" t="inlineStr">
        <is>
          <t>2026-09-24</t>
        </is>
      </c>
      <c r="AM78" s="41" t="n">
        <v>44.61</v>
      </c>
      <c r="AN78" s="41" t="n">
        <v>39</v>
      </c>
      <c r="AO78" s="42">
        <f>IF(ISNUMBER(AN78),AM78/AN78-1,"")</f>
        <v/>
      </c>
      <c r="AP78" s="47" t="n">
        <v>6</v>
      </c>
      <c r="AQ78" s="42">
        <f>IF(ISNUMBER(AM78),J78/AM78-1,"")</f>
        <v/>
      </c>
      <c r="AR78" s="41" t="n">
        <v>47.1</v>
      </c>
      <c r="AS78" s="42">
        <f>J78/AR78-1</f>
        <v/>
      </c>
      <c r="AT78" s="48" t="n">
        <v>2.0917</v>
      </c>
      <c r="AU78" s="48" t="n">
        <v>2.2375</v>
      </c>
      <c r="AV78" s="48" t="n">
        <v>2.2739</v>
      </c>
      <c r="AW78" s="49">
        <f>AU78-AV78</f>
        <v/>
      </c>
      <c r="AX78" s="48" t="n">
        <v>-0.1458</v>
      </c>
      <c r="AY78" s="48" t="n">
        <v>0.0048</v>
      </c>
      <c r="AZ78" s="48" t="n">
        <v>0.1558</v>
      </c>
      <c r="BA78" s="38" t="inlineStr">
        <is>
          <t>深紅</t>
        </is>
      </c>
      <c r="BB78" s="38" t="inlineStr">
        <is>
          <t>—</t>
        </is>
      </c>
      <c r="BC78" s="38" t="inlineStr">
        <is>
          <t>—</t>
        </is>
      </c>
      <c r="BD78" s="38" t="inlineStr">
        <is>
          <t>淺綠 淺綠 淺綠 淺綠 淺綠 淺綠 淺綠 深紅</t>
        </is>
      </c>
      <c r="BE78" s="38" t="inlineStr">
        <is>
          <t>上傾收窄（楔形）</t>
        </is>
      </c>
      <c r="BF78" s="50" t="n">
        <v>0.8175</v>
      </c>
      <c r="BG78" s="50" t="n">
        <v>1.3706</v>
      </c>
      <c r="BH78" s="50" t="n">
        <v>0.622</v>
      </c>
      <c r="BI78" s="50" t="n">
        <v>0.6624</v>
      </c>
      <c r="BJ78" s="47" t="n">
        <v>1</v>
      </c>
      <c r="BK78" s="41" t="n">
        <v>48.32</v>
      </c>
      <c r="BL78" s="41" t="n">
        <v>34.67</v>
      </c>
      <c r="BM78" s="41" t="n">
        <v>43.1608</v>
      </c>
      <c r="BN78" s="50" t="n">
        <v>0.9928</v>
      </c>
      <c r="BO78" s="44">
        <f>IF(M78=N78,0.5,(J78-N78)/(M78-N78))</f>
        <v/>
      </c>
      <c r="BP78" s="51" t="n">
        <v>30.706</v>
      </c>
      <c r="BQ78" s="51" t="n">
        <v>25.665</v>
      </c>
      <c r="BR78" s="52">
        <f>100*(0.4*MIN(1,MAX(0,((U78*100)-(0.0))/((2.5)-(0.0))))+0.3*MIN(1,MAX(0,((V78)-(0.6))/((1.0)-(0.6))))+0.3*MIN(1,MAX(0,((BP78)-(0.0))/((15.0)-(0.0)))))</f>
        <v/>
      </c>
      <c r="BS78" s="52">
        <f>100*(0.4*MIN(1,MAX(0,((MIN(ABS(AA78),ABS(AB78)))-(0.75))/((0.0)-(0.75))))+0.3*MIN(1,MAX(0,((BN78)-(1.2))/((0.6)-(1.2))))+0.3*BO78)</f>
        <v/>
      </c>
      <c r="BT78" s="52">
        <f>100*(0.5*MIN(1,MAX(0,((AK78)-(1.0))/((4.0)-(1.0))))+0.3*MIN(1,MAX(0,((IF(ISNUMBER(AO78),AO78,0)*100)-(0.0))/((8.0)-(0.0))))+0.2*MIN(1,MAX(0,((IF(ISNUMBER(AP78),AP78,0))-(25.0))/((5.0)-(25.0)))))</f>
        <v/>
      </c>
      <c r="BU78" s="52">
        <f>100*(0.35*MIN(1,MAX(0,((ABS(BF78))-(0.3))/((0.05)-(0.3))))+0.3*MIN(1,MAX(0,((BG78)-(0.0))/((0.3)-(0.0))))+0.25*MIN(1,MAX(0,((BH78)-(0.4))/((0.7)-(0.4))))+0.1*IF(BJ78&gt;=2,1,0.5))</f>
        <v/>
      </c>
      <c r="BV78" s="53">
        <f>0.25*BR78+0.25*BS78+0.2*BT78+0.3*BU78</f>
        <v/>
      </c>
      <c r="BW78" s="38" t="inlineStr">
        <is>
          <t>C5 MACD慢線向上、C6 MACD柱轉勢</t>
        </is>
      </c>
      <c r="BX78" s="38" t="inlineStr"/>
    </row>
    <row r="79">
      <c r="A79" s="38" t="n">
        <v>3</v>
      </c>
      <c r="B79" s="38" t="n">
        <v>17</v>
      </c>
      <c r="C79" s="39" t="inlineStr">
        <is>
          <t>DT</t>
        </is>
      </c>
      <c r="D79" s="38" t="inlineStr">
        <is>
          <t>Dynatrace Inc.</t>
        </is>
      </c>
      <c r="E79" s="38" t="inlineStr">
        <is>
          <t>NYSE</t>
        </is>
      </c>
      <c r="F79" s="38" t="inlineStr">
        <is>
          <t>科技</t>
        </is>
      </c>
      <c r="G79" s="38" t="inlineStr">
        <is>
          <t>Computer Software: Prepackaged Software</t>
        </is>
      </c>
      <c r="H79" s="40" t="n">
        <v>16.687</v>
      </c>
      <c r="I79" s="38" t="inlineStr">
        <is>
          <t>大型</t>
        </is>
      </c>
      <c r="J79" s="41" t="n">
        <v>59.32</v>
      </c>
      <c r="K79" s="41" t="n">
        <v>59.26</v>
      </c>
      <c r="L79" s="42">
        <f>J79/K79-1</f>
        <v/>
      </c>
      <c r="M79" s="41" t="n">
        <v>60.24</v>
      </c>
      <c r="N79" s="41" t="n">
        <v>58.91</v>
      </c>
      <c r="O79" s="43" t="n">
        <v>3855100</v>
      </c>
      <c r="P79" s="43" t="n">
        <v>6818060</v>
      </c>
      <c r="Q79" s="44">
        <f>O79/P79</f>
        <v/>
      </c>
      <c r="R79" s="41" t="n">
        <v>57.9117</v>
      </c>
      <c r="S79" s="41" t="n">
        <v>55.9206</v>
      </c>
      <c r="T79" s="41" t="n">
        <v>54.3892</v>
      </c>
      <c r="U79" s="42">
        <f>S79/T79-1</f>
        <v/>
      </c>
      <c r="V79" s="45" t="n">
        <v>1</v>
      </c>
      <c r="W79" s="42">
        <f>J79/R79-1</f>
        <v/>
      </c>
      <c r="X79" s="42">
        <f>J79/S79-1</f>
        <v/>
      </c>
      <c r="Y79" s="41" t="n">
        <v>1.7233</v>
      </c>
      <c r="Z79" s="46">
        <f>Y79/J79</f>
        <v/>
      </c>
      <c r="AA79" s="44">
        <f>(J79-R79)/Y79</f>
        <v/>
      </c>
      <c r="AB79" s="44">
        <f>(J79-S79)/Y79</f>
        <v/>
      </c>
      <c r="AC79" s="38">
        <f>IF(ABS(AA79)&lt;=ABS(AB79),"9EMA","21EMA")</f>
        <v/>
      </c>
      <c r="AD79" s="38" t="inlineStr">
        <is>
          <t>—</t>
        </is>
      </c>
      <c r="AE79" s="38" t="inlineStr">
        <is>
          <t>持續在上方</t>
        </is>
      </c>
      <c r="AF79" s="38" t="inlineStr"/>
      <c r="AG79" s="38" t="inlineStr"/>
      <c r="AH79" s="38" t="inlineStr"/>
      <c r="AI79" s="38" t="inlineStr">
        <is>
          <t>2026-07-29</t>
        </is>
      </c>
      <c r="AJ79" s="38" t="n">
        <v>46</v>
      </c>
      <c r="AK79" s="47" t="n">
        <v>4</v>
      </c>
      <c r="AL79" s="38" t="inlineStr">
        <is>
          <t>2026-09-28</t>
        </is>
      </c>
      <c r="AM79" s="41" t="n">
        <v>55.644</v>
      </c>
      <c r="AN79" s="41" t="n">
        <v>49.56</v>
      </c>
      <c r="AO79" s="42">
        <f>IF(ISNUMBER(AN79),AM79/AN79-1,"")</f>
        <v/>
      </c>
      <c r="AP79" s="47" t="n">
        <v>4</v>
      </c>
      <c r="AQ79" s="42">
        <f>IF(ISNUMBER(AM79),J79/AM79-1,"")</f>
        <v/>
      </c>
      <c r="AR79" s="41" t="n">
        <v>59.32</v>
      </c>
      <c r="AS79" s="42">
        <f>J79/AR79-1</f>
        <v/>
      </c>
      <c r="AT79" s="48" t="n">
        <v>2.2135</v>
      </c>
      <c r="AU79" s="48" t="n">
        <v>2.1152</v>
      </c>
      <c r="AV79" s="48" t="n">
        <v>2.0906</v>
      </c>
      <c r="AW79" s="49">
        <f>AU79-AV79</f>
        <v/>
      </c>
      <c r="AX79" s="48" t="n">
        <v>0.0983</v>
      </c>
      <c r="AY79" s="48" t="n">
        <v>0.1037</v>
      </c>
      <c r="AZ79" s="48" t="n">
        <v>0.0794</v>
      </c>
      <c r="BA79" s="38" t="inlineStr">
        <is>
          <t>淺綠</t>
        </is>
      </c>
      <c r="BB79" s="38" t="inlineStr">
        <is>
          <t>—</t>
        </is>
      </c>
      <c r="BC79" s="38" t="inlineStr">
        <is>
          <t>—</t>
        </is>
      </c>
      <c r="BD79" s="38" t="inlineStr">
        <is>
          <t>深綠 深綠 淺綠 淺綠 淺綠 淺綠 深綠 淺綠</t>
        </is>
      </c>
      <c r="BE79" s="38" t="inlineStr">
        <is>
          <t>上傾收窄（楔形）</t>
        </is>
      </c>
      <c r="BF79" s="50" t="n">
        <v>0.4537</v>
      </c>
      <c r="BG79" s="50" t="n">
        <v>0.7889</v>
      </c>
      <c r="BH79" s="50" t="n">
        <v>0.5371</v>
      </c>
      <c r="BI79" s="50" t="n">
        <v>0.5545</v>
      </c>
      <c r="BJ79" s="47" t="n">
        <v>3</v>
      </c>
      <c r="BK79" s="41" t="n">
        <v>60.24</v>
      </c>
      <c r="BL79" s="41" t="n">
        <v>49.56</v>
      </c>
      <c r="BM79" s="41" t="n">
        <v>55.2968</v>
      </c>
      <c r="BN79" s="50" t="n">
        <v>0.8101</v>
      </c>
      <c r="BO79" s="44">
        <f>IF(M79=N79,0.5,(J79-N79)/(M79-N79))</f>
        <v/>
      </c>
      <c r="BP79" s="51" t="n">
        <v>21.652</v>
      </c>
      <c r="BQ79" s="51" t="n">
        <v>16.611</v>
      </c>
      <c r="BR79" s="52">
        <f>100*(0.4*MIN(1,MAX(0,((U79*100)-(0.0))/((2.5)-(0.0))))+0.3*MIN(1,MAX(0,((V79)-(0.6))/((1.0)-(0.6))))+0.3*MIN(1,MAX(0,((BP79)-(0.0))/((15.0)-(0.0)))))</f>
        <v/>
      </c>
      <c r="BS79" s="52">
        <f>100*(0.4*MIN(1,MAX(0,((MIN(ABS(AA79),ABS(AB79)))-(0.75))/((0.0)-(0.75))))+0.3*MIN(1,MAX(0,((BN79)-(1.2))/((0.6)-(1.2))))+0.3*BO79)</f>
        <v/>
      </c>
      <c r="BT79" s="52">
        <f>100*(0.5*MIN(1,MAX(0,((AK79)-(1.0))/((4.0)-(1.0))))+0.3*MIN(1,MAX(0,((IF(ISNUMBER(AO79),AO79,0)*100)-(0.0))/((8.0)-(0.0))))+0.2*MIN(1,MAX(0,((IF(ISNUMBER(AP79),AP79,0))-(25.0))/((5.0)-(25.0)))))</f>
        <v/>
      </c>
      <c r="BU79" s="52">
        <f>100*(0.35*MIN(1,MAX(0,((ABS(BF79))-(0.3))/((0.05)-(0.3))))+0.3*MIN(1,MAX(0,((BG79)-(0.0))/((0.3)-(0.0))))+0.25*MIN(1,MAX(0,((BH79)-(0.4))/((0.7)-(0.4))))+0.1*IF(BJ79&gt;=2,1,0.5))</f>
        <v/>
      </c>
      <c r="BV79" s="53">
        <f>0.25*BR79+0.25*BS79+0.2*BT79+0.3*BU79</f>
        <v/>
      </c>
      <c r="BW79" s="38" t="inlineStr">
        <is>
          <t>C6 MACD柱轉勢</t>
        </is>
      </c>
      <c r="BX79" s="38" t="inlineStr"/>
    </row>
    <row r="80">
      <c r="A80" s="38" t="n">
        <v>3</v>
      </c>
      <c r="B80" s="38" t="n">
        <v>18</v>
      </c>
      <c r="C80" s="39" t="inlineStr">
        <is>
          <t>VRNS</t>
        </is>
      </c>
      <c r="D80" s="38" t="inlineStr">
        <is>
          <t>Varonis Systems Inc.</t>
        </is>
      </c>
      <c r="E80" s="38" t="inlineStr">
        <is>
          <t>NASDAQ</t>
        </is>
      </c>
      <c r="F80" s="38" t="inlineStr">
        <is>
          <t>科技</t>
        </is>
      </c>
      <c r="G80" s="38" t="inlineStr">
        <is>
          <t>Computer Software: Prepackaged Software</t>
        </is>
      </c>
      <c r="H80" s="40" t="n">
        <v>5.45</v>
      </c>
      <c r="I80" s="38" t="inlineStr">
        <is>
          <t>中型</t>
        </is>
      </c>
      <c r="J80" s="41" t="n">
        <v>47.57</v>
      </c>
      <c r="K80" s="41" t="n">
        <v>47.45</v>
      </c>
      <c r="L80" s="42">
        <f>J80/K80-1</f>
        <v/>
      </c>
      <c r="M80" s="41" t="n">
        <v>48.537</v>
      </c>
      <c r="N80" s="41" t="n">
        <v>47.435</v>
      </c>
      <c r="O80" s="43" t="n">
        <v>1012300</v>
      </c>
      <c r="P80" s="43" t="n">
        <v>1745330</v>
      </c>
      <c r="Q80" s="44">
        <f>O80/P80</f>
        <v/>
      </c>
      <c r="R80" s="41" t="n">
        <v>47.4023</v>
      </c>
      <c r="S80" s="41" t="n">
        <v>46.735</v>
      </c>
      <c r="T80" s="41" t="n">
        <v>46.2708</v>
      </c>
      <c r="U80" s="42">
        <f>S80/T80-1</f>
        <v/>
      </c>
      <c r="V80" s="45" t="n">
        <v>0.9</v>
      </c>
      <c r="W80" s="42">
        <f>J80/R80-1</f>
        <v/>
      </c>
      <c r="X80" s="42">
        <f>J80/S80-1</f>
        <v/>
      </c>
      <c r="Y80" s="41" t="n">
        <v>1.8644</v>
      </c>
      <c r="Z80" s="46">
        <f>Y80/J80</f>
        <v/>
      </c>
      <c r="AA80" s="44">
        <f>(J80-R80)/Y80</f>
        <v/>
      </c>
      <c r="AB80" s="44">
        <f>(J80-S80)/Y80</f>
        <v/>
      </c>
      <c r="AC80" s="38">
        <f>IF(ABS(AA80)&lt;=ABS(AB80),"9EMA","21EMA")</f>
        <v/>
      </c>
      <c r="AD80" s="38" t="inlineStr">
        <is>
          <t>9+21EMA</t>
        </is>
      </c>
      <c r="AE80" s="38" t="inlineStr">
        <is>
          <t>持續在上方</t>
        </is>
      </c>
      <c r="AF80" s="38" t="inlineStr"/>
      <c r="AG80" s="38" t="inlineStr"/>
      <c r="AH80" s="38" t="inlineStr">
        <is>
          <t>✓</t>
        </is>
      </c>
      <c r="AI80" s="38" t="inlineStr">
        <is>
          <t>2026-08-31</t>
        </is>
      </c>
      <c r="AJ80" s="38" t="n">
        <v>23</v>
      </c>
      <c r="AK80" s="47" t="n">
        <v>4</v>
      </c>
      <c r="AL80" s="38" t="inlineStr">
        <is>
          <t>2026-09-28</t>
        </is>
      </c>
      <c r="AM80" s="41" t="n">
        <v>44.62</v>
      </c>
      <c r="AN80" s="41" t="n">
        <v>44.172</v>
      </c>
      <c r="AO80" s="42">
        <f>IF(ISNUMBER(AN80),AM80/AN80-1,"")</f>
        <v/>
      </c>
      <c r="AP80" s="47" t="n">
        <v>4</v>
      </c>
      <c r="AQ80" s="42">
        <f>IF(ISNUMBER(AM80),J80/AM80-1,"")</f>
        <v/>
      </c>
      <c r="AR80" s="41" t="n">
        <v>48.455</v>
      </c>
      <c r="AS80" s="42">
        <f>J80/AR80-1</f>
        <v/>
      </c>
      <c r="AT80" s="48" t="n">
        <v>0.8665</v>
      </c>
      <c r="AU80" s="48" t="n">
        <v>1.0035</v>
      </c>
      <c r="AV80" s="48" t="n">
        <v>1.0377</v>
      </c>
      <c r="AW80" s="49">
        <f>AU80-AV80</f>
        <v/>
      </c>
      <c r="AX80" s="48" t="n">
        <v>-0.137</v>
      </c>
      <c r="AY80" s="48" t="n">
        <v>-0.1316</v>
      </c>
      <c r="AZ80" s="48" t="n">
        <v>-0.1148</v>
      </c>
      <c r="BA80" s="38" t="inlineStr">
        <is>
          <t>深紅</t>
        </is>
      </c>
      <c r="BB80" s="38" t="inlineStr">
        <is>
          <t>—</t>
        </is>
      </c>
      <c r="BC80" s="38" t="inlineStr">
        <is>
          <t>—</t>
        </is>
      </c>
      <c r="BD80" s="38" t="inlineStr">
        <is>
          <t>淺綠 淺綠 深紅 淺紅 深紅 深紅 深紅 深紅</t>
        </is>
      </c>
      <c r="BE80" s="38" t="inlineStr">
        <is>
          <t>上傾收窄（楔形）</t>
        </is>
      </c>
      <c r="BF80" s="50" t="n">
        <v>0.1016</v>
      </c>
      <c r="BG80" s="50" t="n">
        <v>0.4149</v>
      </c>
      <c r="BH80" s="50" t="n">
        <v>0.7213000000000001</v>
      </c>
      <c r="BI80" s="50" t="n">
        <v>0.6943</v>
      </c>
      <c r="BJ80" s="47" t="n">
        <v>13</v>
      </c>
      <c r="BK80" s="41" t="n">
        <v>48.79</v>
      </c>
      <c r="BL80" s="41" t="n">
        <v>40.89</v>
      </c>
      <c r="BM80" s="41" t="n">
        <v>46.5884</v>
      </c>
      <c r="BN80" s="50" t="n">
        <v>1.0282</v>
      </c>
      <c r="BO80" s="44">
        <f>IF(M80=N80,0.5,(J80-N80)/(M80-N80))</f>
        <v/>
      </c>
      <c r="BP80" s="51" t="n">
        <v>6.773</v>
      </c>
      <c r="BQ80" s="51" t="n">
        <v>1.732</v>
      </c>
      <c r="BR80" s="52">
        <f>100*(0.4*MIN(1,MAX(0,((U80*100)-(0.0))/((2.5)-(0.0))))+0.3*MIN(1,MAX(0,((V80)-(0.6))/((1.0)-(0.6))))+0.3*MIN(1,MAX(0,((BP80)-(0.0))/((15.0)-(0.0)))))</f>
        <v/>
      </c>
      <c r="BS80" s="52">
        <f>100*(0.4*MIN(1,MAX(0,((MIN(ABS(AA80),ABS(AB80)))-(0.75))/((0.0)-(0.75))))+0.3*MIN(1,MAX(0,((BN80)-(1.2))/((0.6)-(1.2))))+0.3*BO80)</f>
        <v/>
      </c>
      <c r="BT80" s="52">
        <f>100*(0.5*MIN(1,MAX(0,((AK80)-(1.0))/((4.0)-(1.0))))+0.3*MIN(1,MAX(0,((IF(ISNUMBER(AO80),AO80,0)*100)-(0.0))/((8.0)-(0.0))))+0.2*MIN(1,MAX(0,((IF(ISNUMBER(AP80),AP80,0))-(25.0))/((5.0)-(25.0)))))</f>
        <v/>
      </c>
      <c r="BU80" s="52">
        <f>100*(0.35*MIN(1,MAX(0,((ABS(BF80))-(0.3))/((0.05)-(0.3))))+0.3*MIN(1,MAX(0,((BG80)-(0.0))/((0.3)-(0.0))))+0.25*MIN(1,MAX(0,((BH80)-(0.4))/((0.7)-(0.4))))+0.1*IF(BJ80&gt;=2,1,0.5))</f>
        <v/>
      </c>
      <c r="BV80" s="53">
        <f>0.25*BR80+0.25*BS80+0.2*BT80+0.3*BU80</f>
        <v/>
      </c>
      <c r="BW80" s="38" t="inlineStr">
        <is>
          <t>C5 MACD慢線向上、C6 MACD柱轉勢</t>
        </is>
      </c>
      <c r="BX80" s="38" t="inlineStr"/>
    </row>
    <row r="81">
      <c r="A81" s="38" t="n">
        <v>3</v>
      </c>
      <c r="B81" s="38" t="n">
        <v>19</v>
      </c>
      <c r="C81" s="39" t="inlineStr">
        <is>
          <t>AGPU</t>
        </is>
      </c>
      <c r="D81" s="38" t="inlineStr">
        <is>
          <t>Axe Compute Inc.</t>
        </is>
      </c>
      <c r="E81" s="38" t="inlineStr">
        <is>
          <t>NASDAQ</t>
        </is>
      </c>
      <c r="F81" s="38" t="inlineStr">
        <is>
          <t>醫療保健</t>
        </is>
      </c>
      <c r="G81" s="38" t="inlineStr">
        <is>
          <t>Industrial Specialties</t>
        </is>
      </c>
      <c r="H81" s="40" t="n">
        <v>0.132</v>
      </c>
      <c r="I81" s="38" t="inlineStr">
        <is>
          <t>小型</t>
        </is>
      </c>
      <c r="J81" s="41" t="n">
        <v>12.08</v>
      </c>
      <c r="K81" s="41" t="n">
        <v>11.42</v>
      </c>
      <c r="L81" s="42">
        <f>J81/K81-1</f>
        <v/>
      </c>
      <c r="M81" s="41" t="n">
        <v>12.5</v>
      </c>
      <c r="N81" s="41" t="n">
        <v>11.44</v>
      </c>
      <c r="O81" s="43" t="n">
        <v>251300</v>
      </c>
      <c r="P81" s="43" t="n">
        <v>351855</v>
      </c>
      <c r="Q81" s="44">
        <f>O81/P81</f>
        <v/>
      </c>
      <c r="R81" s="41" t="n">
        <v>11.8277</v>
      </c>
      <c r="S81" s="41" t="n">
        <v>11.4405</v>
      </c>
      <c r="T81" s="41" t="n">
        <v>11.1652</v>
      </c>
      <c r="U81" s="42">
        <f>S81/T81-1</f>
        <v/>
      </c>
      <c r="V81" s="45" t="n">
        <v>0.9</v>
      </c>
      <c r="W81" s="42">
        <f>J81/R81-1</f>
        <v/>
      </c>
      <c r="X81" s="42">
        <f>J81/S81-1</f>
        <v/>
      </c>
      <c r="Y81" s="41" t="n">
        <v>1.0602</v>
      </c>
      <c r="Z81" s="46">
        <f>Y81/J81</f>
        <v/>
      </c>
      <c r="AA81" s="44">
        <f>(J81-R81)/Y81</f>
        <v/>
      </c>
      <c r="AB81" s="44">
        <f>(J81-S81)/Y81</f>
        <v/>
      </c>
      <c r="AC81" s="38">
        <f>IF(ABS(AA81)&lt;=ABS(AB81),"9EMA","21EMA")</f>
        <v/>
      </c>
      <c r="AD81" s="38" t="inlineStr">
        <is>
          <t>9+21EMA</t>
        </is>
      </c>
      <c r="AE81" s="38" t="inlineStr">
        <is>
          <t>持續在上方</t>
        </is>
      </c>
      <c r="AF81" s="38" t="inlineStr"/>
      <c r="AG81" s="38" t="inlineStr"/>
      <c r="AH81" s="38" t="inlineStr">
        <is>
          <t>✓</t>
        </is>
      </c>
      <c r="AI81" s="38" t="inlineStr">
        <is>
          <t>2026-07-20</t>
        </is>
      </c>
      <c r="AJ81" s="38" t="n">
        <v>53</v>
      </c>
      <c r="AK81" s="47" t="n">
        <v>4</v>
      </c>
      <c r="AL81" s="38" t="inlineStr">
        <is>
          <t>2026-09-24</t>
        </is>
      </c>
      <c r="AM81" s="41" t="n">
        <v>11.03</v>
      </c>
      <c r="AN81" s="41" t="n">
        <v>10.6</v>
      </c>
      <c r="AO81" s="42">
        <f>IF(ISNUMBER(AN81),AM81/AN81-1,"")</f>
        <v/>
      </c>
      <c r="AP81" s="47" t="n">
        <v>6</v>
      </c>
      <c r="AQ81" s="42">
        <f>IF(ISNUMBER(AM81),J81/AM81-1,"")</f>
        <v/>
      </c>
      <c r="AR81" s="41" t="n">
        <v>12.92</v>
      </c>
      <c r="AS81" s="42">
        <f>J81/AR81-1</f>
        <v/>
      </c>
      <c r="AT81" s="48" t="n">
        <v>0.5224</v>
      </c>
      <c r="AU81" s="48" t="n">
        <v>0.6199</v>
      </c>
      <c r="AV81" s="48" t="n">
        <v>0.6443</v>
      </c>
      <c r="AW81" s="49">
        <f>AU81-AV81</f>
        <v/>
      </c>
      <c r="AX81" s="48" t="n">
        <v>-0.0975</v>
      </c>
      <c r="AY81" s="48" t="n">
        <v>-0.1126</v>
      </c>
      <c r="AZ81" s="48" t="n">
        <v>-0.0696</v>
      </c>
      <c r="BA81" s="38" t="inlineStr">
        <is>
          <t>淺紅</t>
        </is>
      </c>
      <c r="BB81" s="38" t="inlineStr">
        <is>
          <t>深紅→淺紅</t>
        </is>
      </c>
      <c r="BC81" s="38" t="n">
        <v>0</v>
      </c>
      <c r="BD81" s="38" t="inlineStr">
        <is>
          <t>淺綠 深紅 深紅 深紅 深綠 深紅 深紅 淺紅</t>
        </is>
      </c>
      <c r="BE81" s="38" t="inlineStr">
        <is>
          <t>上傾收窄（楔形）</t>
        </is>
      </c>
      <c r="BF81" s="50" t="n">
        <v>0.8031</v>
      </c>
      <c r="BG81" s="50" t="n">
        <v>1.1074</v>
      </c>
      <c r="BH81" s="50" t="n">
        <v>0.5473</v>
      </c>
      <c r="BI81" s="50" t="n">
        <v>0.5876</v>
      </c>
      <c r="BJ81" s="47" t="n">
        <v>3</v>
      </c>
      <c r="BK81" s="41" t="n">
        <v>13.49</v>
      </c>
      <c r="BL81" s="41" t="n">
        <v>9.07</v>
      </c>
      <c r="BM81" s="41" t="n">
        <v>11.4889</v>
      </c>
      <c r="BN81" s="50" t="n">
        <v>1.171</v>
      </c>
      <c r="BO81" s="44">
        <f>IF(M81=N81,0.5,(J81-N81)/(M81-N81))</f>
        <v/>
      </c>
      <c r="BP81" s="51" t="n">
        <v>28.432</v>
      </c>
      <c r="BQ81" s="51" t="n">
        <v>23.391</v>
      </c>
      <c r="BR81" s="52">
        <f>100*(0.4*MIN(1,MAX(0,((U81*100)-(0.0))/((2.5)-(0.0))))+0.3*MIN(1,MAX(0,((V81)-(0.6))/((1.0)-(0.6))))+0.3*MIN(1,MAX(0,((BP81)-(0.0))/((15.0)-(0.0)))))</f>
        <v/>
      </c>
      <c r="BS81" s="52">
        <f>100*(0.4*MIN(1,MAX(0,((MIN(ABS(AA81),ABS(AB81)))-(0.75))/((0.0)-(0.75))))+0.3*MIN(1,MAX(0,((BN81)-(1.2))/((0.6)-(1.2))))+0.3*BO81)</f>
        <v/>
      </c>
      <c r="BT81" s="52">
        <f>100*(0.5*MIN(1,MAX(0,((AK81)-(1.0))/((4.0)-(1.0))))+0.3*MIN(1,MAX(0,((IF(ISNUMBER(AO81),AO81,0)*100)-(0.0))/((8.0)-(0.0))))+0.2*MIN(1,MAX(0,((IF(ISNUMBER(AP81),AP81,0))-(25.0))/((5.0)-(25.0)))))</f>
        <v/>
      </c>
      <c r="BU81" s="52">
        <f>100*(0.35*MIN(1,MAX(0,((ABS(BF81))-(0.3))/((0.05)-(0.3))))+0.3*MIN(1,MAX(0,((BG81)-(0.0))/((0.3)-(0.0))))+0.25*MIN(1,MAX(0,((BH81)-(0.4))/((0.7)-(0.4))))+0.1*IF(BJ81&gt;=2,1,0.5))</f>
        <v/>
      </c>
      <c r="BV81" s="53">
        <f>0.25*BR81+0.25*BS81+0.2*BT81+0.3*BU81</f>
        <v/>
      </c>
      <c r="BW81" s="38" t="inlineStr">
        <is>
          <t>C5 MACD慢線向上</t>
        </is>
      </c>
      <c r="BX81" s="38" t="inlineStr"/>
    </row>
    <row r="82">
      <c r="A82" s="38" t="n">
        <v>3</v>
      </c>
      <c r="B82" s="38" t="n">
        <v>20</v>
      </c>
      <c r="C82" s="39" t="inlineStr">
        <is>
          <t>BE</t>
        </is>
      </c>
      <c r="D82" s="38" t="inlineStr">
        <is>
          <t>Bloom Energy Corporation</t>
        </is>
      </c>
      <c r="E82" s="38" t="inlineStr">
        <is>
          <t>NYSE</t>
        </is>
      </c>
      <c r="F82" s="38" t="inlineStr">
        <is>
          <t>能源</t>
        </is>
      </c>
      <c r="G82" s="38" t="inlineStr">
        <is>
          <t>Industrial Machinery/Components</t>
        </is>
      </c>
      <c r="H82" s="40" t="n">
        <v>81.578</v>
      </c>
      <c r="I82" s="38" t="inlineStr">
        <is>
          <t>大型</t>
        </is>
      </c>
      <c r="J82" s="41" t="n">
        <v>289.15</v>
      </c>
      <c r="K82" s="41" t="n">
        <v>277.58</v>
      </c>
      <c r="L82" s="42">
        <f>J82/K82-1</f>
        <v/>
      </c>
      <c r="M82" s="41" t="n">
        <v>297.59</v>
      </c>
      <c r="N82" s="41" t="n">
        <v>283.1</v>
      </c>
      <c r="O82" s="43" t="n">
        <v>12862400</v>
      </c>
      <c r="P82" s="43" t="n">
        <v>17788915</v>
      </c>
      <c r="Q82" s="44">
        <f>O82/P82</f>
        <v/>
      </c>
      <c r="R82" s="41" t="n">
        <v>278.3009</v>
      </c>
      <c r="S82" s="41" t="n">
        <v>266.9409</v>
      </c>
      <c r="T82" s="41" t="n">
        <v>258.7915</v>
      </c>
      <c r="U82" s="42">
        <f>S82/T82-1</f>
        <v/>
      </c>
      <c r="V82" s="45" t="n">
        <v>1</v>
      </c>
      <c r="W82" s="42">
        <f>J82/R82-1</f>
        <v/>
      </c>
      <c r="X82" s="42">
        <f>J82/S82-1</f>
        <v/>
      </c>
      <c r="Y82" s="41" t="n">
        <v>20.9237</v>
      </c>
      <c r="Z82" s="46">
        <f>Y82/J82</f>
        <v/>
      </c>
      <c r="AA82" s="44">
        <f>(J82-R82)/Y82</f>
        <v/>
      </c>
      <c r="AB82" s="44">
        <f>(J82-S82)/Y82</f>
        <v/>
      </c>
      <c r="AC82" s="38">
        <f>IF(ABS(AA82)&lt;=ABS(AB82),"9EMA","21EMA")</f>
        <v/>
      </c>
      <c r="AD82" s="38" t="inlineStr">
        <is>
          <t>9EMA</t>
        </is>
      </c>
      <c r="AE82" s="38" t="inlineStr">
        <is>
          <t>持續在上方</t>
        </is>
      </c>
      <c r="AF82" s="38" t="inlineStr"/>
      <c r="AG82" s="38" t="inlineStr"/>
      <c r="AH82" s="38" t="inlineStr"/>
      <c r="AI82" s="38" t="inlineStr">
        <is>
          <t>2026-09-03</t>
        </is>
      </c>
      <c r="AJ82" s="38" t="n">
        <v>20</v>
      </c>
      <c r="AK82" s="47" t="n">
        <v>4</v>
      </c>
      <c r="AL82" s="38" t="inlineStr">
        <is>
          <t>2026-09-24</t>
        </is>
      </c>
      <c r="AM82" s="41" t="n">
        <v>251.3</v>
      </c>
      <c r="AN82" s="41" t="n">
        <v>249.05</v>
      </c>
      <c r="AO82" s="42">
        <f>IF(ISNUMBER(AN82),AM82/AN82-1,"")</f>
        <v/>
      </c>
      <c r="AP82" s="47" t="n">
        <v>6</v>
      </c>
      <c r="AQ82" s="42">
        <f>IF(ISNUMBER(AM82),J82/AM82-1,"")</f>
        <v/>
      </c>
      <c r="AR82" s="41" t="n">
        <v>291.25</v>
      </c>
      <c r="AS82" s="42">
        <f>J82/AR82-1</f>
        <v/>
      </c>
      <c r="AT82" s="48" t="n">
        <v>12.6697</v>
      </c>
      <c r="AU82" s="48" t="n">
        <v>12.6184</v>
      </c>
      <c r="AV82" s="48" t="n">
        <v>12.6055</v>
      </c>
      <c r="AW82" s="49">
        <f>AU82-AV82</f>
        <v/>
      </c>
      <c r="AX82" s="48" t="n">
        <v>0.0514</v>
      </c>
      <c r="AY82" s="48" t="n">
        <v>-0.3056</v>
      </c>
      <c r="AZ82" s="48" t="n">
        <v>0.145</v>
      </c>
      <c r="BA82" s="38" t="inlineStr">
        <is>
          <t>深綠</t>
        </is>
      </c>
      <c r="BB82" s="38" t="inlineStr">
        <is>
          <t>—</t>
        </is>
      </c>
      <c r="BC82" s="38" t="inlineStr">
        <is>
          <t>—</t>
        </is>
      </c>
      <c r="BD82" s="38" t="inlineStr">
        <is>
          <t>淺綠 淺綠 深綠 深紅 深綠 淺綠 深紅 深綠</t>
        </is>
      </c>
      <c r="BE82" s="38" t="inlineStr">
        <is>
          <t>上傾收窄（楔形）</t>
        </is>
      </c>
      <c r="BF82" s="50" t="n">
        <v>0.4317</v>
      </c>
      <c r="BG82" s="50" t="n">
        <v>1.1629</v>
      </c>
      <c r="BH82" s="50" t="n">
        <v>0.6379</v>
      </c>
      <c r="BI82" s="50" t="n">
        <v>0.6837</v>
      </c>
      <c r="BJ82" s="47" t="n">
        <v>2</v>
      </c>
      <c r="BK82" s="41" t="n">
        <v>302.354</v>
      </c>
      <c r="BL82" s="41" t="n">
        <v>197.5</v>
      </c>
      <c r="BM82" s="41" t="n">
        <v>264.3821</v>
      </c>
      <c r="BN82" s="50" t="n">
        <v>0.9459</v>
      </c>
      <c r="BO82" s="44">
        <f>IF(M82=N82,0.5,(J82-N82)/(M82-N82))</f>
        <v/>
      </c>
      <c r="BP82" s="51" t="n">
        <v>38.118</v>
      </c>
      <c r="BQ82" s="51" t="n">
        <v>33.077</v>
      </c>
      <c r="BR82" s="52">
        <f>100*(0.4*MIN(1,MAX(0,((U82*100)-(0.0))/((2.5)-(0.0))))+0.3*MIN(1,MAX(0,((V82)-(0.6))/((1.0)-(0.6))))+0.3*MIN(1,MAX(0,((BP82)-(0.0))/((15.0)-(0.0)))))</f>
        <v/>
      </c>
      <c r="BS82" s="52">
        <f>100*(0.4*MIN(1,MAX(0,((MIN(ABS(AA82),ABS(AB82)))-(0.75))/((0.0)-(0.75))))+0.3*MIN(1,MAX(0,((BN82)-(1.2))/((0.6)-(1.2))))+0.3*BO82)</f>
        <v/>
      </c>
      <c r="BT82" s="52">
        <f>100*(0.5*MIN(1,MAX(0,((AK82)-(1.0))/((4.0)-(1.0))))+0.3*MIN(1,MAX(0,((IF(ISNUMBER(AO82),AO82,0)*100)-(0.0))/((8.0)-(0.0))))+0.2*MIN(1,MAX(0,((IF(ISNUMBER(AP82),AP82,0))-(25.0))/((5.0)-(25.0)))))</f>
        <v/>
      </c>
      <c r="BU82" s="52">
        <f>100*(0.35*MIN(1,MAX(0,((ABS(BF82))-(0.3))/((0.05)-(0.3))))+0.3*MIN(1,MAX(0,((BG82)-(0.0))/((0.3)-(0.0))))+0.25*MIN(1,MAX(0,((BH82)-(0.4))/((0.7)-(0.4))))+0.1*IF(BJ82&gt;=2,1,0.5))</f>
        <v/>
      </c>
      <c r="BV82" s="53">
        <f>0.25*BR82+0.25*BS82+0.2*BT82+0.3*BU82</f>
        <v/>
      </c>
      <c r="BW82" s="38" t="inlineStr">
        <is>
          <t>C6 MACD柱轉勢</t>
        </is>
      </c>
      <c r="BX82" s="38" t="inlineStr"/>
    </row>
    <row r="83">
      <c r="A83" s="38" t="n">
        <v>3</v>
      </c>
      <c r="B83" s="38" t="n">
        <v>21</v>
      </c>
      <c r="C83" s="39" t="inlineStr">
        <is>
          <t>CRSR</t>
        </is>
      </c>
      <c r="D83" s="38" t="inlineStr">
        <is>
          <t>Corsair Gaming Inc.</t>
        </is>
      </c>
      <c r="E83" s="38" t="inlineStr">
        <is>
          <t>NASDAQ</t>
        </is>
      </c>
      <c r="F83" s="38" t="inlineStr">
        <is>
          <t>科技</t>
        </is>
      </c>
      <c r="G83" s="38" t="inlineStr">
        <is>
          <t>Computer peripheral equipment</t>
        </is>
      </c>
      <c r="H83" s="40" t="n">
        <v>1.46</v>
      </c>
      <c r="I83" s="38" t="inlineStr">
        <is>
          <t>小型</t>
        </is>
      </c>
      <c r="J83" s="41" t="n">
        <v>13.79</v>
      </c>
      <c r="K83" s="41" t="n">
        <v>13.85</v>
      </c>
      <c r="L83" s="42">
        <f>J83/K83-1</f>
        <v/>
      </c>
      <c r="M83" s="41" t="n">
        <v>14.42</v>
      </c>
      <c r="N83" s="41" t="n">
        <v>13.77</v>
      </c>
      <c r="O83" s="43" t="n">
        <v>1288500</v>
      </c>
      <c r="P83" s="43" t="n">
        <v>1071525</v>
      </c>
      <c r="Q83" s="44">
        <f>O83/P83</f>
        <v/>
      </c>
      <c r="R83" s="41" t="n">
        <v>13.5806</v>
      </c>
      <c r="S83" s="41" t="n">
        <v>13.2164</v>
      </c>
      <c r="T83" s="41" t="n">
        <v>12.9586</v>
      </c>
      <c r="U83" s="42">
        <f>S83/T83-1</f>
        <v/>
      </c>
      <c r="V83" s="45" t="n">
        <v>1</v>
      </c>
      <c r="W83" s="42">
        <f>J83/R83-1</f>
        <v/>
      </c>
      <c r="X83" s="42">
        <f>J83/S83-1</f>
        <v/>
      </c>
      <c r="Y83" s="41" t="n">
        <v>0.6032999999999999</v>
      </c>
      <c r="Z83" s="46">
        <f>Y83/J83</f>
        <v/>
      </c>
      <c r="AA83" s="44">
        <f>(J83-R83)/Y83</f>
        <v/>
      </c>
      <c r="AB83" s="44">
        <f>(J83-S83)/Y83</f>
        <v/>
      </c>
      <c r="AC83" s="38">
        <f>IF(ABS(AA83)&lt;=ABS(AB83),"9EMA","21EMA")</f>
        <v/>
      </c>
      <c r="AD83" s="38" t="inlineStr">
        <is>
          <t>9EMA</t>
        </is>
      </c>
      <c r="AE83" s="38" t="inlineStr">
        <is>
          <t>持續在上方</t>
        </is>
      </c>
      <c r="AF83" s="38" t="inlineStr"/>
      <c r="AG83" s="38" t="inlineStr"/>
      <c r="AH83" s="38" t="inlineStr">
        <is>
          <t>✓</t>
        </is>
      </c>
      <c r="AI83" s="38" t="inlineStr">
        <is>
          <t>2026-06-29</t>
        </is>
      </c>
      <c r="AJ83" s="38" t="n">
        <v>67</v>
      </c>
      <c r="AK83" s="47" t="n">
        <v>6</v>
      </c>
      <c r="AL83" s="38" t="inlineStr">
        <is>
          <t>2026-09-24</t>
        </is>
      </c>
      <c r="AM83" s="41" t="n">
        <v>13.06</v>
      </c>
      <c r="AN83" s="41" t="n">
        <v>12.05</v>
      </c>
      <c r="AO83" s="42">
        <f>IF(ISNUMBER(AN83),AM83/AN83-1,"")</f>
        <v/>
      </c>
      <c r="AP83" s="47" t="n">
        <v>6</v>
      </c>
      <c r="AQ83" s="42">
        <f>IF(ISNUMBER(AM83),J83/AM83-1,"")</f>
        <v/>
      </c>
      <c r="AR83" s="41" t="n">
        <v>13.85</v>
      </c>
      <c r="AS83" s="42">
        <f>J83/AR83-1</f>
        <v/>
      </c>
      <c r="AT83" s="48" t="n">
        <v>0.4428</v>
      </c>
      <c r="AU83" s="48" t="n">
        <v>0.468</v>
      </c>
      <c r="AV83" s="48" t="n">
        <v>0.4744</v>
      </c>
      <c r="AW83" s="49">
        <f>AU83-AV83</f>
        <v/>
      </c>
      <c r="AX83" s="48" t="n">
        <v>-0.0253</v>
      </c>
      <c r="AY83" s="48" t="n">
        <v>-0.026</v>
      </c>
      <c r="AZ83" s="48" t="n">
        <v>-0.0379</v>
      </c>
      <c r="BA83" s="38" t="inlineStr">
        <is>
          <t>淺紅</t>
        </is>
      </c>
      <c r="BB83" s="38" t="inlineStr">
        <is>
          <t>深紅→淺紅</t>
        </is>
      </c>
      <c r="BC83" s="38" t="n">
        <v>1</v>
      </c>
      <c r="BD83" s="38" t="inlineStr">
        <is>
          <t>淺綠 淺綠 淺綠 深紅 深紅 深紅 淺紅 淺紅</t>
        </is>
      </c>
      <c r="BE83" s="38" t="inlineStr">
        <is>
          <t>上傾收窄（楔形）</t>
        </is>
      </c>
      <c r="BF83" s="50" t="n">
        <v>0.5113</v>
      </c>
      <c r="BG83" s="50" t="n">
        <v>0.6893</v>
      </c>
      <c r="BH83" s="50" t="n">
        <v>0.5255</v>
      </c>
      <c r="BI83" s="50" t="n">
        <v>0.645</v>
      </c>
      <c r="BJ83" s="47" t="n">
        <v>2</v>
      </c>
      <c r="BK83" s="41" t="n">
        <v>14.42</v>
      </c>
      <c r="BL83" s="41" t="n">
        <v>11.55</v>
      </c>
      <c r="BM83" s="41" t="n">
        <v>13.0583</v>
      </c>
      <c r="BN83" s="50" t="n">
        <v>0.9491000000000001</v>
      </c>
      <c r="BO83" s="44">
        <f>IF(M83=N83,0.5,(J83-N83)/(M83-N83))</f>
        <v/>
      </c>
      <c r="BP83" s="51" t="n">
        <v>19.008</v>
      </c>
      <c r="BQ83" s="51" t="n">
        <v>13.967</v>
      </c>
      <c r="BR83" s="52">
        <f>100*(0.4*MIN(1,MAX(0,((U83*100)-(0.0))/((2.5)-(0.0))))+0.3*MIN(1,MAX(0,((V83)-(0.6))/((1.0)-(0.6))))+0.3*MIN(1,MAX(0,((BP83)-(0.0))/((15.0)-(0.0)))))</f>
        <v/>
      </c>
      <c r="BS83" s="52">
        <f>100*(0.4*MIN(1,MAX(0,((MIN(ABS(AA83),ABS(AB83)))-(0.75))/((0.0)-(0.75))))+0.3*MIN(1,MAX(0,((BN83)-(1.2))/((0.6)-(1.2))))+0.3*BO83)</f>
        <v/>
      </c>
      <c r="BT83" s="52">
        <f>100*(0.5*MIN(1,MAX(0,((AK83)-(1.0))/((4.0)-(1.0))))+0.3*MIN(1,MAX(0,((IF(ISNUMBER(AO83),AO83,0)*100)-(0.0))/((8.0)-(0.0))))+0.2*MIN(1,MAX(0,((IF(ISNUMBER(AP83),AP83,0))-(25.0))/((5.0)-(25.0)))))</f>
        <v/>
      </c>
      <c r="BU83" s="52">
        <f>100*(0.35*MIN(1,MAX(0,((ABS(BF83))-(0.3))/((0.05)-(0.3))))+0.3*MIN(1,MAX(0,((BG83)-(0.0))/((0.3)-(0.0))))+0.25*MIN(1,MAX(0,((BH83)-(0.4))/((0.7)-(0.4))))+0.1*IF(BJ83&gt;=2,1,0.5))</f>
        <v/>
      </c>
      <c r="BV83" s="53">
        <f>0.25*BR83+0.25*BS83+0.2*BT83+0.3*BU83</f>
        <v/>
      </c>
      <c r="BW83" s="38" t="inlineStr">
        <is>
          <t>C5 MACD慢線向上</t>
        </is>
      </c>
      <c r="BX83" s="38" t="inlineStr"/>
    </row>
    <row r="84">
      <c r="A84" s="38" t="n">
        <v>3</v>
      </c>
      <c r="B84" s="38" t="n">
        <v>22</v>
      </c>
      <c r="C84" s="39" t="inlineStr">
        <is>
          <t>SENS</t>
        </is>
      </c>
      <c r="D84" s="38" t="inlineStr">
        <is>
          <t>Senseonics Holdings Inc.</t>
        </is>
      </c>
      <c r="E84" s="38" t="inlineStr">
        <is>
          <t>NASDAQ</t>
        </is>
      </c>
      <c r="F84" s="38" t="inlineStr">
        <is>
          <t>醫療保健</t>
        </is>
      </c>
      <c r="G84" s="38" t="inlineStr">
        <is>
          <t>Medical/Dental Instruments</t>
        </is>
      </c>
      <c r="H84" s="40" t="n">
        <v>0.538</v>
      </c>
      <c r="I84" s="38" t="inlineStr">
        <is>
          <t>小型</t>
        </is>
      </c>
      <c r="J84" s="41" t="n">
        <v>9.880000000000001</v>
      </c>
      <c r="K84" s="41" t="n">
        <v>9.960000000000001</v>
      </c>
      <c r="L84" s="42">
        <f>J84/K84-1</f>
        <v/>
      </c>
      <c r="M84" s="41" t="n">
        <v>10.09</v>
      </c>
      <c r="N84" s="41" t="n">
        <v>9.779999999999999</v>
      </c>
      <c r="O84" s="43" t="n">
        <v>704900</v>
      </c>
      <c r="P84" s="43" t="n">
        <v>717815</v>
      </c>
      <c r="Q84" s="44">
        <f>O84/P84</f>
        <v/>
      </c>
      <c r="R84" s="41" t="n">
        <v>9.9102</v>
      </c>
      <c r="S84" s="41" t="n">
        <v>9.582599999999999</v>
      </c>
      <c r="T84" s="41" t="n">
        <v>9.3406</v>
      </c>
      <c r="U84" s="42">
        <f>S84/T84-1</f>
        <v/>
      </c>
      <c r="V84" s="45" t="n">
        <v>1</v>
      </c>
      <c r="W84" s="42">
        <f>J84/R84-1</f>
        <v/>
      </c>
      <c r="X84" s="42">
        <f>J84/S84-1</f>
        <v/>
      </c>
      <c r="Y84" s="41" t="n">
        <v>0.4699</v>
      </c>
      <c r="Z84" s="46">
        <f>Y84/J84</f>
        <v/>
      </c>
      <c r="AA84" s="44">
        <f>(J84-R84)/Y84</f>
        <v/>
      </c>
      <c r="AB84" s="44">
        <f>(J84-S84)/Y84</f>
        <v/>
      </c>
      <c r="AC84" s="38">
        <f>IF(ABS(AA84)&lt;=ABS(AB84),"9EMA","21EMA")</f>
        <v/>
      </c>
      <c r="AD84" s="38" t="inlineStr">
        <is>
          <t>9EMA</t>
        </is>
      </c>
      <c r="AE84" s="38" t="inlineStr">
        <is>
          <t>持續在上方</t>
        </is>
      </c>
      <c r="AF84" s="38" t="inlineStr"/>
      <c r="AG84" s="38" t="inlineStr"/>
      <c r="AH84" s="38" t="inlineStr">
        <is>
          <t>✓</t>
        </is>
      </c>
      <c r="AI84" s="38" t="inlineStr">
        <is>
          <t>2026-08-07</t>
        </is>
      </c>
      <c r="AJ84" s="38" t="n">
        <v>39</v>
      </c>
      <c r="AK84" s="47" t="n">
        <v>2</v>
      </c>
      <c r="AL84" s="38" t="inlineStr">
        <is>
          <t>2026-09-29</t>
        </is>
      </c>
      <c r="AM84" s="41" t="n">
        <v>9.77</v>
      </c>
      <c r="AN84" s="41" t="n">
        <v>8.449999999999999</v>
      </c>
      <c r="AO84" s="42">
        <f>IF(ISNUMBER(AN84),AM84/AN84-1,"")</f>
        <v/>
      </c>
      <c r="AP84" s="47" t="n">
        <v>3</v>
      </c>
      <c r="AQ84" s="42">
        <f>IF(ISNUMBER(AM84),J84/AM84-1,"")</f>
        <v/>
      </c>
      <c r="AR84" s="41" t="n">
        <v>10.34</v>
      </c>
      <c r="AS84" s="42">
        <f>J84/AR84-1</f>
        <v/>
      </c>
      <c r="AT84" s="48" t="n">
        <v>0.428</v>
      </c>
      <c r="AU84" s="48" t="n">
        <v>0.4793</v>
      </c>
      <c r="AV84" s="48" t="n">
        <v>0.4921</v>
      </c>
      <c r="AW84" s="49">
        <f>AU84-AV84</f>
        <v/>
      </c>
      <c r="AX84" s="48" t="n">
        <v>-0.0513</v>
      </c>
      <c r="AY84" s="48" t="n">
        <v>-0.0337</v>
      </c>
      <c r="AZ84" s="48" t="n">
        <v>-0.0182</v>
      </c>
      <c r="BA84" s="38" t="inlineStr">
        <is>
          <t>深紅</t>
        </is>
      </c>
      <c r="BB84" s="38" t="inlineStr">
        <is>
          <t>—</t>
        </is>
      </c>
      <c r="BC84" s="38" t="inlineStr">
        <is>
          <t>—</t>
        </is>
      </c>
      <c r="BD84" s="38" t="inlineStr">
        <is>
          <t>淺紅 深綠 淺綠 深紅 深紅 淺紅 深紅 深紅</t>
        </is>
      </c>
      <c r="BE84" s="38" t="inlineStr">
        <is>
          <t>上傾收窄（楔形）</t>
        </is>
      </c>
      <c r="BF84" s="50" t="n">
        <v>0.2213</v>
      </c>
      <c r="BG84" s="50" t="n">
        <v>1.0277</v>
      </c>
      <c r="BH84" s="50" t="n">
        <v>0.5319</v>
      </c>
      <c r="BI84" s="50" t="n">
        <v>0.5552</v>
      </c>
      <c r="BJ84" s="47" t="n">
        <v>1</v>
      </c>
      <c r="BK84" s="41" t="n">
        <v>10.64</v>
      </c>
      <c r="BL84" s="41" t="n">
        <v>8.449999999999999</v>
      </c>
      <c r="BM84" s="41" t="n">
        <v>9.6149</v>
      </c>
      <c r="BN84" s="50" t="n">
        <v>0.8131</v>
      </c>
      <c r="BO84" s="44">
        <f>IF(M84=N84,0.5,(J84-N84)/(M84-N84))</f>
        <v/>
      </c>
      <c r="BP84" s="51" t="n">
        <v>4.437</v>
      </c>
      <c r="BQ84" s="51" t="n">
        <v>-0.604</v>
      </c>
      <c r="BR84" s="52">
        <f>100*(0.4*MIN(1,MAX(0,((U84*100)-(0.0))/((2.5)-(0.0))))+0.3*MIN(1,MAX(0,((V84)-(0.6))/((1.0)-(0.6))))+0.3*MIN(1,MAX(0,((BP84)-(0.0))/((15.0)-(0.0)))))</f>
        <v/>
      </c>
      <c r="BS84" s="52">
        <f>100*(0.4*MIN(1,MAX(0,((MIN(ABS(AA84),ABS(AB84)))-(0.75))/((0.0)-(0.75))))+0.3*MIN(1,MAX(0,((BN84)-(1.2))/((0.6)-(1.2))))+0.3*BO84)</f>
        <v/>
      </c>
      <c r="BT84" s="52">
        <f>100*(0.5*MIN(1,MAX(0,((AK84)-(1.0))/((4.0)-(1.0))))+0.3*MIN(1,MAX(0,((IF(ISNUMBER(AO84),AO84,0)*100)-(0.0))/((8.0)-(0.0))))+0.2*MIN(1,MAX(0,((IF(ISNUMBER(AP84),AP84,0))-(25.0))/((5.0)-(25.0)))))</f>
        <v/>
      </c>
      <c r="BU84" s="52">
        <f>100*(0.35*MIN(1,MAX(0,((ABS(BF84))-(0.3))/((0.05)-(0.3))))+0.3*MIN(1,MAX(0,((BG84)-(0.0))/((0.3)-(0.0))))+0.25*MIN(1,MAX(0,((BH84)-(0.4))/((0.7)-(0.4))))+0.1*IF(BJ84&gt;=2,1,0.5))</f>
        <v/>
      </c>
      <c r="BV84" s="53">
        <f>0.25*BR84+0.25*BS84+0.2*BT84+0.3*BU84</f>
        <v/>
      </c>
      <c r="BW84" s="38" t="inlineStr">
        <is>
          <t>C5 MACD慢線向上、C6 MACD柱轉勢</t>
        </is>
      </c>
      <c r="BX84" s="38" t="inlineStr"/>
    </row>
    <row r="85">
      <c r="A85" s="38" t="n">
        <v>3</v>
      </c>
      <c r="B85" s="38" t="n">
        <v>23</v>
      </c>
      <c r="C85" s="39" t="inlineStr">
        <is>
          <t>SNDK</t>
        </is>
      </c>
      <c r="D85" s="38" t="inlineStr">
        <is>
          <t>Sandisk Corporation</t>
        </is>
      </c>
      <c r="E85" s="38" t="inlineStr">
        <is>
          <t>NASDAQ</t>
        </is>
      </c>
      <c r="F85" s="38" t="inlineStr">
        <is>
          <t>科技</t>
        </is>
      </c>
      <c r="G85" s="38" t="inlineStr">
        <is>
          <t>Electronic Components</t>
        </is>
      </c>
      <c r="H85" s="40" t="n">
        <v>254.753</v>
      </c>
      <c r="I85" s="38" t="inlineStr">
        <is>
          <t>大型</t>
        </is>
      </c>
      <c r="J85" s="41" t="n">
        <v>1719.99</v>
      </c>
      <c r="K85" s="41" t="n">
        <v>1787.6899</v>
      </c>
      <c r="L85" s="42">
        <f>J85/K85-1</f>
        <v/>
      </c>
      <c r="M85" s="41" t="n">
        <v>1774.23</v>
      </c>
      <c r="N85" s="41" t="n">
        <v>1713.47</v>
      </c>
      <c r="O85" s="43" t="n">
        <v>8163600</v>
      </c>
      <c r="P85" s="43" t="n">
        <v>9416170</v>
      </c>
      <c r="Q85" s="44">
        <f>O85/P85</f>
        <v/>
      </c>
      <c r="R85" s="41" t="n">
        <v>1741.0869</v>
      </c>
      <c r="S85" s="41" t="n">
        <v>1698.1726</v>
      </c>
      <c r="T85" s="41" t="n">
        <v>1673.0694</v>
      </c>
      <c r="U85" s="42">
        <f>S85/T85-1</f>
        <v/>
      </c>
      <c r="V85" s="45" t="n">
        <v>1</v>
      </c>
      <c r="W85" s="42">
        <f>J85/R85-1</f>
        <v/>
      </c>
      <c r="X85" s="42">
        <f>J85/S85-1</f>
        <v/>
      </c>
      <c r="Y85" s="41" t="n">
        <v>100.314</v>
      </c>
      <c r="Z85" s="46">
        <f>Y85/J85</f>
        <v/>
      </c>
      <c r="AA85" s="44">
        <f>(J85-R85)/Y85</f>
        <v/>
      </c>
      <c r="AB85" s="44">
        <f>(J85-S85)/Y85</f>
        <v/>
      </c>
      <c r="AC85" s="38">
        <f>IF(ABS(AA85)&lt;=ABS(AB85),"9EMA","21EMA")</f>
        <v/>
      </c>
      <c r="AD85" s="38" t="inlineStr">
        <is>
          <t>9EMA</t>
        </is>
      </c>
      <c r="AE85" s="38" t="inlineStr">
        <is>
          <t>持續在上方</t>
        </is>
      </c>
      <c r="AF85" s="38" t="inlineStr"/>
      <c r="AG85" s="38" t="inlineStr"/>
      <c r="AH85" s="38" t="inlineStr">
        <is>
          <t>✓</t>
        </is>
      </c>
      <c r="AI85" s="38" t="inlineStr">
        <is>
          <t>2026-08-17</t>
        </is>
      </c>
      <c r="AJ85" s="38" t="n">
        <v>33</v>
      </c>
      <c r="AK85" s="47" t="n">
        <v>5</v>
      </c>
      <c r="AL85" s="38" t="inlineStr">
        <is>
          <t>2026-09-28</t>
        </is>
      </c>
      <c r="AM85" s="41" t="n">
        <v>1659.02</v>
      </c>
      <c r="AN85" s="41" t="n">
        <v>1504.2</v>
      </c>
      <c r="AO85" s="42">
        <f>IF(ISNUMBER(AN85),AM85/AN85-1,"")</f>
        <v/>
      </c>
      <c r="AP85" s="47" t="n">
        <v>4</v>
      </c>
      <c r="AQ85" s="42">
        <f>IF(ISNUMBER(AM85),J85/AM85-1,"")</f>
        <v/>
      </c>
      <c r="AR85" s="41" t="n">
        <v>1887.04</v>
      </c>
      <c r="AS85" s="42">
        <f>J85/AR85-1</f>
        <v/>
      </c>
      <c r="AT85" s="48" t="n">
        <v>50.7527</v>
      </c>
      <c r="AU85" s="48" t="n">
        <v>54.8188</v>
      </c>
      <c r="AV85" s="48" t="n">
        <v>55.8353</v>
      </c>
      <c r="AW85" s="49">
        <f>AU85-AV85</f>
        <v/>
      </c>
      <c r="AX85" s="48" t="n">
        <v>-4.0661</v>
      </c>
      <c r="AY85" s="48" t="n">
        <v>0.2068</v>
      </c>
      <c r="AZ85" s="48" t="n">
        <v>-0.6985</v>
      </c>
      <c r="BA85" s="38" t="inlineStr">
        <is>
          <t>深紅</t>
        </is>
      </c>
      <c r="BB85" s="38" t="inlineStr">
        <is>
          <t>—</t>
        </is>
      </c>
      <c r="BC85" s="38" t="inlineStr">
        <is>
          <t>—</t>
        </is>
      </c>
      <c r="BD85" s="38" t="inlineStr">
        <is>
          <t>深綠 淺綠 淺綠 淺綠 淺綠 深紅 深綠 深紅</t>
        </is>
      </c>
      <c r="BE85" s="38" t="inlineStr">
        <is>
          <t>上升通道</t>
        </is>
      </c>
      <c r="BF85" s="50" t="n">
        <v>0.5936</v>
      </c>
      <c r="BG85" s="50" t="n">
        <v>0.6244</v>
      </c>
      <c r="BH85" s="50" t="n">
        <v>0.5169</v>
      </c>
      <c r="BI85" s="50" t="n">
        <v>0.4865</v>
      </c>
      <c r="BJ85" s="47" t="n">
        <v>2</v>
      </c>
      <c r="BK85" s="41" t="n">
        <v>1909.48</v>
      </c>
      <c r="BL85" s="41" t="n">
        <v>1435.61</v>
      </c>
      <c r="BM85" s="41" t="n">
        <v>1680.5625</v>
      </c>
      <c r="BN85" s="50" t="n">
        <v>0.9935</v>
      </c>
      <c r="BO85" s="44">
        <f>IF(M85=N85,0.5,(J85-N85)/(M85-N85))</f>
        <v/>
      </c>
      <c r="BP85" s="51" t="n">
        <v>15.765</v>
      </c>
      <c r="BQ85" s="51" t="n">
        <v>10.724</v>
      </c>
      <c r="BR85" s="52">
        <f>100*(0.4*MIN(1,MAX(0,((U85*100)-(0.0))/((2.5)-(0.0))))+0.3*MIN(1,MAX(0,((V85)-(0.6))/((1.0)-(0.6))))+0.3*MIN(1,MAX(0,((BP85)-(0.0))/((15.0)-(0.0)))))</f>
        <v/>
      </c>
      <c r="BS85" s="52">
        <f>100*(0.4*MIN(1,MAX(0,((MIN(ABS(AA85),ABS(AB85)))-(0.75))/((0.0)-(0.75))))+0.3*MIN(1,MAX(0,((BN85)-(1.2))/((0.6)-(1.2))))+0.3*BO85)</f>
        <v/>
      </c>
      <c r="BT85" s="52">
        <f>100*(0.5*MIN(1,MAX(0,((AK85)-(1.0))/((4.0)-(1.0))))+0.3*MIN(1,MAX(0,((IF(ISNUMBER(AO85),AO85,0)*100)-(0.0))/((8.0)-(0.0))))+0.2*MIN(1,MAX(0,((IF(ISNUMBER(AP85),AP85,0))-(25.0))/((5.0)-(25.0)))))</f>
        <v/>
      </c>
      <c r="BU85" s="52">
        <f>100*(0.35*MIN(1,MAX(0,((ABS(BF85))-(0.3))/((0.05)-(0.3))))+0.3*MIN(1,MAX(0,((BG85)-(0.0))/((0.3)-(0.0))))+0.25*MIN(1,MAX(0,((BH85)-(0.4))/((0.7)-(0.4))))+0.1*IF(BJ85&gt;=2,1,0.5))</f>
        <v/>
      </c>
      <c r="BV85" s="53">
        <f>0.25*BR85+0.25*BS85+0.2*BT85+0.3*BU85</f>
        <v/>
      </c>
      <c r="BW85" s="38" t="inlineStr">
        <is>
          <t>C5 MACD慢線向上、C6 MACD柱轉勢</t>
        </is>
      </c>
      <c r="BX85" s="38" t="inlineStr"/>
    </row>
    <row r="86">
      <c r="A86" s="38" t="n">
        <v>3</v>
      </c>
      <c r="B86" s="38" t="n">
        <v>24</v>
      </c>
      <c r="C86" s="39" t="inlineStr">
        <is>
          <t>CVLT</t>
        </is>
      </c>
      <c r="D86" s="38" t="inlineStr">
        <is>
          <t>Commvault Systems Inc.</t>
        </is>
      </c>
      <c r="E86" s="38" t="inlineStr">
        <is>
          <t>NASDAQ</t>
        </is>
      </c>
      <c r="F86" s="38" t="inlineStr">
        <is>
          <t>科技</t>
        </is>
      </c>
      <c r="G86" s="38" t="inlineStr">
        <is>
          <t>Computer Software: Prepackaged Software</t>
        </is>
      </c>
      <c r="H86" s="40" t="n">
        <v>6.213</v>
      </c>
      <c r="I86" s="38" t="inlineStr">
        <is>
          <t>中型</t>
        </is>
      </c>
      <c r="J86" s="41" t="n">
        <v>150.28</v>
      </c>
      <c r="K86" s="41" t="n">
        <v>147.77</v>
      </c>
      <c r="L86" s="42">
        <f>J86/K86-1</f>
        <v/>
      </c>
      <c r="M86" s="41" t="n">
        <v>153.24</v>
      </c>
      <c r="N86" s="41" t="n">
        <v>148.78</v>
      </c>
      <c r="O86" s="43" t="n">
        <v>471000</v>
      </c>
      <c r="P86" s="43" t="n">
        <v>591635</v>
      </c>
      <c r="Q86" s="44">
        <f>O86/P86</f>
        <v/>
      </c>
      <c r="R86" s="41" t="n">
        <v>147.643</v>
      </c>
      <c r="S86" s="41" t="n">
        <v>144.3816</v>
      </c>
      <c r="T86" s="41" t="n">
        <v>141.8105</v>
      </c>
      <c r="U86" s="42">
        <f>S86/T86-1</f>
        <v/>
      </c>
      <c r="V86" s="45" t="n">
        <v>1</v>
      </c>
      <c r="W86" s="42">
        <f>J86/R86-1</f>
        <v/>
      </c>
      <c r="X86" s="42">
        <f>J86/S86-1</f>
        <v/>
      </c>
      <c r="Y86" s="41" t="n">
        <v>5.7661</v>
      </c>
      <c r="Z86" s="46">
        <f>Y86/J86</f>
        <v/>
      </c>
      <c r="AA86" s="44">
        <f>(J86-R86)/Y86</f>
        <v/>
      </c>
      <c r="AB86" s="44">
        <f>(J86-S86)/Y86</f>
        <v/>
      </c>
      <c r="AC86" s="38">
        <f>IF(ABS(AA86)&lt;=ABS(AB86),"9EMA","21EMA")</f>
        <v/>
      </c>
      <c r="AD86" s="38" t="inlineStr">
        <is>
          <t>9EMA</t>
        </is>
      </c>
      <c r="AE86" s="38" t="inlineStr">
        <is>
          <t>持續在上方</t>
        </is>
      </c>
      <c r="AF86" s="38" t="inlineStr"/>
      <c r="AG86" s="38" t="inlineStr"/>
      <c r="AH86" s="38" t="inlineStr">
        <is>
          <t>✓</t>
        </is>
      </c>
      <c r="AI86" s="38" t="inlineStr">
        <is>
          <t>2026-09-15</t>
        </is>
      </c>
      <c r="AJ86" s="38" t="n">
        <v>13</v>
      </c>
      <c r="AK86" s="47" t="n">
        <v>3</v>
      </c>
      <c r="AL86" s="38" t="inlineStr">
        <is>
          <t>2026-09-28</t>
        </is>
      </c>
      <c r="AM86" s="41" t="n">
        <v>141.1</v>
      </c>
      <c r="AN86" s="41" t="n">
        <v>129.5</v>
      </c>
      <c r="AO86" s="42">
        <f>IF(ISNUMBER(AN86),AM86/AN86-1,"")</f>
        <v/>
      </c>
      <c r="AP86" s="47" t="n">
        <v>4</v>
      </c>
      <c r="AQ86" s="42">
        <f>IF(ISNUMBER(AM86),J86/AM86-1,"")</f>
        <v/>
      </c>
      <c r="AR86" s="41" t="n">
        <v>150.28</v>
      </c>
      <c r="AS86" s="42">
        <f>J86/AR86-1</f>
        <v/>
      </c>
      <c r="AT86" s="48" t="n">
        <v>3.336</v>
      </c>
      <c r="AU86" s="48" t="n">
        <v>2.9186</v>
      </c>
      <c r="AV86" s="48" t="n">
        <v>2.8142</v>
      </c>
      <c r="AW86" s="49">
        <f>AU86-AV86</f>
        <v/>
      </c>
      <c r="AX86" s="48" t="n">
        <v>0.4175</v>
      </c>
      <c r="AY86" s="48" t="n">
        <v>0.4281</v>
      </c>
      <c r="AZ86" s="48" t="n">
        <v>0.6238</v>
      </c>
      <c r="BA86" s="38" t="inlineStr">
        <is>
          <t>淺綠</t>
        </is>
      </c>
      <c r="BB86" s="38" t="inlineStr">
        <is>
          <t>—</t>
        </is>
      </c>
      <c r="BC86" s="38" t="inlineStr">
        <is>
          <t>—</t>
        </is>
      </c>
      <c r="BD86" s="38" t="inlineStr">
        <is>
          <t>深綠 淺綠 淺綠 淺綠 淺綠 淺綠 淺綠 淺綠</t>
        </is>
      </c>
      <c r="BE86" s="38" t="inlineStr">
        <is>
          <t>上升通道</t>
        </is>
      </c>
      <c r="BF86" s="50" t="n">
        <v>0.5492</v>
      </c>
      <c r="BG86" s="50" t="n">
        <v>0.6081</v>
      </c>
      <c r="BH86" s="50" t="n">
        <v>0.5966</v>
      </c>
      <c r="BI86" s="50" t="n">
        <v>0.6172</v>
      </c>
      <c r="BJ86" s="47" t="n">
        <v>4</v>
      </c>
      <c r="BK86" s="41" t="n">
        <v>153.24</v>
      </c>
      <c r="BL86" s="41" t="n">
        <v>125.9</v>
      </c>
      <c r="BM86" s="41" t="n">
        <v>142.2108</v>
      </c>
      <c r="BN86" s="50" t="n">
        <v>0.9099</v>
      </c>
      <c r="BO86" s="44">
        <f>IF(M86=N86,0.5,(J86-N86)/(M86-N86))</f>
        <v/>
      </c>
      <c r="BP86" s="51" t="n">
        <v>19.27</v>
      </c>
      <c r="BQ86" s="51" t="n">
        <v>14.229</v>
      </c>
      <c r="BR86" s="52">
        <f>100*(0.4*MIN(1,MAX(0,((U86*100)-(0.0))/((2.5)-(0.0))))+0.3*MIN(1,MAX(0,((V86)-(0.6))/((1.0)-(0.6))))+0.3*MIN(1,MAX(0,((BP86)-(0.0))/((15.0)-(0.0)))))</f>
        <v/>
      </c>
      <c r="BS86" s="52">
        <f>100*(0.4*MIN(1,MAX(0,((MIN(ABS(AA86),ABS(AB86)))-(0.75))/((0.0)-(0.75))))+0.3*MIN(1,MAX(0,((BN86)-(1.2))/((0.6)-(1.2))))+0.3*BO86)</f>
        <v/>
      </c>
      <c r="BT86" s="52">
        <f>100*(0.5*MIN(1,MAX(0,((AK86)-(1.0))/((4.0)-(1.0))))+0.3*MIN(1,MAX(0,((IF(ISNUMBER(AO86),AO86,0)*100)-(0.0))/((8.0)-(0.0))))+0.2*MIN(1,MAX(0,((IF(ISNUMBER(AP86),AP86,0))-(25.0))/((5.0)-(25.0)))))</f>
        <v/>
      </c>
      <c r="BU86" s="52">
        <f>100*(0.35*MIN(1,MAX(0,((ABS(BF86))-(0.3))/((0.05)-(0.3))))+0.3*MIN(1,MAX(0,((BG86)-(0.0))/((0.3)-(0.0))))+0.25*MIN(1,MAX(0,((BH86)-(0.4))/((0.7)-(0.4))))+0.1*IF(BJ86&gt;=2,1,0.5))</f>
        <v/>
      </c>
      <c r="BV86" s="53">
        <f>0.25*BR86+0.25*BS86+0.2*BT86+0.3*BU86</f>
        <v/>
      </c>
      <c r="BW86" s="38" t="inlineStr">
        <is>
          <t>C6 MACD柱轉勢</t>
        </is>
      </c>
      <c r="BX86" s="38" t="inlineStr"/>
    </row>
    <row r="87">
      <c r="A87" s="38" t="n">
        <v>3</v>
      </c>
      <c r="B87" s="38" t="n">
        <v>25</v>
      </c>
      <c r="C87" s="39" t="inlineStr">
        <is>
          <t>DHX</t>
        </is>
      </c>
      <c r="D87" s="38" t="inlineStr">
        <is>
          <t>DHI Group Inc.</t>
        </is>
      </c>
      <c r="E87" s="38" t="inlineStr">
        <is>
          <t>NYSE</t>
        </is>
      </c>
      <c r="F87" s="38" t="inlineStr">
        <is>
          <t>非必需消費</t>
        </is>
      </c>
      <c r="G87" s="38" t="inlineStr">
        <is>
          <t>Business Services</t>
        </is>
      </c>
      <c r="H87" s="40" t="n">
        <v>0.204</v>
      </c>
      <c r="I87" s="38" t="inlineStr">
        <is>
          <t>小型</t>
        </is>
      </c>
      <c r="J87" s="41" t="n">
        <v>4.81</v>
      </c>
      <c r="K87" s="41" t="n">
        <v>4.77</v>
      </c>
      <c r="L87" s="42">
        <f>J87/K87-1</f>
        <v/>
      </c>
      <c r="M87" s="41" t="n">
        <v>4.89</v>
      </c>
      <c r="N87" s="41" t="n">
        <v>4.7</v>
      </c>
      <c r="O87" s="43" t="n">
        <v>146800</v>
      </c>
      <c r="P87" s="43" t="n">
        <v>272790</v>
      </c>
      <c r="Q87" s="44">
        <f>O87/P87</f>
        <v/>
      </c>
      <c r="R87" s="41" t="n">
        <v>4.7531</v>
      </c>
      <c r="S87" s="41" t="n">
        <v>4.6657</v>
      </c>
      <c r="T87" s="41" t="n">
        <v>4.6066</v>
      </c>
      <c r="U87" s="42">
        <f>S87/T87-1</f>
        <v/>
      </c>
      <c r="V87" s="45" t="n">
        <v>1</v>
      </c>
      <c r="W87" s="42">
        <f>J87/R87-1</f>
        <v/>
      </c>
      <c r="X87" s="42">
        <f>J87/S87-1</f>
        <v/>
      </c>
      <c r="Y87" s="41" t="n">
        <v>0.2427</v>
      </c>
      <c r="Z87" s="46">
        <f>Y87/J87</f>
        <v/>
      </c>
      <c r="AA87" s="44">
        <f>(J87-R87)/Y87</f>
        <v/>
      </c>
      <c r="AB87" s="44">
        <f>(J87-S87)/Y87</f>
        <v/>
      </c>
      <c r="AC87" s="38">
        <f>IF(ABS(AA87)&lt;=ABS(AB87),"9EMA","21EMA")</f>
        <v/>
      </c>
      <c r="AD87" s="38" t="inlineStr">
        <is>
          <t>9+21EMA</t>
        </is>
      </c>
      <c r="AE87" s="38" t="inlineStr">
        <is>
          <t>持續在上方</t>
        </is>
      </c>
      <c r="AF87" s="38" t="inlineStr"/>
      <c r="AG87" s="38" t="inlineStr"/>
      <c r="AH87" s="38" t="inlineStr">
        <is>
          <t>✓</t>
        </is>
      </c>
      <c r="AI87" s="38" t="inlineStr">
        <is>
          <t>2026-08-17</t>
        </is>
      </c>
      <c r="AJ87" s="38" t="n">
        <v>33</v>
      </c>
      <c r="AK87" s="47" t="n">
        <v>4</v>
      </c>
      <c r="AL87" s="38" t="inlineStr">
        <is>
          <t>2026-09-28</t>
        </is>
      </c>
      <c r="AM87" s="41" t="n">
        <v>4.54</v>
      </c>
      <c r="AN87" s="41" t="n">
        <v>4.06</v>
      </c>
      <c r="AO87" s="42">
        <f>IF(ISNUMBER(AN87),AM87/AN87-1,"")</f>
        <v/>
      </c>
      <c r="AP87" s="47" t="n">
        <v>4</v>
      </c>
      <c r="AQ87" s="42">
        <f>IF(ISNUMBER(AM87),J87/AM87-1,"")</f>
        <v/>
      </c>
      <c r="AR87" s="41" t="n">
        <v>4.99</v>
      </c>
      <c r="AS87" s="42">
        <f>J87/AR87-1</f>
        <v/>
      </c>
      <c r="AT87" s="48" t="n">
        <v>0.1165</v>
      </c>
      <c r="AU87" s="48" t="n">
        <v>0.1363</v>
      </c>
      <c r="AV87" s="48" t="n">
        <v>0.1413</v>
      </c>
      <c r="AW87" s="49">
        <f>AU87-AV87</f>
        <v/>
      </c>
      <c r="AX87" s="48" t="n">
        <v>-0.0199</v>
      </c>
      <c r="AY87" s="48" t="n">
        <v>-0.0229</v>
      </c>
      <c r="AZ87" s="48" t="n">
        <v>-0.0239</v>
      </c>
      <c r="BA87" s="38" t="inlineStr">
        <is>
          <t>淺紅</t>
        </is>
      </c>
      <c r="BB87" s="38" t="inlineStr">
        <is>
          <t>深紅→淺紅</t>
        </is>
      </c>
      <c r="BC87" s="38" t="n">
        <v>1</v>
      </c>
      <c r="BD87" s="38" t="inlineStr">
        <is>
          <t>深紅 深紅 深紅 深紅 淺紅 深紅 淺紅 淺紅</t>
        </is>
      </c>
      <c r="BE87" s="38" t="inlineStr">
        <is>
          <t>上傾收窄（楔形）</t>
        </is>
      </c>
      <c r="BF87" s="50" t="n">
        <v>0.2424</v>
      </c>
      <c r="BG87" s="50" t="n">
        <v>0.6944</v>
      </c>
      <c r="BH87" s="50" t="n">
        <v>0.5859</v>
      </c>
      <c r="BI87" s="50" t="n">
        <v>0.6489</v>
      </c>
      <c r="BJ87" s="47" t="n">
        <v>1</v>
      </c>
      <c r="BK87" s="41" t="n">
        <v>5.19</v>
      </c>
      <c r="BL87" s="41" t="n">
        <v>3.91</v>
      </c>
      <c r="BM87" s="41" t="n">
        <v>4.66</v>
      </c>
      <c r="BN87" s="50" t="n">
        <v>1.2624</v>
      </c>
      <c r="BO87" s="44">
        <f>IF(M87=N87,0.5,(J87-N87)/(M87-N87))</f>
        <v/>
      </c>
      <c r="BP87" s="51" t="n">
        <v>8.705</v>
      </c>
      <c r="BQ87" s="51" t="n">
        <v>3.664</v>
      </c>
      <c r="BR87" s="52">
        <f>100*(0.4*MIN(1,MAX(0,((U87*100)-(0.0))/((2.5)-(0.0))))+0.3*MIN(1,MAX(0,((V87)-(0.6))/((1.0)-(0.6))))+0.3*MIN(1,MAX(0,((BP87)-(0.0))/((15.0)-(0.0)))))</f>
        <v/>
      </c>
      <c r="BS87" s="52">
        <f>100*(0.4*MIN(1,MAX(0,((MIN(ABS(AA87),ABS(AB87)))-(0.75))/((0.0)-(0.75))))+0.3*MIN(1,MAX(0,((BN87)-(1.2))/((0.6)-(1.2))))+0.3*BO87)</f>
        <v/>
      </c>
      <c r="BT87" s="52">
        <f>100*(0.5*MIN(1,MAX(0,((AK87)-(1.0))/((4.0)-(1.0))))+0.3*MIN(1,MAX(0,((IF(ISNUMBER(AO87),AO87,0)*100)-(0.0))/((8.0)-(0.0))))+0.2*MIN(1,MAX(0,((IF(ISNUMBER(AP87),AP87,0))-(25.0))/((5.0)-(25.0)))))</f>
        <v/>
      </c>
      <c r="BU87" s="52">
        <f>100*(0.35*MIN(1,MAX(0,((ABS(BF87))-(0.3))/((0.05)-(0.3))))+0.3*MIN(1,MAX(0,((BG87)-(0.0))/((0.3)-(0.0))))+0.25*MIN(1,MAX(0,((BH87)-(0.4))/((0.7)-(0.4))))+0.1*IF(BJ87&gt;=2,1,0.5))</f>
        <v/>
      </c>
      <c r="BV87" s="53">
        <f>0.25*BR87+0.25*BS87+0.2*BT87+0.3*BU87</f>
        <v/>
      </c>
      <c r="BW87" s="38" t="inlineStr">
        <is>
          <t>C5 MACD慢線向上</t>
        </is>
      </c>
      <c r="BX87" s="38" t="inlineStr"/>
    </row>
    <row r="88">
      <c r="A88" s="38" t="n">
        <v>3</v>
      </c>
      <c r="B88" s="38" t="n">
        <v>26</v>
      </c>
      <c r="C88" s="39" t="inlineStr">
        <is>
          <t>LUV</t>
        </is>
      </c>
      <c r="D88" s="38" t="inlineStr">
        <is>
          <t>Southwest Airlines Company</t>
        </is>
      </c>
      <c r="E88" s="38" t="inlineStr">
        <is>
          <t>NYSE</t>
        </is>
      </c>
      <c r="F88" s="38" t="inlineStr">
        <is>
          <t>非必需消費</t>
        </is>
      </c>
      <c r="G88" s="38" t="inlineStr">
        <is>
          <t>Air Freight/Delivery Services</t>
        </is>
      </c>
      <c r="H88" s="40" t="n">
        <v>20.371</v>
      </c>
      <c r="I88" s="38" t="inlineStr">
        <is>
          <t>大型</t>
        </is>
      </c>
      <c r="J88" s="41" t="n">
        <v>42.47</v>
      </c>
      <c r="K88" s="41" t="n">
        <v>41.84</v>
      </c>
      <c r="L88" s="42">
        <f>J88/K88-1</f>
        <v/>
      </c>
      <c r="M88" s="41" t="n">
        <v>42.83</v>
      </c>
      <c r="N88" s="41" t="n">
        <v>41.81</v>
      </c>
      <c r="O88" s="43" t="n">
        <v>6196200</v>
      </c>
      <c r="P88" s="43" t="n">
        <v>6201360</v>
      </c>
      <c r="Q88" s="44">
        <f>O88/P88</f>
        <v/>
      </c>
      <c r="R88" s="41" t="n">
        <v>41.7883</v>
      </c>
      <c r="S88" s="41" t="n">
        <v>41.3285</v>
      </c>
      <c r="T88" s="41" t="n">
        <v>40.8778</v>
      </c>
      <c r="U88" s="42">
        <f>S88/T88-1</f>
        <v/>
      </c>
      <c r="V88" s="45" t="n">
        <v>1</v>
      </c>
      <c r="W88" s="42">
        <f>J88/R88-1</f>
        <v/>
      </c>
      <c r="X88" s="42">
        <f>J88/S88-1</f>
        <v/>
      </c>
      <c r="Y88" s="41" t="n">
        <v>1.2505</v>
      </c>
      <c r="Z88" s="46">
        <f>Y88/J88</f>
        <v/>
      </c>
      <c r="AA88" s="44">
        <f>(J88-R88)/Y88</f>
        <v/>
      </c>
      <c r="AB88" s="44">
        <f>(J88-S88)/Y88</f>
        <v/>
      </c>
      <c r="AC88" s="38">
        <f>IF(ABS(AA88)&lt;=ABS(AB88),"9EMA","21EMA")</f>
        <v/>
      </c>
      <c r="AD88" s="38" t="inlineStr">
        <is>
          <t>9+21EMA</t>
        </is>
      </c>
      <c r="AE88" s="38" t="inlineStr">
        <is>
          <t>持續在上方</t>
        </is>
      </c>
      <c r="AF88" s="38" t="inlineStr"/>
      <c r="AG88" s="38" t="inlineStr"/>
      <c r="AH88" s="38" t="inlineStr">
        <is>
          <t>✓</t>
        </is>
      </c>
      <c r="AI88" s="38" t="inlineStr">
        <is>
          <t>2026-09-23</t>
        </is>
      </c>
      <c r="AJ88" s="38" t="n">
        <v>7</v>
      </c>
      <c r="AK88" s="47" t="n">
        <v>4</v>
      </c>
      <c r="AL88" s="38" t="inlineStr">
        <is>
          <t>2026-09-24</t>
        </is>
      </c>
      <c r="AM88" s="41" t="n">
        <v>40.45</v>
      </c>
      <c r="AN88" s="41" t="n">
        <v>38.16</v>
      </c>
      <c r="AO88" s="42">
        <f>IF(ISNUMBER(AN88),AM88/AN88-1,"")</f>
        <v/>
      </c>
      <c r="AP88" s="47" t="n">
        <v>6</v>
      </c>
      <c r="AQ88" s="42">
        <f>IF(ISNUMBER(AM88),J88/AM88-1,"")</f>
        <v/>
      </c>
      <c r="AR88" s="41" t="n">
        <v>42.68</v>
      </c>
      <c r="AS88" s="42">
        <f>J88/AR88-1</f>
        <v/>
      </c>
      <c r="AT88" s="48" t="n">
        <v>0.2042</v>
      </c>
      <c r="AU88" s="48" t="n">
        <v>-0.1436</v>
      </c>
      <c r="AV88" s="48" t="n">
        <v>-0.2306</v>
      </c>
      <c r="AW88" s="49">
        <f>AU88-AV88</f>
        <v/>
      </c>
      <c r="AX88" s="48" t="n">
        <v>0.3478</v>
      </c>
      <c r="AY88" s="48" t="n">
        <v>0.3611</v>
      </c>
      <c r="AZ88" s="48" t="n">
        <v>0.4196</v>
      </c>
      <c r="BA88" s="38" t="inlineStr">
        <is>
          <t>淺綠</t>
        </is>
      </c>
      <c r="BB88" s="38" t="inlineStr">
        <is>
          <t>—</t>
        </is>
      </c>
      <c r="BC88" s="38" t="inlineStr">
        <is>
          <t>—</t>
        </is>
      </c>
      <c r="BD88" s="38" t="inlineStr">
        <is>
          <t>淺綠 淺綠 深綠 淺綠 淺綠 淺綠 淺綠 淺綠</t>
        </is>
      </c>
      <c r="BE88" s="38" t="inlineStr">
        <is>
          <t>上傾擴張</t>
        </is>
      </c>
      <c r="BF88" s="50" t="n">
        <v>0.5403</v>
      </c>
      <c r="BG88" s="50" t="n">
        <v>0.4101</v>
      </c>
      <c r="BH88" s="50" t="n">
        <v>0.5113</v>
      </c>
      <c r="BI88" s="50" t="n">
        <v>0.5547</v>
      </c>
      <c r="BJ88" s="47" t="n">
        <v>5</v>
      </c>
      <c r="BK88" s="41" t="n">
        <v>43.2</v>
      </c>
      <c r="BL88" s="41" t="n">
        <v>37.58</v>
      </c>
      <c r="BM88" s="41" t="n">
        <v>40.4533</v>
      </c>
      <c r="BN88" s="50" t="n">
        <v>0.8043</v>
      </c>
      <c r="BO88" s="44">
        <f>IF(M88=N88,0.5,(J88-N88)/(M88-N88))</f>
        <v/>
      </c>
      <c r="BP88" s="51" t="n">
        <v>15.038</v>
      </c>
      <c r="BQ88" s="51" t="n">
        <v>9.997</v>
      </c>
      <c r="BR88" s="52">
        <f>100*(0.4*MIN(1,MAX(0,((U88*100)-(0.0))/((2.5)-(0.0))))+0.3*MIN(1,MAX(0,((V88)-(0.6))/((1.0)-(0.6))))+0.3*MIN(1,MAX(0,((BP88)-(0.0))/((15.0)-(0.0)))))</f>
        <v/>
      </c>
      <c r="BS88" s="52">
        <f>100*(0.4*MIN(1,MAX(0,((MIN(ABS(AA88),ABS(AB88)))-(0.75))/((0.0)-(0.75))))+0.3*MIN(1,MAX(0,((BN88)-(1.2))/((0.6)-(1.2))))+0.3*BO88)</f>
        <v/>
      </c>
      <c r="BT88" s="52">
        <f>100*(0.5*MIN(1,MAX(0,((AK88)-(1.0))/((4.0)-(1.0))))+0.3*MIN(1,MAX(0,((IF(ISNUMBER(AO88),AO88,0)*100)-(0.0))/((8.0)-(0.0))))+0.2*MIN(1,MAX(0,((IF(ISNUMBER(AP88),AP88,0))-(25.0))/((5.0)-(25.0)))))</f>
        <v/>
      </c>
      <c r="BU88" s="52">
        <f>100*(0.35*MIN(1,MAX(0,((ABS(BF88))-(0.3))/((0.05)-(0.3))))+0.3*MIN(1,MAX(0,((BG88)-(0.0))/((0.3)-(0.0))))+0.25*MIN(1,MAX(0,((BH88)-(0.4))/((0.7)-(0.4))))+0.1*IF(BJ88&gt;=2,1,0.5))</f>
        <v/>
      </c>
      <c r="BV88" s="53">
        <f>0.25*BR88+0.25*BS88+0.2*BT88+0.3*BU88</f>
        <v/>
      </c>
      <c r="BW88" s="38" t="inlineStr">
        <is>
          <t>C6 MACD柱轉勢</t>
        </is>
      </c>
      <c r="BX88" s="38" t="inlineStr"/>
    </row>
    <row r="89">
      <c r="A89" s="38" t="n">
        <v>3</v>
      </c>
      <c r="B89" s="38" t="n">
        <v>27</v>
      </c>
      <c r="C89" s="39" t="inlineStr">
        <is>
          <t>LQDT</t>
        </is>
      </c>
      <c r="D89" s="38" t="inlineStr">
        <is>
          <t>Liquidity Services Inc.</t>
        </is>
      </c>
      <c r="E89" s="38" t="inlineStr">
        <is>
          <t>NASDAQ</t>
        </is>
      </c>
      <c r="F89" s="38" t="inlineStr">
        <is>
          <t>非必需消費</t>
        </is>
      </c>
      <c r="G89" s="38" t="inlineStr">
        <is>
          <t>Business Services</t>
        </is>
      </c>
      <c r="H89" s="40" t="n">
        <v>1.342</v>
      </c>
      <c r="I89" s="38" t="inlineStr">
        <is>
          <t>小型</t>
        </is>
      </c>
      <c r="J89" s="41" t="n">
        <v>43.23</v>
      </c>
      <c r="K89" s="41" t="n">
        <v>43.64</v>
      </c>
      <c r="L89" s="42">
        <f>J89/K89-1</f>
        <v/>
      </c>
      <c r="M89" s="41" t="n">
        <v>45</v>
      </c>
      <c r="N89" s="41" t="n">
        <v>42.87</v>
      </c>
      <c r="O89" s="43" t="n">
        <v>373400</v>
      </c>
      <c r="P89" s="43" t="n">
        <v>236855</v>
      </c>
      <c r="Q89" s="44">
        <f>O89/P89</f>
        <v/>
      </c>
      <c r="R89" s="41" t="n">
        <v>43.1855</v>
      </c>
      <c r="S89" s="41" t="n">
        <v>42.7863</v>
      </c>
      <c r="T89" s="41" t="n">
        <v>42.4904</v>
      </c>
      <c r="U89" s="42">
        <f>S89/T89-1</f>
        <v/>
      </c>
      <c r="V89" s="45" t="n">
        <v>1</v>
      </c>
      <c r="W89" s="42">
        <f>J89/R89-1</f>
        <v/>
      </c>
      <c r="X89" s="42">
        <f>J89/S89-1</f>
        <v/>
      </c>
      <c r="Y89" s="41" t="n">
        <v>1.235</v>
      </c>
      <c r="Z89" s="46">
        <f>Y89/J89</f>
        <v/>
      </c>
      <c r="AA89" s="44">
        <f>(J89-R89)/Y89</f>
        <v/>
      </c>
      <c r="AB89" s="44">
        <f>(J89-S89)/Y89</f>
        <v/>
      </c>
      <c r="AC89" s="38">
        <f>IF(ABS(AA89)&lt;=ABS(AB89),"9EMA","21EMA")</f>
        <v/>
      </c>
      <c r="AD89" s="38" t="inlineStr">
        <is>
          <t>9+21EMA</t>
        </is>
      </c>
      <c r="AE89" s="38" t="inlineStr">
        <is>
          <t>持續在上方</t>
        </is>
      </c>
      <c r="AF89" s="38" t="inlineStr"/>
      <c r="AG89" s="38" t="inlineStr"/>
      <c r="AH89" s="38" t="inlineStr">
        <is>
          <t>✓</t>
        </is>
      </c>
      <c r="AI89" s="38" t="inlineStr">
        <is>
          <t>2026-09-11</t>
        </is>
      </c>
      <c r="AJ89" s="38" t="n">
        <v>15</v>
      </c>
      <c r="AK89" s="47" t="n">
        <v>3</v>
      </c>
      <c r="AL89" s="38" t="inlineStr">
        <is>
          <t>2026-09-18</t>
        </is>
      </c>
      <c r="AM89" s="41" t="n">
        <v>42.1</v>
      </c>
      <c r="AN89" s="41" t="n">
        <v>38.49</v>
      </c>
      <c r="AO89" s="42">
        <f>IF(ISNUMBER(AN89),AM89/AN89-1,"")</f>
        <v/>
      </c>
      <c r="AP89" s="47" t="n">
        <v>10</v>
      </c>
      <c r="AQ89" s="42">
        <f>IF(ISNUMBER(AM89),J89/AM89-1,"")</f>
        <v/>
      </c>
      <c r="AR89" s="41" t="n">
        <v>43.64</v>
      </c>
      <c r="AS89" s="42">
        <f>J89/AR89-1</f>
        <v/>
      </c>
      <c r="AT89" s="48" t="n">
        <v>0.4833</v>
      </c>
      <c r="AU89" s="48" t="n">
        <v>0.5051</v>
      </c>
      <c r="AV89" s="48" t="n">
        <v>0.5106000000000001</v>
      </c>
      <c r="AW89" s="49">
        <f>AU89-AV89</f>
        <v/>
      </c>
      <c r="AX89" s="48" t="n">
        <v>-0.0218</v>
      </c>
      <c r="AY89" s="48" t="n">
        <v>-0.0027</v>
      </c>
      <c r="AZ89" s="48" t="n">
        <v>-0.0211</v>
      </c>
      <c r="BA89" s="38" t="inlineStr">
        <is>
          <t>深紅</t>
        </is>
      </c>
      <c r="BB89" s="38" t="inlineStr">
        <is>
          <t>—</t>
        </is>
      </c>
      <c r="BC89" s="38" t="inlineStr">
        <is>
          <t>—</t>
        </is>
      </c>
      <c r="BD89" s="38" t="inlineStr">
        <is>
          <t>淺綠 深綠 深綠 淺綠 淺綠 深紅 淺紅 深紅</t>
        </is>
      </c>
      <c r="BE89" s="38" t="inlineStr">
        <is>
          <t>上傾收窄（楔形）</t>
        </is>
      </c>
      <c r="BF89" s="50" t="n">
        <v>0.2776</v>
      </c>
      <c r="BG89" s="50" t="n">
        <v>0.6959</v>
      </c>
      <c r="BH89" s="50" t="n">
        <v>0.5883</v>
      </c>
      <c r="BI89" s="50" t="n">
        <v>0.6937</v>
      </c>
      <c r="BJ89" s="47" t="n">
        <v>2</v>
      </c>
      <c r="BK89" s="41" t="n">
        <v>45</v>
      </c>
      <c r="BL89" s="41" t="n">
        <v>38.49</v>
      </c>
      <c r="BM89" s="41" t="n">
        <v>42.32</v>
      </c>
      <c r="BN89" s="50" t="n">
        <v>0.9417</v>
      </c>
      <c r="BO89" s="44">
        <f>IF(M89=N89,0.5,(J89-N89)/(M89-N89))</f>
        <v/>
      </c>
      <c r="BP89" s="51" t="n">
        <v>14.79</v>
      </c>
      <c r="BQ89" s="51" t="n">
        <v>9.749000000000001</v>
      </c>
      <c r="BR89" s="52">
        <f>100*(0.4*MIN(1,MAX(0,((U89*100)-(0.0))/((2.5)-(0.0))))+0.3*MIN(1,MAX(0,((V89)-(0.6))/((1.0)-(0.6))))+0.3*MIN(1,MAX(0,((BP89)-(0.0))/((15.0)-(0.0)))))</f>
        <v/>
      </c>
      <c r="BS89" s="52">
        <f>100*(0.4*MIN(1,MAX(0,((MIN(ABS(AA89),ABS(AB89)))-(0.75))/((0.0)-(0.75))))+0.3*MIN(1,MAX(0,((BN89)-(1.2))/((0.6)-(1.2))))+0.3*BO89)</f>
        <v/>
      </c>
      <c r="BT89" s="52">
        <f>100*(0.5*MIN(1,MAX(0,((AK89)-(1.0))/((4.0)-(1.0))))+0.3*MIN(1,MAX(0,((IF(ISNUMBER(AO89),AO89,0)*100)-(0.0))/((8.0)-(0.0))))+0.2*MIN(1,MAX(0,((IF(ISNUMBER(AP89),AP89,0))-(25.0))/((5.0)-(25.0)))))</f>
        <v/>
      </c>
      <c r="BU89" s="52">
        <f>100*(0.35*MIN(1,MAX(0,((ABS(BF89))-(0.3))/((0.05)-(0.3))))+0.3*MIN(1,MAX(0,((BG89)-(0.0))/((0.3)-(0.0))))+0.25*MIN(1,MAX(0,((BH89)-(0.4))/((0.7)-(0.4))))+0.1*IF(BJ89&gt;=2,1,0.5))</f>
        <v/>
      </c>
      <c r="BV89" s="53">
        <f>0.25*BR89+0.25*BS89+0.2*BT89+0.3*BU89</f>
        <v/>
      </c>
      <c r="BW89" s="38" t="inlineStr">
        <is>
          <t>C5 MACD慢線向上、C6 MACD柱轉勢</t>
        </is>
      </c>
      <c r="BX89" s="38" t="inlineStr"/>
    </row>
    <row r="90">
      <c r="A90" s="38" t="n">
        <v>3</v>
      </c>
      <c r="B90" s="38" t="n">
        <v>28</v>
      </c>
      <c r="C90" s="39" t="inlineStr">
        <is>
          <t>CHPT</t>
        </is>
      </c>
      <c r="D90" s="38" t="inlineStr">
        <is>
          <t>ChargePoint Holdings Inc.</t>
        </is>
      </c>
      <c r="E90" s="38" t="inlineStr">
        <is>
          <t>NYSE</t>
        </is>
      </c>
      <c r="F90" s="38" t="inlineStr">
        <is>
          <t>其他</t>
        </is>
      </c>
      <c r="G90" s="38" t="inlineStr">
        <is>
          <t>Industrial Machinery/Components</t>
        </is>
      </c>
      <c r="H90" s="40" t="n">
        <v>0.271</v>
      </c>
      <c r="I90" s="38" t="inlineStr">
        <is>
          <t>小型</t>
        </is>
      </c>
      <c r="J90" s="41" t="n">
        <v>9.289999999999999</v>
      </c>
      <c r="K90" s="41" t="n">
        <v>10.2</v>
      </c>
      <c r="L90" s="42">
        <f>J90/K90-1</f>
        <v/>
      </c>
      <c r="M90" s="41" t="n">
        <v>11.26</v>
      </c>
      <c r="N90" s="41" t="n">
        <v>9.17</v>
      </c>
      <c r="O90" s="43" t="n">
        <v>1658200</v>
      </c>
      <c r="P90" s="43" t="n">
        <v>2297980</v>
      </c>
      <c r="Q90" s="44">
        <f>O90/P90</f>
        <v/>
      </c>
      <c r="R90" s="41" t="n">
        <v>9.4756</v>
      </c>
      <c r="S90" s="41" t="n">
        <v>8.927</v>
      </c>
      <c r="T90" s="41" t="n">
        <v>8.5184</v>
      </c>
      <c r="U90" s="42">
        <f>S90/T90-1</f>
        <v/>
      </c>
      <c r="V90" s="45" t="n">
        <v>1</v>
      </c>
      <c r="W90" s="42">
        <f>J90/R90-1</f>
        <v/>
      </c>
      <c r="X90" s="42">
        <f>J90/S90-1</f>
        <v/>
      </c>
      <c r="Y90" s="41" t="n">
        <v>0.8102</v>
      </c>
      <c r="Z90" s="46">
        <f>Y90/J90</f>
        <v/>
      </c>
      <c r="AA90" s="44">
        <f>(J90-R90)/Y90</f>
        <v/>
      </c>
      <c r="AB90" s="44">
        <f>(J90-S90)/Y90</f>
        <v/>
      </c>
      <c r="AC90" s="38">
        <f>IF(ABS(AA90)&lt;=ABS(AB90),"9EMA","21EMA")</f>
        <v/>
      </c>
      <c r="AD90" s="38" t="inlineStr">
        <is>
          <t>9EMA</t>
        </is>
      </c>
      <c r="AE90" s="38" t="inlineStr">
        <is>
          <t>持續在上方</t>
        </is>
      </c>
      <c r="AF90" s="38" t="inlineStr"/>
      <c r="AG90" s="38" t="inlineStr"/>
      <c r="AH90" s="38" t="inlineStr">
        <is>
          <t>✓</t>
        </is>
      </c>
      <c r="AI90" s="38" t="inlineStr">
        <is>
          <t>2026-09-03</t>
        </is>
      </c>
      <c r="AJ90" s="38" t="n">
        <v>20</v>
      </c>
      <c r="AK90" s="47" t="n">
        <v>3</v>
      </c>
      <c r="AL90" s="38" t="inlineStr">
        <is>
          <t>2026-09-28</t>
        </is>
      </c>
      <c r="AM90" s="41" t="n">
        <v>8.65</v>
      </c>
      <c r="AN90" s="41" t="n">
        <v>8.56</v>
      </c>
      <c r="AO90" s="42">
        <f>IF(ISNUMBER(AN90),AM90/AN90-1,"")</f>
        <v/>
      </c>
      <c r="AP90" s="47" t="n">
        <v>4</v>
      </c>
      <c r="AQ90" s="42">
        <f>IF(ISNUMBER(AM90),J90/AM90-1,"")</f>
        <v/>
      </c>
      <c r="AR90" s="41" t="n">
        <v>10.32</v>
      </c>
      <c r="AS90" s="42">
        <f>J90/AR90-1</f>
        <v/>
      </c>
      <c r="AT90" s="48" t="n">
        <v>0.6746</v>
      </c>
      <c r="AU90" s="48" t="n">
        <v>0.7442</v>
      </c>
      <c r="AV90" s="48" t="n">
        <v>0.7617</v>
      </c>
      <c r="AW90" s="49">
        <f>AU90-AV90</f>
        <v/>
      </c>
      <c r="AX90" s="48" t="n">
        <v>-0.0696</v>
      </c>
      <c r="AY90" s="48" t="n">
        <v>-0.0257</v>
      </c>
      <c r="AZ90" s="48" t="n">
        <v>-0.0571</v>
      </c>
      <c r="BA90" s="38" t="inlineStr">
        <is>
          <t>深紅</t>
        </is>
      </c>
      <c r="BB90" s="38" t="inlineStr">
        <is>
          <t>—</t>
        </is>
      </c>
      <c r="BC90" s="38" t="inlineStr">
        <is>
          <t>—</t>
        </is>
      </c>
      <c r="BD90" s="38" t="inlineStr">
        <is>
          <t>淺綠 深紅 深紅 深紅 淺紅 淺紅 淺紅 深紅</t>
        </is>
      </c>
      <c r="BE90" s="38" t="inlineStr">
        <is>
          <t>上傾收窄（楔形）</t>
        </is>
      </c>
      <c r="BF90" s="50" t="n">
        <v>0.3902</v>
      </c>
      <c r="BG90" s="50" t="n">
        <v>1.8038</v>
      </c>
      <c r="BH90" s="50" t="n">
        <v>0.6574</v>
      </c>
      <c r="BI90" s="50" t="n">
        <v>0.7779</v>
      </c>
      <c r="BJ90" s="47" t="n">
        <v>1</v>
      </c>
      <c r="BK90" s="41" t="n">
        <v>11.26</v>
      </c>
      <c r="BL90" s="41" t="n">
        <v>5.19</v>
      </c>
      <c r="BM90" s="41" t="n">
        <v>9.1807</v>
      </c>
      <c r="BN90" s="50" t="n">
        <v>1.0268</v>
      </c>
      <c r="BO90" s="44">
        <f>IF(M90=N90,0.5,(J90-N90)/(M90-N90))</f>
        <v/>
      </c>
      <c r="BP90" s="51" t="n">
        <v>84.039</v>
      </c>
      <c r="BQ90" s="51" t="n">
        <v>78.998</v>
      </c>
      <c r="BR90" s="52">
        <f>100*(0.4*MIN(1,MAX(0,((U90*100)-(0.0))/((2.5)-(0.0))))+0.3*MIN(1,MAX(0,((V90)-(0.6))/((1.0)-(0.6))))+0.3*MIN(1,MAX(0,((BP90)-(0.0))/((15.0)-(0.0)))))</f>
        <v/>
      </c>
      <c r="BS90" s="52">
        <f>100*(0.4*MIN(1,MAX(0,((MIN(ABS(AA90),ABS(AB90)))-(0.75))/((0.0)-(0.75))))+0.3*MIN(1,MAX(0,((BN90)-(1.2))/((0.6)-(1.2))))+0.3*BO90)</f>
        <v/>
      </c>
      <c r="BT90" s="52">
        <f>100*(0.5*MIN(1,MAX(0,((AK90)-(1.0))/((4.0)-(1.0))))+0.3*MIN(1,MAX(0,((IF(ISNUMBER(AO90),AO90,0)*100)-(0.0))/((8.0)-(0.0))))+0.2*MIN(1,MAX(0,((IF(ISNUMBER(AP90),AP90,0))-(25.0))/((5.0)-(25.0)))))</f>
        <v/>
      </c>
      <c r="BU90" s="52">
        <f>100*(0.35*MIN(1,MAX(0,((ABS(BF90))-(0.3))/((0.05)-(0.3))))+0.3*MIN(1,MAX(0,((BG90)-(0.0))/((0.3)-(0.0))))+0.25*MIN(1,MAX(0,((BH90)-(0.4))/((0.7)-(0.4))))+0.1*IF(BJ90&gt;=2,1,0.5))</f>
        <v/>
      </c>
      <c r="BV90" s="53">
        <f>0.25*BR90+0.25*BS90+0.2*BT90+0.3*BU90</f>
        <v/>
      </c>
      <c r="BW90" s="38" t="inlineStr">
        <is>
          <t>C5 MACD慢線向上、C6 MACD柱轉勢</t>
        </is>
      </c>
      <c r="BX90" s="38" t="inlineStr"/>
    </row>
    <row r="91">
      <c r="A91" s="38" t="n">
        <v>3</v>
      </c>
      <c r="B91" s="38" t="n">
        <v>29</v>
      </c>
      <c r="C91" s="39" t="inlineStr">
        <is>
          <t>MTW</t>
        </is>
      </c>
      <c r="D91" s="38" t="inlineStr">
        <is>
          <t>Manitowoc Company Inc. (The)</t>
        </is>
      </c>
      <c r="E91" s="38" t="inlineStr">
        <is>
          <t>NYSE</t>
        </is>
      </c>
      <c r="F91" s="38" t="inlineStr">
        <is>
          <t>工業</t>
        </is>
      </c>
      <c r="G91" s="38" t="inlineStr">
        <is>
          <t>Construction/Ag Equipment/Trucks</t>
        </is>
      </c>
      <c r="H91" s="40" t="n">
        <v>0.774</v>
      </c>
      <c r="I91" s="38" t="inlineStr">
        <is>
          <t>小型</t>
        </is>
      </c>
      <c r="J91" s="41" t="n">
        <v>23.22</v>
      </c>
      <c r="K91" s="41" t="n">
        <v>22.4</v>
      </c>
      <c r="L91" s="42">
        <f>J91/K91-1</f>
        <v/>
      </c>
      <c r="M91" s="41" t="n">
        <v>23.56</v>
      </c>
      <c r="N91" s="41" t="n">
        <v>22.86</v>
      </c>
      <c r="O91" s="43" t="n">
        <v>380200</v>
      </c>
      <c r="P91" s="43" t="n">
        <v>499475</v>
      </c>
      <c r="Q91" s="44">
        <f>O91/P91</f>
        <v/>
      </c>
      <c r="R91" s="41" t="n">
        <v>22.2096</v>
      </c>
      <c r="S91" s="41" t="n">
        <v>21.4944</v>
      </c>
      <c r="T91" s="41" t="n">
        <v>20.989</v>
      </c>
      <c r="U91" s="42">
        <f>S91/T91-1</f>
        <v/>
      </c>
      <c r="V91" s="45" t="n">
        <v>1</v>
      </c>
      <c r="W91" s="42">
        <f>J91/R91-1</f>
        <v/>
      </c>
      <c r="X91" s="42">
        <f>J91/S91-1</f>
        <v/>
      </c>
      <c r="Y91" s="41" t="n">
        <v>0.9726</v>
      </c>
      <c r="Z91" s="46">
        <f>Y91/J91</f>
        <v/>
      </c>
      <c r="AA91" s="44">
        <f>(J91-R91)/Y91</f>
        <v/>
      </c>
      <c r="AB91" s="44">
        <f>(J91-S91)/Y91</f>
        <v/>
      </c>
      <c r="AC91" s="38">
        <f>IF(ABS(AA91)&lt;=ABS(AB91),"9EMA","21EMA")</f>
        <v/>
      </c>
      <c r="AD91" s="38" t="inlineStr">
        <is>
          <t>9+21EMA</t>
        </is>
      </c>
      <c r="AE91" s="38" t="inlineStr">
        <is>
          <t>持續在上方</t>
        </is>
      </c>
      <c r="AF91" s="38" t="inlineStr"/>
      <c r="AG91" s="38" t="inlineStr"/>
      <c r="AH91" s="38" t="inlineStr"/>
      <c r="AI91" s="38" t="inlineStr">
        <is>
          <t>2026-07-16</t>
        </is>
      </c>
      <c r="AJ91" s="38" t="n">
        <v>55</v>
      </c>
      <c r="AK91" s="47" t="n">
        <v>5</v>
      </c>
      <c r="AL91" s="38" t="inlineStr">
        <is>
          <t>2026-09-24</t>
        </is>
      </c>
      <c r="AM91" s="41" t="n">
        <v>21.19</v>
      </c>
      <c r="AN91" s="41" t="n">
        <v>19.63</v>
      </c>
      <c r="AO91" s="42">
        <f>IF(ISNUMBER(AN91),AM91/AN91-1,"")</f>
        <v/>
      </c>
      <c r="AP91" s="47" t="n">
        <v>6</v>
      </c>
      <c r="AQ91" s="42">
        <f>IF(ISNUMBER(AM91),J91/AM91-1,"")</f>
        <v/>
      </c>
      <c r="AR91" s="41" t="n">
        <v>23.22</v>
      </c>
      <c r="AS91" s="42">
        <f>J91/AR91-1</f>
        <v/>
      </c>
      <c r="AT91" s="48" t="n">
        <v>0.893</v>
      </c>
      <c r="AU91" s="48" t="n">
        <v>0.9550999999999999</v>
      </c>
      <c r="AV91" s="48" t="n">
        <v>0.9706</v>
      </c>
      <c r="AW91" s="49">
        <f>AU91-AV91</f>
        <v/>
      </c>
      <c r="AX91" s="48" t="n">
        <v>-0.062</v>
      </c>
      <c r="AY91" s="48" t="n">
        <v>-0.1256</v>
      </c>
      <c r="AZ91" s="48" t="n">
        <v>-0.1471</v>
      </c>
      <c r="BA91" s="38" t="inlineStr">
        <is>
          <t>淺紅</t>
        </is>
      </c>
      <c r="BB91" s="38" t="inlineStr">
        <is>
          <t>深紅→淺紅</t>
        </is>
      </c>
      <c r="BC91" s="38" t="n">
        <v>1</v>
      </c>
      <c r="BD91" s="38" t="inlineStr">
        <is>
          <t>淺綠 深紅 深紅 深紅 深紅 深紅 淺紅 淺紅</t>
        </is>
      </c>
      <c r="BE91" s="38" t="inlineStr">
        <is>
          <t>上升通道</t>
        </is>
      </c>
      <c r="BF91" s="50" t="n">
        <v>0.6538</v>
      </c>
      <c r="BG91" s="50" t="n">
        <v>0.6621</v>
      </c>
      <c r="BH91" s="50" t="n">
        <v>0.5626</v>
      </c>
      <c r="BI91" s="50" t="n">
        <v>0.5838</v>
      </c>
      <c r="BJ91" s="47" t="n">
        <v>1</v>
      </c>
      <c r="BK91" s="41" t="n">
        <v>23.56</v>
      </c>
      <c r="BL91" s="41" t="n">
        <v>18.73</v>
      </c>
      <c r="BM91" s="41" t="n">
        <v>21.4472</v>
      </c>
      <c r="BN91" s="50" t="n">
        <v>1.5244</v>
      </c>
      <c r="BO91" s="44">
        <f>IF(M91=N91,0.5,(J91-N91)/(M91-N91))</f>
        <v/>
      </c>
      <c r="BP91" s="51" t="n">
        <v>19.878</v>
      </c>
      <c r="BQ91" s="51" t="n">
        <v>14.837</v>
      </c>
      <c r="BR91" s="52">
        <f>100*(0.4*MIN(1,MAX(0,((U91*100)-(0.0))/((2.5)-(0.0))))+0.3*MIN(1,MAX(0,((V91)-(0.6))/((1.0)-(0.6))))+0.3*MIN(1,MAX(0,((BP91)-(0.0))/((15.0)-(0.0)))))</f>
        <v/>
      </c>
      <c r="BS91" s="52">
        <f>100*(0.4*MIN(1,MAX(0,((MIN(ABS(AA91),ABS(AB91)))-(0.75))/((0.0)-(0.75))))+0.3*MIN(1,MAX(0,((BN91)-(1.2))/((0.6)-(1.2))))+0.3*BO91)</f>
        <v/>
      </c>
      <c r="BT91" s="52">
        <f>100*(0.5*MIN(1,MAX(0,((AK91)-(1.0))/((4.0)-(1.0))))+0.3*MIN(1,MAX(0,((IF(ISNUMBER(AO91),AO91,0)*100)-(0.0))/((8.0)-(0.0))))+0.2*MIN(1,MAX(0,((IF(ISNUMBER(AP91),AP91,0))-(25.0))/((5.0)-(25.0)))))</f>
        <v/>
      </c>
      <c r="BU91" s="52">
        <f>100*(0.35*MIN(1,MAX(0,((ABS(BF91))-(0.3))/((0.05)-(0.3))))+0.3*MIN(1,MAX(0,((BG91)-(0.0))/((0.3)-(0.0))))+0.25*MIN(1,MAX(0,((BH91)-(0.4))/((0.7)-(0.4))))+0.1*IF(BJ91&gt;=2,1,0.5))</f>
        <v/>
      </c>
      <c r="BV91" s="53">
        <f>0.25*BR91+0.25*BS91+0.2*BT91+0.3*BU91</f>
        <v/>
      </c>
      <c r="BW91" s="38" t="inlineStr">
        <is>
          <t>C5 MACD慢線向上</t>
        </is>
      </c>
      <c r="BX91" s="38" t="inlineStr"/>
    </row>
    <row r="92">
      <c r="A92" s="38" t="n">
        <v>3</v>
      </c>
      <c r="B92" s="38" t="n">
        <v>30</v>
      </c>
      <c r="C92" s="39" t="inlineStr">
        <is>
          <t>DELL</t>
        </is>
      </c>
      <c r="D92" s="38" t="inlineStr">
        <is>
          <t>Dell Technologies Inc. Class C</t>
        </is>
      </c>
      <c r="E92" s="38" t="inlineStr">
        <is>
          <t>NYSE</t>
        </is>
      </c>
      <c r="F92" s="38" t="inlineStr">
        <is>
          <t>科技</t>
        </is>
      </c>
      <c r="G92" s="38" t="inlineStr">
        <is>
          <t>Computer Manufacturing</t>
        </is>
      </c>
      <c r="H92" s="40" t="n">
        <v>342.035</v>
      </c>
      <c r="I92" s="38" t="inlineStr">
        <is>
          <t>大型</t>
        </is>
      </c>
      <c r="J92" s="41" t="n">
        <v>562.52</v>
      </c>
      <c r="K92" s="41" t="n">
        <v>541.74</v>
      </c>
      <c r="L92" s="42">
        <f>J92/K92-1</f>
        <v/>
      </c>
      <c r="M92" s="41" t="n">
        <v>568</v>
      </c>
      <c r="N92" s="41" t="n">
        <v>548.01</v>
      </c>
      <c r="O92" s="43" t="n">
        <v>5495400</v>
      </c>
      <c r="P92" s="43" t="n">
        <v>8539980</v>
      </c>
      <c r="Q92" s="44">
        <f>O92/P92</f>
        <v/>
      </c>
      <c r="R92" s="41" t="n">
        <v>548.5617999999999</v>
      </c>
      <c r="S92" s="41" t="n">
        <v>536.0442</v>
      </c>
      <c r="T92" s="41" t="n">
        <v>530.0505000000001</v>
      </c>
      <c r="U92" s="42">
        <f>S92/T92-1</f>
        <v/>
      </c>
      <c r="V92" s="45" t="n">
        <v>1</v>
      </c>
      <c r="W92" s="42">
        <f>J92/R92-1</f>
        <v/>
      </c>
      <c r="X92" s="42">
        <f>J92/S92-1</f>
        <v/>
      </c>
      <c r="Y92" s="41" t="n">
        <v>28.9582</v>
      </c>
      <c r="Z92" s="46">
        <f>Y92/J92</f>
        <v/>
      </c>
      <c r="AA92" s="44">
        <f>(J92-R92)/Y92</f>
        <v/>
      </c>
      <c r="AB92" s="44">
        <f>(J92-S92)/Y92</f>
        <v/>
      </c>
      <c r="AC92" s="38">
        <f>IF(ABS(AA92)&lt;=ABS(AB92),"9EMA","21EMA")</f>
        <v/>
      </c>
      <c r="AD92" s="38" t="inlineStr">
        <is>
          <t>9+21EMA</t>
        </is>
      </c>
      <c r="AE92" s="38" t="inlineStr">
        <is>
          <t>持續在上方</t>
        </is>
      </c>
      <c r="AF92" s="38" t="inlineStr"/>
      <c r="AG92" s="38" t="inlineStr"/>
      <c r="AH92" s="38" t="inlineStr">
        <is>
          <t>✓</t>
        </is>
      </c>
      <c r="AI92" s="38" t="inlineStr">
        <is>
          <t>2026-08-04</t>
        </is>
      </c>
      <c r="AJ92" s="38" t="n">
        <v>42</v>
      </c>
      <c r="AK92" s="47" t="n">
        <v>3</v>
      </c>
      <c r="AL92" s="38" t="inlineStr">
        <is>
          <t>2026-09-24</t>
        </is>
      </c>
      <c r="AM92" s="41" t="n">
        <v>530.45</v>
      </c>
      <c r="AN92" s="41" t="n">
        <v>506.25</v>
      </c>
      <c r="AO92" s="42">
        <f>IF(ISNUMBER(AN92),AM92/AN92-1,"")</f>
        <v/>
      </c>
      <c r="AP92" s="47" t="n">
        <v>6</v>
      </c>
      <c r="AQ92" s="42">
        <f>IF(ISNUMBER(AM92),J92/AM92-1,"")</f>
        <v/>
      </c>
      <c r="AR92" s="41" t="n">
        <v>588.4</v>
      </c>
      <c r="AS92" s="42">
        <f>J92/AR92-1</f>
        <v/>
      </c>
      <c r="AT92" s="48" t="n">
        <v>17.6267</v>
      </c>
      <c r="AU92" s="48" t="n">
        <v>21.7992</v>
      </c>
      <c r="AV92" s="48" t="n">
        <v>22.8424</v>
      </c>
      <c r="AW92" s="49">
        <f>AU92-AV92</f>
        <v/>
      </c>
      <c r="AX92" s="48" t="n">
        <v>-4.1725</v>
      </c>
      <c r="AY92" s="48" t="n">
        <v>-5.4178</v>
      </c>
      <c r="AZ92" s="48" t="n">
        <v>-5.168</v>
      </c>
      <c r="BA92" s="38" t="inlineStr">
        <is>
          <t>淺紅</t>
        </is>
      </c>
      <c r="BB92" s="38" t="inlineStr">
        <is>
          <t>深紅→淺紅</t>
        </is>
      </c>
      <c r="BC92" s="38" t="n">
        <v>0</v>
      </c>
      <c r="BD92" s="38" t="inlineStr">
        <is>
          <t>淺綠 深紅 淺紅 深紅 深紅 深紅 深紅 淺紅</t>
        </is>
      </c>
      <c r="BE92" s="38" t="inlineStr">
        <is>
          <t>上傾收窄（楔形）</t>
        </is>
      </c>
      <c r="BF92" s="50" t="n">
        <v>0.5881</v>
      </c>
      <c r="BG92" s="50" t="n">
        <v>1.127</v>
      </c>
      <c r="BH92" s="50" t="n">
        <v>0.6064000000000001</v>
      </c>
      <c r="BI92" s="50" t="n">
        <v>0.6253</v>
      </c>
      <c r="BJ92" s="47" t="n">
        <v>3</v>
      </c>
      <c r="BK92" s="41" t="n">
        <v>595.51</v>
      </c>
      <c r="BL92" s="41" t="n">
        <v>421.89</v>
      </c>
      <c r="BM92" s="41" t="n">
        <v>527.1796000000001</v>
      </c>
      <c r="BN92" s="50" t="n">
        <v>0.956</v>
      </c>
      <c r="BO92" s="44">
        <f>IF(M92=N92,0.5,(J92-N92)/(M92-N92))</f>
        <v/>
      </c>
      <c r="BP92" s="51" t="n">
        <v>19.328</v>
      </c>
      <c r="BQ92" s="51" t="n">
        <v>14.287</v>
      </c>
      <c r="BR92" s="52">
        <f>100*(0.4*MIN(1,MAX(0,((U92*100)-(0.0))/((2.5)-(0.0))))+0.3*MIN(1,MAX(0,((V92)-(0.6))/((1.0)-(0.6))))+0.3*MIN(1,MAX(0,((BP92)-(0.0))/((15.0)-(0.0)))))</f>
        <v/>
      </c>
      <c r="BS92" s="52">
        <f>100*(0.4*MIN(1,MAX(0,((MIN(ABS(AA92),ABS(AB92)))-(0.75))/((0.0)-(0.75))))+0.3*MIN(1,MAX(0,((BN92)-(1.2))/((0.6)-(1.2))))+0.3*BO92)</f>
        <v/>
      </c>
      <c r="BT92" s="52">
        <f>100*(0.5*MIN(1,MAX(0,((AK92)-(1.0))/((4.0)-(1.0))))+0.3*MIN(1,MAX(0,((IF(ISNUMBER(AO92),AO92,0)*100)-(0.0))/((8.0)-(0.0))))+0.2*MIN(1,MAX(0,((IF(ISNUMBER(AP92),AP92,0))-(25.0))/((5.0)-(25.0)))))</f>
        <v/>
      </c>
      <c r="BU92" s="52">
        <f>100*(0.35*MIN(1,MAX(0,((ABS(BF92))-(0.3))/((0.05)-(0.3))))+0.3*MIN(1,MAX(0,((BG92)-(0.0))/((0.3)-(0.0))))+0.25*MIN(1,MAX(0,((BH92)-(0.4))/((0.7)-(0.4))))+0.1*IF(BJ92&gt;=2,1,0.5))</f>
        <v/>
      </c>
      <c r="BV92" s="53">
        <f>0.25*BR92+0.25*BS92+0.2*BT92+0.3*BU92</f>
        <v/>
      </c>
      <c r="BW92" s="38" t="inlineStr">
        <is>
          <t>C5 MACD慢線向上</t>
        </is>
      </c>
      <c r="BX92" s="38" t="inlineStr"/>
    </row>
    <row r="93">
      <c r="A93" s="38" t="n">
        <v>3</v>
      </c>
      <c r="B93" s="38" t="n">
        <v>31</v>
      </c>
      <c r="C93" s="39" t="inlineStr">
        <is>
          <t>EXEL</t>
        </is>
      </c>
      <c r="D93" s="38" t="inlineStr">
        <is>
          <t>Exelixis Inc.</t>
        </is>
      </c>
      <c r="E93" s="38" t="inlineStr">
        <is>
          <t>NASDAQ</t>
        </is>
      </c>
      <c r="F93" s="38" t="inlineStr">
        <is>
          <t>醫療保健</t>
        </is>
      </c>
      <c r="G93" s="38" t="inlineStr">
        <is>
          <t>Biotechnology: Biological Products (No Diagnostic Substances)</t>
        </is>
      </c>
      <c r="H93" s="40" t="n">
        <v>14.473</v>
      </c>
      <c r="I93" s="38" t="inlineStr">
        <is>
          <t>大型</t>
        </is>
      </c>
      <c r="J93" s="41" t="n">
        <v>58.39</v>
      </c>
      <c r="K93" s="41" t="n">
        <v>57.94</v>
      </c>
      <c r="L93" s="42">
        <f>J93/K93-1</f>
        <v/>
      </c>
      <c r="M93" s="41" t="n">
        <v>58.97</v>
      </c>
      <c r="N93" s="41" t="n">
        <v>57.94</v>
      </c>
      <c r="O93" s="43" t="n">
        <v>1969300</v>
      </c>
      <c r="P93" s="43" t="n">
        <v>2123000</v>
      </c>
      <c r="Q93" s="44">
        <f>O93/P93</f>
        <v/>
      </c>
      <c r="R93" s="41" t="n">
        <v>58.0968</v>
      </c>
      <c r="S93" s="41" t="n">
        <v>57.5315</v>
      </c>
      <c r="T93" s="41" t="n">
        <v>57.0382</v>
      </c>
      <c r="U93" s="42">
        <f>S93/T93-1</f>
        <v/>
      </c>
      <c r="V93" s="45" t="n">
        <v>0.9</v>
      </c>
      <c r="W93" s="42">
        <f>J93/R93-1</f>
        <v/>
      </c>
      <c r="X93" s="42">
        <f>J93/S93-1</f>
        <v/>
      </c>
      <c r="Y93" s="41" t="n">
        <v>1.6251</v>
      </c>
      <c r="Z93" s="46">
        <f>Y93/J93</f>
        <v/>
      </c>
      <c r="AA93" s="44">
        <f>(J93-R93)/Y93</f>
        <v/>
      </c>
      <c r="AB93" s="44">
        <f>(J93-S93)/Y93</f>
        <v/>
      </c>
      <c r="AC93" s="38">
        <f>IF(ABS(AA93)&lt;=ABS(AB93),"9EMA","21EMA")</f>
        <v/>
      </c>
      <c r="AD93" s="38" t="inlineStr">
        <is>
          <t>9EMA</t>
        </is>
      </c>
      <c r="AE93" s="38" t="inlineStr">
        <is>
          <t>持續在上方</t>
        </is>
      </c>
      <c r="AF93" s="38" t="inlineStr"/>
      <c r="AG93" s="38" t="inlineStr"/>
      <c r="AH93" s="38" t="inlineStr">
        <is>
          <t>✓</t>
        </is>
      </c>
      <c r="AI93" s="38" t="inlineStr">
        <is>
          <t>2026-08-25</t>
        </is>
      </c>
      <c r="AJ93" s="38" t="n">
        <v>27</v>
      </c>
      <c r="AK93" s="47" t="n">
        <v>4</v>
      </c>
      <c r="AL93" s="38" t="inlineStr">
        <is>
          <t>2026-09-23</t>
        </is>
      </c>
      <c r="AM93" s="41" t="n">
        <v>56.26</v>
      </c>
      <c r="AN93" s="41" t="n">
        <v>54.55</v>
      </c>
      <c r="AO93" s="42">
        <f>IF(ISNUMBER(AN93),AM93/AN93-1,"")</f>
        <v/>
      </c>
      <c r="AP93" s="47" t="n">
        <v>7</v>
      </c>
      <c r="AQ93" s="42">
        <f>IF(ISNUMBER(AM93),J93/AM93-1,"")</f>
        <v/>
      </c>
      <c r="AR93" s="41" t="n">
        <v>58.65</v>
      </c>
      <c r="AS93" s="42">
        <f>J93/AR93-1</f>
        <v/>
      </c>
      <c r="AT93" s="48" t="n">
        <v>0.6852</v>
      </c>
      <c r="AU93" s="48" t="n">
        <v>0.7313</v>
      </c>
      <c r="AV93" s="48" t="n">
        <v>0.7428</v>
      </c>
      <c r="AW93" s="49">
        <f>AU93-AV93</f>
        <v/>
      </c>
      <c r="AX93" s="48" t="n">
        <v>-0.0461</v>
      </c>
      <c r="AY93" s="48" t="n">
        <v>-0.0454</v>
      </c>
      <c r="AZ93" s="48" t="n">
        <v>-0.0056</v>
      </c>
      <c r="BA93" s="38" t="inlineStr">
        <is>
          <t>深紅</t>
        </is>
      </c>
      <c r="BB93" s="38" t="inlineStr">
        <is>
          <t>—</t>
        </is>
      </c>
      <c r="BC93" s="38" t="inlineStr">
        <is>
          <t>—</t>
        </is>
      </c>
      <c r="BD93" s="38" t="inlineStr">
        <is>
          <t>深紅 淺紅 淺紅 淺紅 淺紅 深紅 深紅 深紅</t>
        </is>
      </c>
      <c r="BE93" s="38" t="inlineStr">
        <is>
          <t>上升三角（平頂）</t>
        </is>
      </c>
      <c r="BF93" s="50" t="n">
        <v>-0.09760000000000001</v>
      </c>
      <c r="BG93" s="50" t="n">
        <v>0.3029</v>
      </c>
      <c r="BH93" s="50" t="n">
        <v>0.5427999999999999</v>
      </c>
      <c r="BI93" s="50" t="n">
        <v>0.6763</v>
      </c>
      <c r="BJ93" s="47" t="n">
        <v>1</v>
      </c>
      <c r="BK93" s="41" t="n">
        <v>61.14</v>
      </c>
      <c r="BL93" s="41" t="n">
        <v>53.43</v>
      </c>
      <c r="BM93" s="41" t="n">
        <v>57.615</v>
      </c>
      <c r="BN93" s="50" t="n">
        <v>1.0607</v>
      </c>
      <c r="BO93" s="44">
        <f>IF(M93=N93,0.5,(J93-N93)/(M93-N93))</f>
        <v/>
      </c>
      <c r="BP93" s="51" t="n">
        <v>4.802</v>
      </c>
      <c r="BQ93" s="51" t="n">
        <v>-0.239</v>
      </c>
      <c r="BR93" s="52">
        <f>100*(0.4*MIN(1,MAX(0,((U93*100)-(0.0))/((2.5)-(0.0))))+0.3*MIN(1,MAX(0,((V93)-(0.6))/((1.0)-(0.6))))+0.3*MIN(1,MAX(0,((BP93)-(0.0))/((15.0)-(0.0)))))</f>
        <v/>
      </c>
      <c r="BS93" s="52">
        <f>100*(0.4*MIN(1,MAX(0,((MIN(ABS(AA93),ABS(AB93)))-(0.75))/((0.0)-(0.75))))+0.3*MIN(1,MAX(0,((BN93)-(1.2))/((0.6)-(1.2))))+0.3*BO93)</f>
        <v/>
      </c>
      <c r="BT93" s="52">
        <f>100*(0.5*MIN(1,MAX(0,((AK93)-(1.0))/((4.0)-(1.0))))+0.3*MIN(1,MAX(0,((IF(ISNUMBER(AO93),AO93,0)*100)-(0.0))/((8.0)-(0.0))))+0.2*MIN(1,MAX(0,((IF(ISNUMBER(AP93),AP93,0))-(25.0))/((5.0)-(25.0)))))</f>
        <v/>
      </c>
      <c r="BU93" s="52">
        <f>100*(0.35*MIN(1,MAX(0,((ABS(BF93))-(0.3))/((0.05)-(0.3))))+0.3*MIN(1,MAX(0,((BG93)-(0.0))/((0.3)-(0.0))))+0.25*MIN(1,MAX(0,((BH93)-(0.4))/((0.7)-(0.4))))+0.1*IF(BJ93&gt;=2,1,0.5))</f>
        <v/>
      </c>
      <c r="BV93" s="53">
        <f>0.25*BR93+0.25*BS93+0.2*BT93+0.3*BU93</f>
        <v/>
      </c>
      <c r="BW93" s="38" t="inlineStr">
        <is>
          <t>C5 MACD慢線向上、C6 MACD柱轉勢</t>
        </is>
      </c>
      <c r="BX93" s="38" t="inlineStr"/>
    </row>
    <row r="94">
      <c r="A94" s="38" t="n">
        <v>3</v>
      </c>
      <c r="B94" s="38" t="n">
        <v>32</v>
      </c>
      <c r="C94" s="39" t="inlineStr">
        <is>
          <t>OSPN</t>
        </is>
      </c>
      <c r="D94" s="38" t="inlineStr">
        <is>
          <t>OneSpan Inc.</t>
        </is>
      </c>
      <c r="E94" s="38" t="inlineStr">
        <is>
          <t>NASDAQ</t>
        </is>
      </c>
      <c r="F94" s="38" t="inlineStr">
        <is>
          <t>科技</t>
        </is>
      </c>
      <c r="G94" s="38" t="inlineStr">
        <is>
          <t>EDP Services</t>
        </is>
      </c>
      <c r="H94" s="40" t="n">
        <v>0.66</v>
      </c>
      <c r="I94" s="38" t="inlineStr">
        <is>
          <t>小型</t>
        </is>
      </c>
      <c r="J94" s="41" t="n">
        <v>18.12</v>
      </c>
      <c r="K94" s="41" t="n">
        <v>18.04</v>
      </c>
      <c r="L94" s="42">
        <f>J94/K94-1</f>
        <v/>
      </c>
      <c r="M94" s="41" t="n">
        <v>18.31</v>
      </c>
      <c r="N94" s="41" t="n">
        <v>17.96</v>
      </c>
      <c r="O94" s="43" t="n">
        <v>318500</v>
      </c>
      <c r="P94" s="43" t="n">
        <v>582100</v>
      </c>
      <c r="Q94" s="44">
        <f>O94/P94</f>
        <v/>
      </c>
      <c r="R94" s="41" t="n">
        <v>17.8562</v>
      </c>
      <c r="S94" s="41" t="n">
        <v>17.4506</v>
      </c>
      <c r="T94" s="41" t="n">
        <v>17.135</v>
      </c>
      <c r="U94" s="42">
        <f>S94/T94-1</f>
        <v/>
      </c>
      <c r="V94" s="45" t="n">
        <v>1</v>
      </c>
      <c r="W94" s="42">
        <f>J94/R94-1</f>
        <v/>
      </c>
      <c r="X94" s="42">
        <f>J94/S94-1</f>
        <v/>
      </c>
      <c r="Y94" s="41" t="n">
        <v>0.5523</v>
      </c>
      <c r="Z94" s="46">
        <f>Y94/J94</f>
        <v/>
      </c>
      <c r="AA94" s="44">
        <f>(J94-R94)/Y94</f>
        <v/>
      </c>
      <c r="AB94" s="44">
        <f>(J94-S94)/Y94</f>
        <v/>
      </c>
      <c r="AC94" s="38">
        <f>IF(ABS(AA94)&lt;=ABS(AB94),"9EMA","21EMA")</f>
        <v/>
      </c>
      <c r="AD94" s="38" t="inlineStr">
        <is>
          <t>9EMA</t>
        </is>
      </c>
      <c r="AE94" s="38" t="inlineStr">
        <is>
          <t>持續在上方</t>
        </is>
      </c>
      <c r="AF94" s="38" t="inlineStr"/>
      <c r="AG94" s="38" t="inlineStr"/>
      <c r="AH94" s="38" t="inlineStr">
        <is>
          <t>✓</t>
        </is>
      </c>
      <c r="AI94" s="38" t="inlineStr">
        <is>
          <t>2026-08-27</t>
        </is>
      </c>
      <c r="AJ94" s="38" t="n">
        <v>25</v>
      </c>
      <c r="AK94" s="47" t="n">
        <v>3</v>
      </c>
      <c r="AL94" s="38" t="inlineStr">
        <is>
          <t>2026-09-22</t>
        </is>
      </c>
      <c r="AM94" s="41" t="n">
        <v>17.05</v>
      </c>
      <c r="AN94" s="41" t="n">
        <v>15.97</v>
      </c>
      <c r="AO94" s="42">
        <f>IF(ISNUMBER(AN94),AM94/AN94-1,"")</f>
        <v/>
      </c>
      <c r="AP94" s="47" t="n">
        <v>8</v>
      </c>
      <c r="AQ94" s="42">
        <f>IF(ISNUMBER(AM94),J94/AM94-1,"")</f>
        <v/>
      </c>
      <c r="AR94" s="41" t="n">
        <v>18.12</v>
      </c>
      <c r="AS94" s="42">
        <f>J94/AR94-1</f>
        <v/>
      </c>
      <c r="AT94" s="48" t="n">
        <v>0.4632</v>
      </c>
      <c r="AU94" s="48" t="n">
        <v>0.4623</v>
      </c>
      <c r="AV94" s="48" t="n">
        <v>0.4621</v>
      </c>
      <c r="AW94" s="49">
        <f>AU94-AV94</f>
        <v/>
      </c>
      <c r="AX94" s="48" t="n">
        <v>0.0009</v>
      </c>
      <c r="AY94" s="48" t="n">
        <v>0.0012</v>
      </c>
      <c r="AZ94" s="48" t="n">
        <v>0.003</v>
      </c>
      <c r="BA94" s="38" t="inlineStr">
        <is>
          <t>淺綠</t>
        </is>
      </c>
      <c r="BB94" s="38" t="inlineStr">
        <is>
          <t>—</t>
        </is>
      </c>
      <c r="BC94" s="38" t="inlineStr">
        <is>
          <t>—</t>
        </is>
      </c>
      <c r="BD94" s="38" t="inlineStr">
        <is>
          <t>深綠 淺綠 淺綠 淺綠 淺綠 淺綠 淺綠 淺綠</t>
        </is>
      </c>
      <c r="BE94" s="38" t="inlineStr">
        <is>
          <t>上傾收窄（楔形）</t>
        </is>
      </c>
      <c r="BF94" s="50" t="n">
        <v>0.4775</v>
      </c>
      <c r="BG94" s="50" t="n">
        <v>0.745</v>
      </c>
      <c r="BH94" s="50" t="n">
        <v>0.6412</v>
      </c>
      <c r="BI94" s="50" t="n">
        <v>0.6812</v>
      </c>
      <c r="BJ94" s="47" t="n">
        <v>7</v>
      </c>
      <c r="BK94" s="41" t="n">
        <v>18.31</v>
      </c>
      <c r="BL94" s="41" t="n">
        <v>15.79</v>
      </c>
      <c r="BM94" s="41" t="n">
        <v>17.4059</v>
      </c>
      <c r="BN94" s="50" t="n">
        <v>1.3288</v>
      </c>
      <c r="BO94" s="44">
        <f>IF(M94=N94,0.5,(J94-N94)/(M94-N94))</f>
        <v/>
      </c>
      <c r="BP94" s="51" t="n">
        <v>17.1</v>
      </c>
      <c r="BQ94" s="51" t="n">
        <v>12.059</v>
      </c>
      <c r="BR94" s="52">
        <f>100*(0.4*MIN(1,MAX(0,((U94*100)-(0.0))/((2.5)-(0.0))))+0.3*MIN(1,MAX(0,((V94)-(0.6))/((1.0)-(0.6))))+0.3*MIN(1,MAX(0,((BP94)-(0.0))/((15.0)-(0.0)))))</f>
        <v/>
      </c>
      <c r="BS94" s="52">
        <f>100*(0.4*MIN(1,MAX(0,((MIN(ABS(AA94),ABS(AB94)))-(0.75))/((0.0)-(0.75))))+0.3*MIN(1,MAX(0,((BN94)-(1.2))/((0.6)-(1.2))))+0.3*BO94)</f>
        <v/>
      </c>
      <c r="BT94" s="52">
        <f>100*(0.5*MIN(1,MAX(0,((AK94)-(1.0))/((4.0)-(1.0))))+0.3*MIN(1,MAX(0,((IF(ISNUMBER(AO94),AO94,0)*100)-(0.0))/((8.0)-(0.0))))+0.2*MIN(1,MAX(0,((IF(ISNUMBER(AP94),AP94,0))-(25.0))/((5.0)-(25.0)))))</f>
        <v/>
      </c>
      <c r="BU94" s="52">
        <f>100*(0.35*MIN(1,MAX(0,((ABS(BF94))-(0.3))/((0.05)-(0.3))))+0.3*MIN(1,MAX(0,((BG94)-(0.0))/((0.3)-(0.0))))+0.25*MIN(1,MAX(0,((BH94)-(0.4))/((0.7)-(0.4))))+0.1*IF(BJ94&gt;=2,1,0.5))</f>
        <v/>
      </c>
      <c r="BV94" s="53">
        <f>0.25*BR94+0.25*BS94+0.2*BT94+0.3*BU94</f>
        <v/>
      </c>
      <c r="BW94" s="38" t="inlineStr">
        <is>
          <t>C6 MACD柱轉勢</t>
        </is>
      </c>
      <c r="BX94" s="38" t="inlineStr"/>
    </row>
    <row r="95">
      <c r="A95" s="38" t="n">
        <v>3</v>
      </c>
      <c r="B95" s="38" t="n">
        <v>33</v>
      </c>
      <c r="C95" s="39" t="inlineStr">
        <is>
          <t>CSTL</t>
        </is>
      </c>
      <c r="D95" s="38" t="inlineStr">
        <is>
          <t>Castle Biosciences Inc.</t>
        </is>
      </c>
      <c r="E95" s="38" t="inlineStr">
        <is>
          <t>NASDAQ</t>
        </is>
      </c>
      <c r="F95" s="38" t="inlineStr">
        <is>
          <t>醫療保健</t>
        </is>
      </c>
      <c r="G95" s="38" t="inlineStr">
        <is>
          <t>Medical Specialities</t>
        </is>
      </c>
      <c r="H95" s="40" t="n">
        <v>1.085</v>
      </c>
      <c r="I95" s="38" t="inlineStr">
        <is>
          <t>小型</t>
        </is>
      </c>
      <c r="J95" s="41" t="n">
        <v>35.56</v>
      </c>
      <c r="K95" s="41" t="n">
        <v>35.255</v>
      </c>
      <c r="L95" s="42">
        <f>J95/K95-1</f>
        <v/>
      </c>
      <c r="M95" s="41" t="n">
        <v>35.92</v>
      </c>
      <c r="N95" s="41" t="n">
        <v>34.75</v>
      </c>
      <c r="O95" s="43" t="n">
        <v>167700</v>
      </c>
      <c r="P95" s="43" t="n">
        <v>356255</v>
      </c>
      <c r="Q95" s="44">
        <f>O95/P95</f>
        <v/>
      </c>
      <c r="R95" s="41" t="n">
        <v>35.2921</v>
      </c>
      <c r="S95" s="41" t="n">
        <v>34.5837</v>
      </c>
      <c r="T95" s="41" t="n">
        <v>34.0697</v>
      </c>
      <c r="U95" s="42">
        <f>S95/T95-1</f>
        <v/>
      </c>
      <c r="V95" s="45" t="n">
        <v>1</v>
      </c>
      <c r="W95" s="42">
        <f>J95/R95-1</f>
        <v/>
      </c>
      <c r="X95" s="42">
        <f>J95/S95-1</f>
        <v/>
      </c>
      <c r="Y95" s="41" t="n">
        <v>1.5439</v>
      </c>
      <c r="Z95" s="46">
        <f>Y95/J95</f>
        <v/>
      </c>
      <c r="AA95" s="44">
        <f>(J95-R95)/Y95</f>
        <v/>
      </c>
      <c r="AB95" s="44">
        <f>(J95-S95)/Y95</f>
        <v/>
      </c>
      <c r="AC95" s="38">
        <f>IF(ABS(AA95)&lt;=ABS(AB95),"9EMA","21EMA")</f>
        <v/>
      </c>
      <c r="AD95" s="38" t="inlineStr">
        <is>
          <t>9+21EMA</t>
        </is>
      </c>
      <c r="AE95" s="38" t="inlineStr">
        <is>
          <t>持續在上方</t>
        </is>
      </c>
      <c r="AF95" s="38" t="inlineStr"/>
      <c r="AG95" s="38" t="inlineStr"/>
      <c r="AH95" s="38" t="inlineStr">
        <is>
          <t>✓</t>
        </is>
      </c>
      <c r="AI95" s="38" t="inlineStr">
        <is>
          <t>2026-06-23</t>
        </is>
      </c>
      <c r="AJ95" s="38" t="n">
        <v>71</v>
      </c>
      <c r="AK95" s="47" t="n">
        <v>2</v>
      </c>
      <c r="AL95" s="38" t="inlineStr">
        <is>
          <t>2026-09-24</t>
        </is>
      </c>
      <c r="AM95" s="41" t="n">
        <v>33.9</v>
      </c>
      <c r="AN95" s="41" t="n">
        <v>31.44</v>
      </c>
      <c r="AO95" s="42">
        <f>IF(ISNUMBER(AN95),AM95/AN95-1,"")</f>
        <v/>
      </c>
      <c r="AP95" s="47" t="n">
        <v>6</v>
      </c>
      <c r="AQ95" s="42">
        <f>IF(ISNUMBER(AM95),J95/AM95-1,"")</f>
        <v/>
      </c>
      <c r="AR95" s="41" t="n">
        <v>36.78</v>
      </c>
      <c r="AS95" s="42">
        <f>J95/AR95-1</f>
        <v/>
      </c>
      <c r="AT95" s="48" t="n">
        <v>0.9520999999999999</v>
      </c>
      <c r="AU95" s="48" t="n">
        <v>1.0923</v>
      </c>
      <c r="AV95" s="48" t="n">
        <v>1.1274</v>
      </c>
      <c r="AW95" s="49">
        <f>AU95-AV95</f>
        <v/>
      </c>
      <c r="AX95" s="48" t="n">
        <v>-0.1402</v>
      </c>
      <c r="AY95" s="48" t="n">
        <v>-0.1406</v>
      </c>
      <c r="AZ95" s="48" t="n">
        <v>-0.1149</v>
      </c>
      <c r="BA95" s="38" t="inlineStr">
        <is>
          <t>淺紅</t>
        </is>
      </c>
      <c r="BB95" s="38" t="inlineStr">
        <is>
          <t>深紅→淺紅</t>
        </is>
      </c>
      <c r="BC95" s="38" t="n">
        <v>0</v>
      </c>
      <c r="BD95" s="38" t="inlineStr">
        <is>
          <t>深紅 深紅 淺紅 淺紅 深紅 深紅 深紅 淺紅</t>
        </is>
      </c>
      <c r="BE95" s="38" t="inlineStr">
        <is>
          <t>上傾擴張</t>
        </is>
      </c>
      <c r="BF95" s="50" t="n">
        <v>0.5962</v>
      </c>
      <c r="BG95" s="50" t="n">
        <v>0.2847</v>
      </c>
      <c r="BH95" s="50" t="n">
        <v>0.5766</v>
      </c>
      <c r="BI95" s="50" t="n">
        <v>0.5213</v>
      </c>
      <c r="BJ95" s="47" t="n">
        <v>4</v>
      </c>
      <c r="BK95" s="41" t="n">
        <v>36.99</v>
      </c>
      <c r="BL95" s="41" t="n">
        <v>31.44</v>
      </c>
      <c r="BM95" s="41" t="n">
        <v>34.6402</v>
      </c>
      <c r="BN95" s="50" t="n">
        <v>1.1037</v>
      </c>
      <c r="BO95" s="44">
        <f>IF(M95=N95,0.5,(J95-N95)/(M95-N95))</f>
        <v/>
      </c>
      <c r="BP95" s="51" t="n">
        <v>11.444</v>
      </c>
      <c r="BQ95" s="51" t="n">
        <v>6.403</v>
      </c>
      <c r="BR95" s="52">
        <f>100*(0.4*MIN(1,MAX(0,((U95*100)-(0.0))/((2.5)-(0.0))))+0.3*MIN(1,MAX(0,((V95)-(0.6))/((1.0)-(0.6))))+0.3*MIN(1,MAX(0,((BP95)-(0.0))/((15.0)-(0.0)))))</f>
        <v/>
      </c>
      <c r="BS95" s="52">
        <f>100*(0.4*MIN(1,MAX(0,((MIN(ABS(AA95),ABS(AB95)))-(0.75))/((0.0)-(0.75))))+0.3*MIN(1,MAX(0,((BN95)-(1.2))/((0.6)-(1.2))))+0.3*BO95)</f>
        <v/>
      </c>
      <c r="BT95" s="52">
        <f>100*(0.5*MIN(1,MAX(0,((AK95)-(1.0))/((4.0)-(1.0))))+0.3*MIN(1,MAX(0,((IF(ISNUMBER(AO95),AO95,0)*100)-(0.0))/((8.0)-(0.0))))+0.2*MIN(1,MAX(0,((IF(ISNUMBER(AP95),AP95,0))-(25.0))/((5.0)-(25.0)))))</f>
        <v/>
      </c>
      <c r="BU95" s="52">
        <f>100*(0.35*MIN(1,MAX(0,((ABS(BF95))-(0.3))/((0.05)-(0.3))))+0.3*MIN(1,MAX(0,((BG95)-(0.0))/((0.3)-(0.0))))+0.25*MIN(1,MAX(0,((BH95)-(0.4))/((0.7)-(0.4))))+0.1*IF(BJ95&gt;=2,1,0.5))</f>
        <v/>
      </c>
      <c r="BV95" s="53">
        <f>0.25*BR95+0.25*BS95+0.2*BT95+0.3*BU95</f>
        <v/>
      </c>
      <c r="BW95" s="38" t="inlineStr">
        <is>
          <t>C5 MACD慢線向上</t>
        </is>
      </c>
      <c r="BX95" s="38" t="inlineStr"/>
    </row>
    <row r="96">
      <c r="A96" s="38" t="n">
        <v>3</v>
      </c>
      <c r="B96" s="38" t="n">
        <v>34</v>
      </c>
      <c r="C96" s="39" t="inlineStr">
        <is>
          <t>BRKR</t>
        </is>
      </c>
      <c r="D96" s="38" t="inlineStr">
        <is>
          <t>Bruker Corporation</t>
        </is>
      </c>
      <c r="E96" s="38" t="inlineStr">
        <is>
          <t>NASDAQ</t>
        </is>
      </c>
      <c r="F96" s="38" t="inlineStr">
        <is>
          <t>工業</t>
        </is>
      </c>
      <c r="G96" s="38" t="inlineStr">
        <is>
          <t>Biotechnology: Laboratory Analytical Instruments</t>
        </is>
      </c>
      <c r="H96" s="40" t="n">
        <v>9.865</v>
      </c>
      <c r="I96" s="38" t="inlineStr">
        <is>
          <t>中型</t>
        </is>
      </c>
      <c r="J96" s="41" t="n">
        <v>63.24</v>
      </c>
      <c r="K96" s="41" t="n">
        <v>61.94</v>
      </c>
      <c r="L96" s="42">
        <f>J96/K96-1</f>
        <v/>
      </c>
      <c r="M96" s="41" t="n">
        <v>64.36</v>
      </c>
      <c r="N96" s="41" t="n">
        <v>62.25</v>
      </c>
      <c r="O96" s="43" t="n">
        <v>2227600</v>
      </c>
      <c r="P96" s="43" t="n">
        <v>2353385</v>
      </c>
      <c r="Q96" s="44">
        <f>O96/P96</f>
        <v/>
      </c>
      <c r="R96" s="41" t="n">
        <v>62.6904</v>
      </c>
      <c r="S96" s="41" t="n">
        <v>61.022</v>
      </c>
      <c r="T96" s="41" t="n">
        <v>59.5145</v>
      </c>
      <c r="U96" s="42">
        <f>S96/T96-1</f>
        <v/>
      </c>
      <c r="V96" s="45" t="n">
        <v>1</v>
      </c>
      <c r="W96" s="42">
        <f>J96/R96-1</f>
        <v/>
      </c>
      <c r="X96" s="42">
        <f>J96/S96-1</f>
        <v/>
      </c>
      <c r="Y96" s="41" t="n">
        <v>2.9441</v>
      </c>
      <c r="Z96" s="46">
        <f>Y96/J96</f>
        <v/>
      </c>
      <c r="AA96" s="44">
        <f>(J96-R96)/Y96</f>
        <v/>
      </c>
      <c r="AB96" s="44">
        <f>(J96-S96)/Y96</f>
        <v/>
      </c>
      <c r="AC96" s="38">
        <f>IF(ABS(AA96)&lt;=ABS(AB96),"9EMA","21EMA")</f>
        <v/>
      </c>
      <c r="AD96" s="38" t="inlineStr">
        <is>
          <t>9EMA</t>
        </is>
      </c>
      <c r="AE96" s="38" t="inlineStr">
        <is>
          <t>持續在上方</t>
        </is>
      </c>
      <c r="AF96" s="38" t="inlineStr"/>
      <c r="AG96" s="38" t="inlineStr"/>
      <c r="AH96" s="38" t="inlineStr">
        <is>
          <t>✓</t>
        </is>
      </c>
      <c r="AI96" s="38" t="inlineStr">
        <is>
          <t>2026-09-17</t>
        </is>
      </c>
      <c r="AJ96" s="38" t="n">
        <v>11</v>
      </c>
      <c r="AK96" s="47" t="n">
        <v>2</v>
      </c>
      <c r="AL96" s="38" t="inlineStr">
        <is>
          <t>2026-09-24</t>
        </is>
      </c>
      <c r="AM96" s="41" t="n">
        <v>59.17</v>
      </c>
      <c r="AN96" s="41" t="n">
        <v>51.54</v>
      </c>
      <c r="AO96" s="42">
        <f>IF(ISNUMBER(AN96),AM96/AN96-1,"")</f>
        <v/>
      </c>
      <c r="AP96" s="47" t="n">
        <v>6</v>
      </c>
      <c r="AQ96" s="42">
        <f>IF(ISNUMBER(AM96),J96/AM96-1,"")</f>
        <v/>
      </c>
      <c r="AR96" s="41" t="n">
        <v>64.75</v>
      </c>
      <c r="AS96" s="42">
        <f>J96/AR96-1</f>
        <v/>
      </c>
      <c r="AT96" s="48" t="n">
        <v>1.6201</v>
      </c>
      <c r="AU96" s="48" t="n">
        <v>1.3014</v>
      </c>
      <c r="AV96" s="48" t="n">
        <v>1.2217</v>
      </c>
      <c r="AW96" s="49">
        <f>AU96-AV96</f>
        <v/>
      </c>
      <c r="AX96" s="48" t="n">
        <v>0.3187</v>
      </c>
      <c r="AY96" s="48" t="n">
        <v>0.4219</v>
      </c>
      <c r="AZ96" s="48" t="n">
        <v>0.6657999999999999</v>
      </c>
      <c r="BA96" s="38" t="inlineStr">
        <is>
          <t>淺綠</t>
        </is>
      </c>
      <c r="BB96" s="38" t="inlineStr">
        <is>
          <t>—</t>
        </is>
      </c>
      <c r="BC96" s="38" t="inlineStr">
        <is>
          <t>—</t>
        </is>
      </c>
      <c r="BD96" s="38" t="inlineStr">
        <is>
          <t>淺綠 深綠 深綠 淺綠 淺綠 淺綠 淺綠 淺綠</t>
        </is>
      </c>
      <c r="BE96" s="38" t="inlineStr">
        <is>
          <t>上傾擴張</t>
        </is>
      </c>
      <c r="BF96" s="50" t="n">
        <v>0.7256</v>
      </c>
      <c r="BG96" s="50" t="n">
        <v>0.3469</v>
      </c>
      <c r="BH96" s="50" t="n">
        <v>0.5235</v>
      </c>
      <c r="BI96" s="50" t="n">
        <v>0.576</v>
      </c>
      <c r="BJ96" s="47" t="n">
        <v>1</v>
      </c>
      <c r="BK96" s="41" t="n">
        <v>66.98</v>
      </c>
      <c r="BL96" s="41" t="n">
        <v>51.54</v>
      </c>
      <c r="BM96" s="41" t="n">
        <v>59.6235</v>
      </c>
      <c r="BN96" s="50" t="n">
        <v>1.1373</v>
      </c>
      <c r="BO96" s="44">
        <f>IF(M96=N96,0.5,(J96-N96)/(M96-N96))</f>
        <v/>
      </c>
      <c r="BP96" s="51" t="n">
        <v>12.191</v>
      </c>
      <c r="BQ96" s="51" t="n">
        <v>7.15</v>
      </c>
      <c r="BR96" s="52">
        <f>100*(0.4*MIN(1,MAX(0,((U96*100)-(0.0))/((2.5)-(0.0))))+0.3*MIN(1,MAX(0,((V96)-(0.6))/((1.0)-(0.6))))+0.3*MIN(1,MAX(0,((BP96)-(0.0))/((15.0)-(0.0)))))</f>
        <v/>
      </c>
      <c r="BS96" s="52">
        <f>100*(0.4*MIN(1,MAX(0,((MIN(ABS(AA96),ABS(AB96)))-(0.75))/((0.0)-(0.75))))+0.3*MIN(1,MAX(0,((BN96)-(1.2))/((0.6)-(1.2))))+0.3*BO96)</f>
        <v/>
      </c>
      <c r="BT96" s="52">
        <f>100*(0.5*MIN(1,MAX(0,((AK96)-(1.0))/((4.0)-(1.0))))+0.3*MIN(1,MAX(0,((IF(ISNUMBER(AO96),AO96,0)*100)-(0.0))/((8.0)-(0.0))))+0.2*MIN(1,MAX(0,((IF(ISNUMBER(AP96),AP96,0))-(25.0))/((5.0)-(25.0)))))</f>
        <v/>
      </c>
      <c r="BU96" s="52">
        <f>100*(0.35*MIN(1,MAX(0,((ABS(BF96))-(0.3))/((0.05)-(0.3))))+0.3*MIN(1,MAX(0,((BG96)-(0.0))/((0.3)-(0.0))))+0.25*MIN(1,MAX(0,((BH96)-(0.4))/((0.7)-(0.4))))+0.1*IF(BJ96&gt;=2,1,0.5))</f>
        <v/>
      </c>
      <c r="BV96" s="53">
        <f>0.25*BR96+0.25*BS96+0.2*BT96+0.3*BU96</f>
        <v/>
      </c>
      <c r="BW96" s="38" t="inlineStr">
        <is>
          <t>C6 MACD柱轉勢</t>
        </is>
      </c>
      <c r="BX96" s="38" t="inlineStr"/>
    </row>
    <row r="97">
      <c r="A97" s="38" t="n">
        <v>3</v>
      </c>
      <c r="B97" s="38" t="n">
        <v>35</v>
      </c>
      <c r="C97" s="39" t="inlineStr">
        <is>
          <t>HYPD</t>
        </is>
      </c>
      <c r="D97" s="38" t="inlineStr">
        <is>
          <t>Hyperion DeFi Inc.</t>
        </is>
      </c>
      <c r="E97" s="38" t="inlineStr">
        <is>
          <t>NASDAQ</t>
        </is>
      </c>
      <c r="F97" s="38" t="inlineStr">
        <is>
          <t>醫療保健</t>
        </is>
      </c>
      <c r="G97" s="38" t="inlineStr">
        <is>
          <t>Biotechnology: Pharmaceutical Preparations</t>
        </is>
      </c>
      <c r="H97" s="40" t="n">
        <v>0.058</v>
      </c>
      <c r="I97" s="38" t="inlineStr">
        <is>
          <t>小型</t>
        </is>
      </c>
      <c r="J97" s="41" t="n">
        <v>3.73</v>
      </c>
      <c r="K97" s="41" t="n">
        <v>3.66</v>
      </c>
      <c r="L97" s="42">
        <f>J97/K97-1</f>
        <v/>
      </c>
      <c r="M97" s="41" t="n">
        <v>3.95</v>
      </c>
      <c r="N97" s="41" t="n">
        <v>3.705</v>
      </c>
      <c r="O97" s="43" t="n">
        <v>530000</v>
      </c>
      <c r="P97" s="43" t="n">
        <v>582245</v>
      </c>
      <c r="Q97" s="44">
        <f>O97/P97</f>
        <v/>
      </c>
      <c r="R97" s="41" t="n">
        <v>3.8031</v>
      </c>
      <c r="S97" s="41" t="n">
        <v>3.6785</v>
      </c>
      <c r="T97" s="41" t="n">
        <v>3.6075</v>
      </c>
      <c r="U97" s="42">
        <f>S97/T97-1</f>
        <v/>
      </c>
      <c r="V97" s="45" t="n">
        <v>0.9</v>
      </c>
      <c r="W97" s="42">
        <f>J97/R97-1</f>
        <v/>
      </c>
      <c r="X97" s="42">
        <f>J97/S97-1</f>
        <v/>
      </c>
      <c r="Y97" s="41" t="n">
        <v>0.2824</v>
      </c>
      <c r="Z97" s="46">
        <f>Y97/J97</f>
        <v/>
      </c>
      <c r="AA97" s="44">
        <f>(J97-R97)/Y97</f>
        <v/>
      </c>
      <c r="AB97" s="44">
        <f>(J97-S97)/Y97</f>
        <v/>
      </c>
      <c r="AC97" s="38">
        <f>IF(ABS(AA97)&lt;=ABS(AB97),"9EMA","21EMA")</f>
        <v/>
      </c>
      <c r="AD97" s="38" t="inlineStr">
        <is>
          <t>9+21EMA</t>
        </is>
      </c>
      <c r="AE97" s="38" t="inlineStr">
        <is>
          <t>持續在上方</t>
        </is>
      </c>
      <c r="AF97" s="38" t="inlineStr"/>
      <c r="AG97" s="38" t="inlineStr">
        <is>
          <t>✓</t>
        </is>
      </c>
      <c r="AH97" s="38" t="inlineStr"/>
      <c r="AI97" s="38" t="inlineStr">
        <is>
          <t>2026-08-19</t>
        </is>
      </c>
      <c r="AJ97" s="38" t="n">
        <v>31</v>
      </c>
      <c r="AK97" s="47" t="n">
        <v>5</v>
      </c>
      <c r="AL97" s="38" t="inlineStr">
        <is>
          <t>2026-09-16</t>
        </is>
      </c>
      <c r="AM97" s="41" t="n">
        <v>3.18</v>
      </c>
      <c r="AN97" s="41" t="n">
        <v>3.03</v>
      </c>
      <c r="AO97" s="42">
        <f>IF(ISNUMBER(AN97),AM97/AN97-1,"")</f>
        <v/>
      </c>
      <c r="AP97" s="47" t="n">
        <v>12</v>
      </c>
      <c r="AQ97" s="42">
        <f>IF(ISNUMBER(AM97),J97/AM97-1,"")</f>
        <v/>
      </c>
      <c r="AR97" s="41" t="n">
        <v>4.17</v>
      </c>
      <c r="AS97" s="42">
        <f>J97/AR97-1</f>
        <v/>
      </c>
      <c r="AT97" s="48" t="n">
        <v>0.1644</v>
      </c>
      <c r="AU97" s="48" t="n">
        <v>0.1978</v>
      </c>
      <c r="AV97" s="48" t="n">
        <v>0.2061</v>
      </c>
      <c r="AW97" s="49">
        <f>AU97-AV97</f>
        <v/>
      </c>
      <c r="AX97" s="48" t="n">
        <v>-0.0334</v>
      </c>
      <c r="AY97" s="48" t="n">
        <v>-0.0232</v>
      </c>
      <c r="AZ97" s="48" t="n">
        <v>-0.0008</v>
      </c>
      <c r="BA97" s="38" t="inlineStr">
        <is>
          <t>深紅</t>
        </is>
      </c>
      <c r="BB97" s="38" t="inlineStr">
        <is>
          <t>—</t>
        </is>
      </c>
      <c r="BC97" s="38" t="inlineStr">
        <is>
          <t>—</t>
        </is>
      </c>
      <c r="BD97" s="38" t="inlineStr">
        <is>
          <t>深綠 深綠 淺綠 淺綠 淺綠 深紅 深紅 深紅</t>
        </is>
      </c>
      <c r="BE97" s="38" t="inlineStr">
        <is>
          <t>上傾擴張</t>
        </is>
      </c>
      <c r="BF97" s="50" t="n">
        <v>0.8639</v>
      </c>
      <c r="BG97" s="50" t="n">
        <v>0.4468</v>
      </c>
      <c r="BH97" s="50" t="n">
        <v>0.5478</v>
      </c>
      <c r="BI97" s="50" t="n">
        <v>0.5356</v>
      </c>
      <c r="BJ97" s="47" t="n">
        <v>3</v>
      </c>
      <c r="BK97" s="41" t="n">
        <v>4.17</v>
      </c>
      <c r="BL97" s="41" t="n">
        <v>3.03</v>
      </c>
      <c r="BM97" s="41" t="n">
        <v>3.6545</v>
      </c>
      <c r="BN97" s="50" t="n">
        <v>1.1456</v>
      </c>
      <c r="BO97" s="44">
        <f>IF(M97=N97,0.5,(J97-N97)/(M97-N97))</f>
        <v/>
      </c>
      <c r="BP97" s="51" t="n">
        <v>26.936</v>
      </c>
      <c r="BQ97" s="51" t="n">
        <v>21.895</v>
      </c>
      <c r="BR97" s="52">
        <f>100*(0.4*MIN(1,MAX(0,((U97*100)-(0.0))/((2.5)-(0.0))))+0.3*MIN(1,MAX(0,((V97)-(0.6))/((1.0)-(0.6))))+0.3*MIN(1,MAX(0,((BP97)-(0.0))/((15.0)-(0.0)))))</f>
        <v/>
      </c>
      <c r="BS97" s="52">
        <f>100*(0.4*MIN(1,MAX(0,((MIN(ABS(AA97),ABS(AB97)))-(0.75))/((0.0)-(0.75))))+0.3*MIN(1,MAX(0,((BN97)-(1.2))/((0.6)-(1.2))))+0.3*BO97)</f>
        <v/>
      </c>
      <c r="BT97" s="52">
        <f>100*(0.5*MIN(1,MAX(0,((AK97)-(1.0))/((4.0)-(1.0))))+0.3*MIN(1,MAX(0,((IF(ISNUMBER(AO97),AO97,0)*100)-(0.0))/((8.0)-(0.0))))+0.2*MIN(1,MAX(0,((IF(ISNUMBER(AP97),AP97,0))-(25.0))/((5.0)-(25.0)))))</f>
        <v/>
      </c>
      <c r="BU97" s="52">
        <f>100*(0.35*MIN(1,MAX(0,((ABS(BF97))-(0.3))/((0.05)-(0.3))))+0.3*MIN(1,MAX(0,((BG97)-(0.0))/((0.3)-(0.0))))+0.25*MIN(1,MAX(0,((BH97)-(0.4))/((0.7)-(0.4))))+0.1*IF(BJ97&gt;=2,1,0.5))</f>
        <v/>
      </c>
      <c r="BV97" s="53">
        <f>0.25*BR97+0.25*BS97+0.2*BT97+0.3*BU97</f>
        <v/>
      </c>
      <c r="BW97" s="38" t="inlineStr">
        <is>
          <t>C5 MACD慢線向上、C6 MACD柱轉勢</t>
        </is>
      </c>
      <c r="BX97" s="38" t="inlineStr"/>
    </row>
    <row r="98">
      <c r="A98" s="38" t="n">
        <v>3</v>
      </c>
      <c r="B98" s="38" t="n">
        <v>36</v>
      </c>
      <c r="C98" s="39" t="inlineStr">
        <is>
          <t>NGVC</t>
        </is>
      </c>
      <c r="D98" s="38" t="inlineStr">
        <is>
          <t>Natural Grocers by Vitamin Cottage Inc.</t>
        </is>
      </c>
      <c r="E98" s="38" t="inlineStr">
        <is>
          <t>NYSE</t>
        </is>
      </c>
      <c r="F98" s="38" t="inlineStr">
        <is>
          <t>必需消費</t>
        </is>
      </c>
      <c r="G98" s="38" t="inlineStr">
        <is>
          <t>Food Chains</t>
        </is>
      </c>
      <c r="H98" s="40" t="n">
        <v>0.702</v>
      </c>
      <c r="I98" s="38" t="inlineStr">
        <is>
          <t>小型</t>
        </is>
      </c>
      <c r="J98" s="41" t="n">
        <v>30.61</v>
      </c>
      <c r="K98" s="41" t="n">
        <v>30.48</v>
      </c>
      <c r="L98" s="42">
        <f>J98/K98-1</f>
        <v/>
      </c>
      <c r="M98" s="41" t="n">
        <v>31.34</v>
      </c>
      <c r="N98" s="41" t="n">
        <v>30.31</v>
      </c>
      <c r="O98" s="43" t="n">
        <v>107900</v>
      </c>
      <c r="P98" s="43" t="n">
        <v>157865</v>
      </c>
      <c r="Q98" s="44">
        <f>O98/P98</f>
        <v/>
      </c>
      <c r="R98" s="41" t="n">
        <v>30.2482</v>
      </c>
      <c r="S98" s="41" t="n">
        <v>29.684</v>
      </c>
      <c r="T98" s="41" t="n">
        <v>29.1693</v>
      </c>
      <c r="U98" s="42">
        <f>S98/T98-1</f>
        <v/>
      </c>
      <c r="V98" s="45" t="n">
        <v>1</v>
      </c>
      <c r="W98" s="42">
        <f>J98/R98-1</f>
        <v/>
      </c>
      <c r="X98" s="42">
        <f>J98/S98-1</f>
        <v/>
      </c>
      <c r="Y98" s="41" t="n">
        <v>1.0498</v>
      </c>
      <c r="Z98" s="46">
        <f>Y98/J98</f>
        <v/>
      </c>
      <c r="AA98" s="44">
        <f>(J98-R98)/Y98</f>
        <v/>
      </c>
      <c r="AB98" s="44">
        <f>(J98-S98)/Y98</f>
        <v/>
      </c>
      <c r="AC98" s="38">
        <f>IF(ABS(AA98)&lt;=ABS(AB98),"9EMA","21EMA")</f>
        <v/>
      </c>
      <c r="AD98" s="38" t="inlineStr">
        <is>
          <t>9EMA</t>
        </is>
      </c>
      <c r="AE98" s="38" t="inlineStr">
        <is>
          <t>持續在上方</t>
        </is>
      </c>
      <c r="AF98" s="38" t="inlineStr"/>
      <c r="AG98" s="38" t="inlineStr"/>
      <c r="AH98" s="38" t="inlineStr">
        <is>
          <t>✓</t>
        </is>
      </c>
      <c r="AI98" s="38" t="inlineStr">
        <is>
          <t>2026-09-16</t>
        </is>
      </c>
      <c r="AJ98" s="38" t="n">
        <v>12</v>
      </c>
      <c r="AK98" s="47" t="n">
        <v>2</v>
      </c>
      <c r="AL98" s="38" t="inlineStr">
        <is>
          <t>2026-09-25</t>
        </is>
      </c>
      <c r="AM98" s="41" t="n">
        <v>29.48</v>
      </c>
      <c r="AN98" s="41" t="n">
        <v>26.5</v>
      </c>
      <c r="AO98" s="42">
        <f>IF(ISNUMBER(AN98),AM98/AN98-1,"")</f>
        <v/>
      </c>
      <c r="AP98" s="47" t="n">
        <v>5</v>
      </c>
      <c r="AQ98" s="42">
        <f>IF(ISNUMBER(AM98),J98/AM98-1,"")</f>
        <v/>
      </c>
      <c r="AR98" s="41" t="n">
        <v>30.98</v>
      </c>
      <c r="AS98" s="42">
        <f>J98/AR98-1</f>
        <v/>
      </c>
      <c r="AT98" s="48" t="n">
        <v>0.5075</v>
      </c>
      <c r="AU98" s="48" t="n">
        <v>0.3741</v>
      </c>
      <c r="AV98" s="48" t="n">
        <v>0.3407</v>
      </c>
      <c r="AW98" s="49">
        <f>AU98-AV98</f>
        <v/>
      </c>
      <c r="AX98" s="48" t="n">
        <v>0.1335</v>
      </c>
      <c r="AY98" s="48" t="n">
        <v>0.1533</v>
      </c>
      <c r="AZ98" s="48" t="n">
        <v>0.1805</v>
      </c>
      <c r="BA98" s="38" t="inlineStr">
        <is>
          <t>淺綠</t>
        </is>
      </c>
      <c r="BB98" s="38" t="inlineStr">
        <is>
          <t>—</t>
        </is>
      </c>
      <c r="BC98" s="38" t="inlineStr">
        <is>
          <t>—</t>
        </is>
      </c>
      <c r="BD98" s="38" t="inlineStr">
        <is>
          <t>淺綠 淺綠 淺綠 深綠 淺綠 淺綠 淺綠 淺綠</t>
        </is>
      </c>
      <c r="BE98" s="38" t="inlineStr">
        <is>
          <t>上傾收窄（楔形）</t>
        </is>
      </c>
      <c r="BF98" s="50" t="n">
        <v>0.4932</v>
      </c>
      <c r="BG98" s="50" t="n">
        <v>0.8113</v>
      </c>
      <c r="BH98" s="50" t="n">
        <v>0.5407</v>
      </c>
      <c r="BI98" s="50" t="n">
        <v>0.5686</v>
      </c>
      <c r="BJ98" s="47" t="n">
        <v>4</v>
      </c>
      <c r="BK98" s="41" t="n">
        <v>31.61</v>
      </c>
      <c r="BL98" s="41" t="n">
        <v>26.5</v>
      </c>
      <c r="BM98" s="41" t="n">
        <v>29.2631</v>
      </c>
      <c r="BN98" s="50" t="n">
        <v>0.9598</v>
      </c>
      <c r="BO98" s="44">
        <f>IF(M98=N98,0.5,(J98-N98)/(M98-N98))</f>
        <v/>
      </c>
      <c r="BP98" s="51" t="n">
        <v>18.411</v>
      </c>
      <c r="BQ98" s="51" t="n">
        <v>13.37</v>
      </c>
      <c r="BR98" s="52">
        <f>100*(0.4*MIN(1,MAX(0,((U98*100)-(0.0))/((2.5)-(0.0))))+0.3*MIN(1,MAX(0,((V98)-(0.6))/((1.0)-(0.6))))+0.3*MIN(1,MAX(0,((BP98)-(0.0))/((15.0)-(0.0)))))</f>
        <v/>
      </c>
      <c r="BS98" s="52">
        <f>100*(0.4*MIN(1,MAX(0,((MIN(ABS(AA98),ABS(AB98)))-(0.75))/((0.0)-(0.75))))+0.3*MIN(1,MAX(0,((BN98)-(1.2))/((0.6)-(1.2))))+0.3*BO98)</f>
        <v/>
      </c>
      <c r="BT98" s="52">
        <f>100*(0.5*MIN(1,MAX(0,((AK98)-(1.0))/((4.0)-(1.0))))+0.3*MIN(1,MAX(0,((IF(ISNUMBER(AO98),AO98,0)*100)-(0.0))/((8.0)-(0.0))))+0.2*MIN(1,MAX(0,((IF(ISNUMBER(AP98),AP98,0))-(25.0))/((5.0)-(25.0)))))</f>
        <v/>
      </c>
      <c r="BU98" s="52">
        <f>100*(0.35*MIN(1,MAX(0,((ABS(BF98))-(0.3))/((0.05)-(0.3))))+0.3*MIN(1,MAX(0,((BG98)-(0.0))/((0.3)-(0.0))))+0.25*MIN(1,MAX(0,((BH98)-(0.4))/((0.7)-(0.4))))+0.1*IF(BJ98&gt;=2,1,0.5))</f>
        <v/>
      </c>
      <c r="BV98" s="53">
        <f>0.25*BR98+0.25*BS98+0.2*BT98+0.3*BU98</f>
        <v/>
      </c>
      <c r="BW98" s="38" t="inlineStr">
        <is>
          <t>C6 MACD柱轉勢</t>
        </is>
      </c>
      <c r="BX98" s="38" t="inlineStr"/>
    </row>
    <row r="99">
      <c r="A99" s="38" t="n">
        <v>3</v>
      </c>
      <c r="B99" s="38" t="n">
        <v>37</v>
      </c>
      <c r="C99" s="39" t="inlineStr">
        <is>
          <t>SMTI</t>
        </is>
      </c>
      <c r="D99" s="38" t="inlineStr">
        <is>
          <t>Sanara MedTech Inc.</t>
        </is>
      </c>
      <c r="E99" s="38" t="inlineStr">
        <is>
          <t>NASDAQ</t>
        </is>
      </c>
      <c r="F99" s="38" t="inlineStr">
        <is>
          <t>醫療保健</t>
        </is>
      </c>
      <c r="G99" s="38" t="inlineStr">
        <is>
          <t>Industrial Specialties</t>
        </is>
      </c>
      <c r="H99" s="40" t="n">
        <v>0.323</v>
      </c>
      <c r="I99" s="38" t="inlineStr">
        <is>
          <t>小型</t>
        </is>
      </c>
      <c r="J99" s="41" t="n">
        <v>34.85</v>
      </c>
      <c r="K99" s="41" t="n">
        <v>34.88</v>
      </c>
      <c r="L99" s="42">
        <f>J99/K99-1</f>
        <v/>
      </c>
      <c r="M99" s="41" t="n">
        <v>34.89</v>
      </c>
      <c r="N99" s="41" t="n">
        <v>34.63</v>
      </c>
      <c r="O99" s="43" t="n">
        <v>341900</v>
      </c>
      <c r="P99" s="43" t="n">
        <v>211730</v>
      </c>
      <c r="Q99" s="44">
        <f>O99/P99</f>
        <v/>
      </c>
      <c r="R99" s="41" t="n">
        <v>35.014</v>
      </c>
      <c r="S99" s="41" t="n">
        <v>34.8488</v>
      </c>
      <c r="T99" s="41" t="n">
        <v>34.7575</v>
      </c>
      <c r="U99" s="42">
        <f>S99/T99-1</f>
        <v/>
      </c>
      <c r="V99" s="45" t="n">
        <v>1</v>
      </c>
      <c r="W99" s="42">
        <f>J99/R99-1</f>
        <v/>
      </c>
      <c r="X99" s="42">
        <f>J99/S99-1</f>
        <v/>
      </c>
      <c r="Y99" s="41" t="n">
        <v>0.2765</v>
      </c>
      <c r="Z99" s="46">
        <f>Y99/J99</f>
        <v/>
      </c>
      <c r="AA99" s="44">
        <f>(J99-R99)/Y99</f>
        <v/>
      </c>
      <c r="AB99" s="44">
        <f>(J99-S99)/Y99</f>
        <v/>
      </c>
      <c r="AC99" s="38">
        <f>IF(ABS(AA99)&lt;=ABS(AB99),"9EMA","21EMA")</f>
        <v/>
      </c>
      <c r="AD99" s="38" t="inlineStr">
        <is>
          <t>9+21EMA</t>
        </is>
      </c>
      <c r="AE99" s="38" t="inlineStr">
        <is>
          <t>持續在上方</t>
        </is>
      </c>
      <c r="AF99" s="38" t="inlineStr"/>
      <c r="AG99" s="38" t="inlineStr">
        <is>
          <t>✓</t>
        </is>
      </c>
      <c r="AH99" s="38" t="inlineStr"/>
      <c r="AI99" s="38" t="inlineStr">
        <is>
          <t>2026-05-12</t>
        </is>
      </c>
      <c r="AJ99" s="38" t="n">
        <v>99</v>
      </c>
      <c r="AK99" s="47" t="n">
        <v>6</v>
      </c>
      <c r="AL99" s="38" t="inlineStr">
        <is>
          <t>2026-09-25</t>
        </is>
      </c>
      <c r="AM99" s="41" t="n">
        <v>34.97</v>
      </c>
      <c r="AN99" s="41" t="n">
        <v>34.71</v>
      </c>
      <c r="AO99" s="42">
        <f>IF(ISNUMBER(AN99),AM99/AN99-1,"")</f>
        <v/>
      </c>
      <c r="AP99" s="47" t="n">
        <v>5</v>
      </c>
      <c r="AQ99" s="42">
        <f>IF(ISNUMBER(AM99),J99/AM99-1,"")</f>
        <v/>
      </c>
      <c r="AR99" s="41" t="n">
        <v>35.28</v>
      </c>
      <c r="AS99" s="42">
        <f>J99/AR99-1</f>
        <v/>
      </c>
      <c r="AT99" s="48" t="n">
        <v>0.3661</v>
      </c>
      <c r="AU99" s="48" t="n">
        <v>0.5353</v>
      </c>
      <c r="AV99" s="48" t="n">
        <v>0.5775</v>
      </c>
      <c r="AW99" s="49">
        <f>AU99-AV99</f>
        <v/>
      </c>
      <c r="AX99" s="48" t="n">
        <v>-0.1691</v>
      </c>
      <c r="AY99" s="48" t="n">
        <v>-0.1656</v>
      </c>
      <c r="AZ99" s="48" t="n">
        <v>-0.1575</v>
      </c>
      <c r="BA99" s="38" t="inlineStr">
        <is>
          <t>深紅</t>
        </is>
      </c>
      <c r="BB99" s="38" t="inlineStr">
        <is>
          <t>—</t>
        </is>
      </c>
      <c r="BC99" s="38" t="inlineStr">
        <is>
          <t>—</t>
        </is>
      </c>
      <c r="BD99" s="38" t="inlineStr">
        <is>
          <t>淺紅 淺紅 淺紅 淺紅 淺紅 淺紅 深紅 深紅</t>
        </is>
      </c>
      <c r="BE99" s="38" t="inlineStr">
        <is>
          <t>上升三角（平頂）</t>
        </is>
      </c>
      <c r="BF99" s="50" t="n">
        <v>0.041</v>
      </c>
      <c r="BG99" s="50" t="n">
        <v>0.07290000000000001</v>
      </c>
      <c r="BH99" s="50" t="n">
        <v>0.5209</v>
      </c>
      <c r="BI99" s="50" t="n">
        <v>0.4907</v>
      </c>
      <c r="BJ99" s="47" t="n">
        <v>23</v>
      </c>
      <c r="BK99" s="41" t="n">
        <v>35.34</v>
      </c>
      <c r="BL99" s="41" t="n">
        <v>34.46</v>
      </c>
      <c r="BM99" s="41" t="n">
        <v>34.9184</v>
      </c>
      <c r="BN99" s="50" t="n">
        <v>1.9993</v>
      </c>
      <c r="BO99" s="44">
        <f>IF(M99=N99,0.5,(J99-N99)/(M99-N99))</f>
        <v/>
      </c>
      <c r="BP99" s="51" t="n">
        <v>5.185</v>
      </c>
      <c r="BQ99" s="51" t="n">
        <v>0.144</v>
      </c>
      <c r="BR99" s="52">
        <f>100*(0.4*MIN(1,MAX(0,((U99*100)-(0.0))/((2.5)-(0.0))))+0.3*MIN(1,MAX(0,((V99)-(0.6))/((1.0)-(0.6))))+0.3*MIN(1,MAX(0,((BP99)-(0.0))/((15.0)-(0.0)))))</f>
        <v/>
      </c>
      <c r="BS99" s="52">
        <f>100*(0.4*MIN(1,MAX(0,((MIN(ABS(AA99),ABS(AB99)))-(0.75))/((0.0)-(0.75))))+0.3*MIN(1,MAX(0,((BN99)-(1.2))/((0.6)-(1.2))))+0.3*BO99)</f>
        <v/>
      </c>
      <c r="BT99" s="52">
        <f>100*(0.5*MIN(1,MAX(0,((AK99)-(1.0))/((4.0)-(1.0))))+0.3*MIN(1,MAX(0,((IF(ISNUMBER(AO99),AO99,0)*100)-(0.0))/((8.0)-(0.0))))+0.2*MIN(1,MAX(0,((IF(ISNUMBER(AP99),AP99,0))-(25.0))/((5.0)-(25.0)))))</f>
        <v/>
      </c>
      <c r="BU99" s="52">
        <f>100*(0.35*MIN(1,MAX(0,((ABS(BF99))-(0.3))/((0.05)-(0.3))))+0.3*MIN(1,MAX(0,((BG99)-(0.0))/((0.3)-(0.0))))+0.25*MIN(1,MAX(0,((BH99)-(0.4))/((0.7)-(0.4))))+0.1*IF(BJ99&gt;=2,1,0.5))</f>
        <v/>
      </c>
      <c r="BV99" s="53">
        <f>0.25*BR99+0.25*BS99+0.2*BT99+0.3*BU99</f>
        <v/>
      </c>
      <c r="BW99" s="38" t="inlineStr">
        <is>
          <t>C5 MACD慢線向上、C6 MACD柱轉勢</t>
        </is>
      </c>
      <c r="BX99" s="38" t="inlineStr"/>
    </row>
    <row r="100">
      <c r="A100" s="38" t="n">
        <v>3</v>
      </c>
      <c r="B100" s="38" t="n">
        <v>38</v>
      </c>
      <c r="C100" s="39" t="inlineStr">
        <is>
          <t>MAZE</t>
        </is>
      </c>
      <c r="D100" s="38" t="inlineStr">
        <is>
          <t>Maze Therapeutics Inc.</t>
        </is>
      </c>
      <c r="E100" s="38" t="inlineStr">
        <is>
          <t>NASDAQ</t>
        </is>
      </c>
      <c r="F100" s="38" t="inlineStr">
        <is>
          <t>醫療保健</t>
        </is>
      </c>
      <c r="G100" s="38" t="inlineStr">
        <is>
          <t>Biotechnology: Biological Products (No Diagnostic Substances)</t>
        </is>
      </c>
      <c r="H100" s="40" t="n">
        <v>1.51</v>
      </c>
      <c r="I100" s="38" t="inlineStr">
        <is>
          <t>小型</t>
        </is>
      </c>
      <c r="J100" s="41" t="n">
        <v>26.43</v>
      </c>
      <c r="K100" s="41" t="n">
        <v>26.65</v>
      </c>
      <c r="L100" s="42">
        <f>J100/K100-1</f>
        <v/>
      </c>
      <c r="M100" s="41" t="n">
        <v>27.49</v>
      </c>
      <c r="N100" s="41" t="n">
        <v>26.36</v>
      </c>
      <c r="O100" s="43" t="n">
        <v>633000</v>
      </c>
      <c r="P100" s="43" t="n">
        <v>883685</v>
      </c>
      <c r="Q100" s="44">
        <f>O100/P100</f>
        <v/>
      </c>
      <c r="R100" s="41" t="n">
        <v>26.4161</v>
      </c>
      <c r="S100" s="41" t="n">
        <v>26.2458</v>
      </c>
      <c r="T100" s="41" t="n">
        <v>25.9064</v>
      </c>
      <c r="U100" s="42">
        <f>S100/T100-1</f>
        <v/>
      </c>
      <c r="V100" s="45" t="n">
        <v>0.9</v>
      </c>
      <c r="W100" s="42">
        <f>J100/R100-1</f>
        <v/>
      </c>
      <c r="X100" s="42">
        <f>J100/S100-1</f>
        <v/>
      </c>
      <c r="Y100" s="41" t="n">
        <v>1.7578</v>
      </c>
      <c r="Z100" s="46">
        <f>Y100/J100</f>
        <v/>
      </c>
      <c r="AA100" s="44">
        <f>(J100-R100)/Y100</f>
        <v/>
      </c>
      <c r="AB100" s="44">
        <f>(J100-S100)/Y100</f>
        <v/>
      </c>
      <c r="AC100" s="38">
        <f>IF(ABS(AA100)&lt;=ABS(AB100),"9EMA","21EMA")</f>
        <v/>
      </c>
      <c r="AD100" s="38" t="inlineStr">
        <is>
          <t>9+21EMA</t>
        </is>
      </c>
      <c r="AE100" s="21" t="inlineStr">
        <is>
          <t>剛黃金交叉</t>
        </is>
      </c>
      <c r="AF100" s="38" t="inlineStr">
        <is>
          <t>✓</t>
        </is>
      </c>
      <c r="AG100" s="38" t="inlineStr"/>
      <c r="AH100" s="38" t="inlineStr">
        <is>
          <t>✓</t>
        </is>
      </c>
      <c r="AI100" s="38" t="inlineStr">
        <is>
          <t>2026-09-29</t>
        </is>
      </c>
      <c r="AJ100" s="38" t="n">
        <v>3</v>
      </c>
      <c r="AK100" s="47" t="n">
        <v>2</v>
      </c>
      <c r="AL100" s="38" t="inlineStr">
        <is>
          <t>2026-09-28</t>
        </is>
      </c>
      <c r="AM100" s="41" t="n">
        <v>24.84</v>
      </c>
      <c r="AN100" s="41" t="n">
        <v>21.95</v>
      </c>
      <c r="AO100" s="42">
        <f>IF(ISNUMBER(AN100),AM100/AN100-1,"")</f>
        <v/>
      </c>
      <c r="AP100" s="47" t="n">
        <v>4</v>
      </c>
      <c r="AQ100" s="42">
        <f>IF(ISNUMBER(AM100),J100/AM100-1,"")</f>
        <v/>
      </c>
      <c r="AR100" s="41" t="n">
        <v>28.38</v>
      </c>
      <c r="AS100" s="42">
        <f>J100/AR100-1</f>
        <v/>
      </c>
      <c r="AT100" s="48" t="n">
        <v>-0.0316</v>
      </c>
      <c r="AU100" s="48" t="n">
        <v>-0.322</v>
      </c>
      <c r="AV100" s="48" t="n">
        <v>-0.3946</v>
      </c>
      <c r="AW100" s="49">
        <f>AU100-AV100</f>
        <v/>
      </c>
      <c r="AX100" s="48" t="n">
        <v>0.2904</v>
      </c>
      <c r="AY100" s="48" t="n">
        <v>0.3462</v>
      </c>
      <c r="AZ100" s="48" t="n">
        <v>0.3898</v>
      </c>
      <c r="BA100" s="38" t="inlineStr">
        <is>
          <t>淺綠</t>
        </is>
      </c>
      <c r="BB100" s="38" t="inlineStr">
        <is>
          <t>—</t>
        </is>
      </c>
      <c r="BC100" s="38" t="inlineStr">
        <is>
          <t>—</t>
        </is>
      </c>
      <c r="BD100" s="38" t="inlineStr">
        <is>
          <t>深綠 深綠 淺綠 深綠 深綠 深綠 淺綠 淺綠</t>
        </is>
      </c>
      <c r="BE100" s="38" t="inlineStr">
        <is>
          <t>上升通道</t>
        </is>
      </c>
      <c r="BF100" s="50" t="n">
        <v>0.1587</v>
      </c>
      <c r="BG100" s="50" t="n">
        <v>0.1965</v>
      </c>
      <c r="BH100" s="50" t="n">
        <v>0.5262</v>
      </c>
      <c r="BI100" s="50" t="n">
        <v>0.6257</v>
      </c>
      <c r="BJ100" s="47" t="n">
        <v>1</v>
      </c>
      <c r="BK100" s="41" t="n">
        <v>29.91</v>
      </c>
      <c r="BL100" s="41" t="n">
        <v>21.95</v>
      </c>
      <c r="BM100" s="41" t="n">
        <v>26.1382</v>
      </c>
      <c r="BN100" s="50" t="n">
        <v>0.5759</v>
      </c>
      <c r="BO100" s="44">
        <f>IF(M100=N100,0.5,(J100-N100)/(M100-N100))</f>
        <v/>
      </c>
      <c r="BP100" s="51" t="n">
        <v>3.956</v>
      </c>
      <c r="BQ100" s="51" t="n">
        <v>-1.085</v>
      </c>
      <c r="BR100" s="52">
        <f>100*(0.4*MIN(1,MAX(0,((U100*100)-(0.0))/((2.5)-(0.0))))+0.3*MIN(1,MAX(0,((V100)-(0.6))/((1.0)-(0.6))))+0.3*MIN(1,MAX(0,((BP100)-(0.0))/((15.0)-(0.0)))))</f>
        <v/>
      </c>
      <c r="BS100" s="52">
        <f>100*(0.4*MIN(1,MAX(0,((MIN(ABS(AA100),ABS(AB100)))-(0.75))/((0.0)-(0.75))))+0.3*MIN(1,MAX(0,((BN100)-(1.2))/((0.6)-(1.2))))+0.3*BO100)</f>
        <v/>
      </c>
      <c r="BT100" s="52">
        <f>100*(0.5*MIN(1,MAX(0,((AK100)-(1.0))/((4.0)-(1.0))))+0.3*MIN(1,MAX(0,((IF(ISNUMBER(AO100),AO100,0)*100)-(0.0))/((8.0)-(0.0))))+0.2*MIN(1,MAX(0,((IF(ISNUMBER(AP100),AP100,0))-(25.0))/((5.0)-(25.0)))))</f>
        <v/>
      </c>
      <c r="BU100" s="52">
        <f>100*(0.35*MIN(1,MAX(0,((ABS(BF100))-(0.3))/((0.05)-(0.3))))+0.3*MIN(1,MAX(0,((BG100)-(0.0))/((0.3)-(0.0))))+0.25*MIN(1,MAX(0,((BH100)-(0.4))/((0.7)-(0.4))))+0.1*IF(BJ100&gt;=2,1,0.5))</f>
        <v/>
      </c>
      <c r="BV100" s="53">
        <f>0.25*BR100+0.25*BS100+0.2*BT100+0.3*BU100</f>
        <v/>
      </c>
      <c r="BW100" s="38" t="inlineStr">
        <is>
          <t>C6 MACD柱轉勢</t>
        </is>
      </c>
      <c r="BX100" s="38" t="inlineStr"/>
    </row>
    <row r="101">
      <c r="A101" s="38" t="n">
        <v>3</v>
      </c>
      <c r="B101" s="38" t="n">
        <v>39</v>
      </c>
      <c r="C101" s="39" t="inlineStr">
        <is>
          <t>VLGEA</t>
        </is>
      </c>
      <c r="D101" s="38" t="inlineStr">
        <is>
          <t>Village Super Market Inc.</t>
        </is>
      </c>
      <c r="E101" s="38" t="inlineStr">
        <is>
          <t>NASDAQ</t>
        </is>
      </c>
      <c r="F101" s="38" t="inlineStr">
        <is>
          <t>必需消費</t>
        </is>
      </c>
      <c r="G101" s="38" t="inlineStr">
        <is>
          <t>Food Chains</t>
        </is>
      </c>
      <c r="H101" s="40" t="n">
        <v>0.673</v>
      </c>
      <c r="I101" s="38" t="inlineStr">
        <is>
          <t>小型</t>
        </is>
      </c>
      <c r="J101" s="41" t="n">
        <v>46</v>
      </c>
      <c r="K101" s="41" t="n">
        <v>45.53</v>
      </c>
      <c r="L101" s="42">
        <f>J101/K101-1</f>
        <v/>
      </c>
      <c r="M101" s="41" t="n">
        <v>46.24</v>
      </c>
      <c r="N101" s="41" t="n">
        <v>45.42</v>
      </c>
      <c r="O101" s="43" t="n">
        <v>34000</v>
      </c>
      <c r="P101" s="43" t="n">
        <v>46455</v>
      </c>
      <c r="Q101" s="44">
        <f>O101/P101</f>
        <v/>
      </c>
      <c r="R101" s="41" t="n">
        <v>45.4199</v>
      </c>
      <c r="S101" s="41" t="n">
        <v>44.7838</v>
      </c>
      <c r="T101" s="41" t="n">
        <v>44.2059</v>
      </c>
      <c r="U101" s="42">
        <f>S101/T101-1</f>
        <v/>
      </c>
      <c r="V101" s="45" t="n">
        <v>1</v>
      </c>
      <c r="W101" s="42">
        <f>J101/R101-1</f>
        <v/>
      </c>
      <c r="X101" s="42">
        <f>J101/S101-1</f>
        <v/>
      </c>
      <c r="Y101" s="41" t="n">
        <v>1.1495</v>
      </c>
      <c r="Z101" s="46">
        <f>Y101/J101</f>
        <v/>
      </c>
      <c r="AA101" s="44">
        <f>(J101-R101)/Y101</f>
        <v/>
      </c>
      <c r="AB101" s="44">
        <f>(J101-S101)/Y101</f>
        <v/>
      </c>
      <c r="AC101" s="38">
        <f>IF(ABS(AA101)&lt;=ABS(AB101),"9EMA","21EMA")</f>
        <v/>
      </c>
      <c r="AD101" s="38" t="inlineStr">
        <is>
          <t>9+21EMA</t>
        </is>
      </c>
      <c r="AE101" s="38" t="inlineStr">
        <is>
          <t>持續在上方</t>
        </is>
      </c>
      <c r="AF101" s="38" t="inlineStr"/>
      <c r="AG101" s="38" t="inlineStr"/>
      <c r="AH101" s="38" t="inlineStr">
        <is>
          <t>✓</t>
        </is>
      </c>
      <c r="AI101" s="38" t="inlineStr">
        <is>
          <t>2026-09-14</t>
        </is>
      </c>
      <c r="AJ101" s="38" t="n">
        <v>14</v>
      </c>
      <c r="AK101" s="47" t="n">
        <v>3</v>
      </c>
      <c r="AL101" s="38" t="inlineStr">
        <is>
          <t>2026-09-18</t>
        </is>
      </c>
      <c r="AM101" s="41" t="n">
        <v>43.38</v>
      </c>
      <c r="AN101" s="41" t="n">
        <v>42.04</v>
      </c>
      <c r="AO101" s="42">
        <f>IF(ISNUMBER(AN101),AM101/AN101-1,"")</f>
        <v/>
      </c>
      <c r="AP101" s="47" t="n">
        <v>10</v>
      </c>
      <c r="AQ101" s="42">
        <f>IF(ISNUMBER(AM101),J101/AM101-1,"")</f>
        <v/>
      </c>
      <c r="AR101" s="41" t="n">
        <v>46.11</v>
      </c>
      <c r="AS101" s="42">
        <f>J101/AR101-1</f>
        <v/>
      </c>
      <c r="AT101" s="48" t="n">
        <v>0.6353</v>
      </c>
      <c r="AU101" s="48" t="n">
        <v>0.5261</v>
      </c>
      <c r="AV101" s="48" t="n">
        <v>0.4988</v>
      </c>
      <c r="AW101" s="49">
        <f>AU101-AV101</f>
        <v/>
      </c>
      <c r="AX101" s="48" t="n">
        <v>0.1092</v>
      </c>
      <c r="AY101" s="48" t="n">
        <v>0.1093</v>
      </c>
      <c r="AZ101" s="48" t="n">
        <v>0.141</v>
      </c>
      <c r="BA101" s="38" t="inlineStr">
        <is>
          <t>淺綠</t>
        </is>
      </c>
      <c r="BB101" s="38" t="inlineStr">
        <is>
          <t>—</t>
        </is>
      </c>
      <c r="BC101" s="38" t="inlineStr">
        <is>
          <t>—</t>
        </is>
      </c>
      <c r="BD101" s="38" t="inlineStr">
        <is>
          <t>淺綠 深綠 淺綠 深綠 淺綠 淺綠 淺綠 淺綠</t>
        </is>
      </c>
      <c r="BE101" s="38" t="inlineStr">
        <is>
          <t>上傾收窄（楔形）</t>
        </is>
      </c>
      <c r="BF101" s="50" t="n">
        <v>0.2098</v>
      </c>
      <c r="BG101" s="50" t="n">
        <v>0.3149</v>
      </c>
      <c r="BH101" s="50" t="n">
        <v>0.5167</v>
      </c>
      <c r="BI101" s="50" t="n">
        <v>0.4827</v>
      </c>
      <c r="BJ101" s="47" t="n">
        <v>3</v>
      </c>
      <c r="BK101" s="41" t="n">
        <v>46.8</v>
      </c>
      <c r="BL101" s="41" t="n">
        <v>41.68</v>
      </c>
      <c r="BM101" s="41" t="n">
        <v>44.3253</v>
      </c>
      <c r="BN101" s="50" t="n">
        <v>1.0663</v>
      </c>
      <c r="BO101" s="44">
        <f>IF(M101=N101,0.5,(J101-N101)/(M101-N101))</f>
        <v/>
      </c>
      <c r="BP101" s="51" t="n">
        <v>12.292</v>
      </c>
      <c r="BQ101" s="51" t="n">
        <v>7.251</v>
      </c>
      <c r="BR101" s="52">
        <f>100*(0.4*MIN(1,MAX(0,((U101*100)-(0.0))/((2.5)-(0.0))))+0.3*MIN(1,MAX(0,((V101)-(0.6))/((1.0)-(0.6))))+0.3*MIN(1,MAX(0,((BP101)-(0.0))/((15.0)-(0.0)))))</f>
        <v/>
      </c>
      <c r="BS101" s="52">
        <f>100*(0.4*MIN(1,MAX(0,((MIN(ABS(AA101),ABS(AB101)))-(0.75))/((0.0)-(0.75))))+0.3*MIN(1,MAX(0,((BN101)-(1.2))/((0.6)-(1.2))))+0.3*BO101)</f>
        <v/>
      </c>
      <c r="BT101" s="52">
        <f>100*(0.5*MIN(1,MAX(0,((AK101)-(1.0))/((4.0)-(1.0))))+0.3*MIN(1,MAX(0,((IF(ISNUMBER(AO101),AO101,0)*100)-(0.0))/((8.0)-(0.0))))+0.2*MIN(1,MAX(0,((IF(ISNUMBER(AP101),AP101,0))-(25.0))/((5.0)-(25.0)))))</f>
        <v/>
      </c>
      <c r="BU101" s="52">
        <f>100*(0.35*MIN(1,MAX(0,((ABS(BF101))-(0.3))/((0.05)-(0.3))))+0.3*MIN(1,MAX(0,((BG101)-(0.0))/((0.3)-(0.0))))+0.25*MIN(1,MAX(0,((BH101)-(0.4))/((0.7)-(0.4))))+0.1*IF(BJ101&gt;=2,1,0.5))</f>
        <v/>
      </c>
      <c r="BV101" s="53">
        <f>0.25*BR101+0.25*BS101+0.2*BT101+0.3*BU101</f>
        <v/>
      </c>
      <c r="BW101" s="38" t="inlineStr">
        <is>
          <t>C6 MACD柱轉勢</t>
        </is>
      </c>
      <c r="BX101" s="38" t="inlineStr"/>
    </row>
    <row r="102">
      <c r="A102" s="38" t="n">
        <v>3</v>
      </c>
      <c r="B102" s="38" t="n">
        <v>40</v>
      </c>
      <c r="C102" s="39" t="inlineStr">
        <is>
          <t>GYRE</t>
        </is>
      </c>
      <c r="D102" s="38" t="inlineStr">
        <is>
          <t>Gyre Therapeutics Inc.</t>
        </is>
      </c>
      <c r="E102" s="38" t="inlineStr">
        <is>
          <t>NASDAQ</t>
        </is>
      </c>
      <c r="F102" s="38" t="inlineStr">
        <is>
          <t>醫療保健</t>
        </is>
      </c>
      <c r="G102" s="38" t="inlineStr">
        <is>
          <t>Biotechnology: Pharmaceutical Preparations</t>
        </is>
      </c>
      <c r="H102" s="40" t="n">
        <v>0.8169999999999999</v>
      </c>
      <c r="I102" s="38" t="inlineStr">
        <is>
          <t>小型</t>
        </is>
      </c>
      <c r="J102" s="41" t="n">
        <v>7.11</v>
      </c>
      <c r="K102" s="41" t="n">
        <v>7</v>
      </c>
      <c r="L102" s="42">
        <f>J102/K102-1</f>
        <v/>
      </c>
      <c r="M102" s="41" t="n">
        <v>7.35</v>
      </c>
      <c r="N102" s="41" t="n">
        <v>7.08</v>
      </c>
      <c r="O102" s="43" t="n">
        <v>163700</v>
      </c>
      <c r="P102" s="43" t="n">
        <v>208155</v>
      </c>
      <c r="Q102" s="44">
        <f>O102/P102</f>
        <v/>
      </c>
      <c r="R102" s="41" t="n">
        <v>7.2182</v>
      </c>
      <c r="S102" s="41" t="n">
        <v>7.1035</v>
      </c>
      <c r="T102" s="41" t="n">
        <v>7.0264</v>
      </c>
      <c r="U102" s="42">
        <f>S102/T102-1</f>
        <v/>
      </c>
      <c r="V102" s="45" t="n">
        <v>0.9</v>
      </c>
      <c r="W102" s="42">
        <f>J102/R102-1</f>
        <v/>
      </c>
      <c r="X102" s="42">
        <f>J102/S102-1</f>
        <v/>
      </c>
      <c r="Y102" s="41" t="n">
        <v>0.3456</v>
      </c>
      <c r="Z102" s="46">
        <f>Y102/J102</f>
        <v/>
      </c>
      <c r="AA102" s="44">
        <f>(J102-R102)/Y102</f>
        <v/>
      </c>
      <c r="AB102" s="44">
        <f>(J102-S102)/Y102</f>
        <v/>
      </c>
      <c r="AC102" s="38">
        <f>IF(ABS(AA102)&lt;=ABS(AB102),"9EMA","21EMA")</f>
        <v/>
      </c>
      <c r="AD102" s="38" t="inlineStr">
        <is>
          <t>9+21EMA</t>
        </is>
      </c>
      <c r="AE102" s="38" t="inlineStr">
        <is>
          <t>持續在上方</t>
        </is>
      </c>
      <c r="AF102" s="38" t="inlineStr"/>
      <c r="AG102" s="38" t="inlineStr">
        <is>
          <t>✓</t>
        </is>
      </c>
      <c r="AH102" s="38" t="inlineStr"/>
      <c r="AI102" s="38" t="inlineStr">
        <is>
          <t>2026-09-04</t>
        </is>
      </c>
      <c r="AJ102" s="38" t="n">
        <v>19</v>
      </c>
      <c r="AK102" s="47" t="n">
        <v>3</v>
      </c>
      <c r="AL102" s="38" t="inlineStr">
        <is>
          <t>2026-09-24</t>
        </is>
      </c>
      <c r="AM102" s="41" t="n">
        <v>6.81</v>
      </c>
      <c r="AN102" s="41" t="n">
        <v>6.46</v>
      </c>
      <c r="AO102" s="42">
        <f>IF(ISNUMBER(AN102),AM102/AN102-1,"")</f>
        <v/>
      </c>
      <c r="AP102" s="47" t="n">
        <v>6</v>
      </c>
      <c r="AQ102" s="42">
        <f>IF(ISNUMBER(AM102),J102/AM102-1,"")</f>
        <v/>
      </c>
      <c r="AR102" s="41" t="n">
        <v>7.55</v>
      </c>
      <c r="AS102" s="42">
        <f>J102/AR102-1</f>
        <v/>
      </c>
      <c r="AT102" s="48" t="n">
        <v>0.1504</v>
      </c>
      <c r="AU102" s="48" t="n">
        <v>0.181</v>
      </c>
      <c r="AV102" s="48" t="n">
        <v>0.1886</v>
      </c>
      <c r="AW102" s="49">
        <f>AU102-AV102</f>
        <v/>
      </c>
      <c r="AX102" s="48" t="n">
        <v>-0.0305</v>
      </c>
      <c r="AY102" s="48" t="n">
        <v>-0.017</v>
      </c>
      <c r="AZ102" s="48" t="n">
        <v>0.0145</v>
      </c>
      <c r="BA102" s="38" t="inlineStr">
        <is>
          <t>深紅</t>
        </is>
      </c>
      <c r="BB102" s="38" t="inlineStr">
        <is>
          <t>—</t>
        </is>
      </c>
      <c r="BC102" s="38" t="inlineStr">
        <is>
          <t>—</t>
        </is>
      </c>
      <c r="BD102" s="38" t="inlineStr">
        <is>
          <t>淺綠 淺綠 淺綠 淺綠 淺綠 淺綠 深紅 深紅</t>
        </is>
      </c>
      <c r="BE102" s="38" t="inlineStr">
        <is>
          <t>上升通道</t>
        </is>
      </c>
      <c r="BF102" s="50" t="n">
        <v>0.4792</v>
      </c>
      <c r="BG102" s="50" t="n">
        <v>0.4208</v>
      </c>
      <c r="BH102" s="50" t="n">
        <v>0.657</v>
      </c>
      <c r="BI102" s="50" t="n">
        <v>0.7504</v>
      </c>
      <c r="BJ102" s="47" t="n">
        <v>1</v>
      </c>
      <c r="BK102" s="41" t="n">
        <v>7.74</v>
      </c>
      <c r="BL102" s="41" t="n">
        <v>6.32</v>
      </c>
      <c r="BM102" s="41" t="n">
        <v>7.253</v>
      </c>
      <c r="BN102" s="50" t="n">
        <v>1.3525</v>
      </c>
      <c r="BO102" s="44">
        <f>IF(M102=N102,0.5,(J102-N102)/(M102-N102))</f>
        <v/>
      </c>
      <c r="BP102" s="51" t="n">
        <v>16.833</v>
      </c>
      <c r="BQ102" s="51" t="n">
        <v>11.792</v>
      </c>
      <c r="BR102" s="52">
        <f>100*(0.4*MIN(1,MAX(0,((U102*100)-(0.0))/((2.5)-(0.0))))+0.3*MIN(1,MAX(0,((V102)-(0.6))/((1.0)-(0.6))))+0.3*MIN(1,MAX(0,((BP102)-(0.0))/((15.0)-(0.0)))))</f>
        <v/>
      </c>
      <c r="BS102" s="52">
        <f>100*(0.4*MIN(1,MAX(0,((MIN(ABS(AA102),ABS(AB102)))-(0.75))/((0.0)-(0.75))))+0.3*MIN(1,MAX(0,((BN102)-(1.2))/((0.6)-(1.2))))+0.3*BO102)</f>
        <v/>
      </c>
      <c r="BT102" s="52">
        <f>100*(0.5*MIN(1,MAX(0,((AK102)-(1.0))/((4.0)-(1.0))))+0.3*MIN(1,MAX(0,((IF(ISNUMBER(AO102),AO102,0)*100)-(0.0))/((8.0)-(0.0))))+0.2*MIN(1,MAX(0,((IF(ISNUMBER(AP102),AP102,0))-(25.0))/((5.0)-(25.0)))))</f>
        <v/>
      </c>
      <c r="BU102" s="52">
        <f>100*(0.35*MIN(1,MAX(0,((ABS(BF102))-(0.3))/((0.05)-(0.3))))+0.3*MIN(1,MAX(0,((BG102)-(0.0))/((0.3)-(0.0))))+0.25*MIN(1,MAX(0,((BH102)-(0.4))/((0.7)-(0.4))))+0.1*IF(BJ102&gt;=2,1,0.5))</f>
        <v/>
      </c>
      <c r="BV102" s="53">
        <f>0.25*BR102+0.25*BS102+0.2*BT102+0.3*BU102</f>
        <v/>
      </c>
      <c r="BW102" s="38" t="inlineStr">
        <is>
          <t>C5 MACD慢線向上、C6 MACD柱轉勢</t>
        </is>
      </c>
      <c r="BX102" s="38" t="inlineStr"/>
    </row>
    <row r="103">
      <c r="A103" s="38" t="n">
        <v>3</v>
      </c>
      <c r="B103" s="38" t="n">
        <v>41</v>
      </c>
      <c r="C103" s="39" t="inlineStr">
        <is>
          <t>BWIN</t>
        </is>
      </c>
      <c r="D103" s="38" t="inlineStr">
        <is>
          <t>The Baldwin Insurance Group Inc.</t>
        </is>
      </c>
      <c r="E103" s="38" t="inlineStr">
        <is>
          <t>NASDAQ</t>
        </is>
      </c>
      <c r="F103" s="38" t="inlineStr">
        <is>
          <t>金融</t>
        </is>
      </c>
      <c r="G103" s="38" t="inlineStr">
        <is>
          <t>Specialty Insurers</t>
        </is>
      </c>
      <c r="H103" s="40" t="n">
        <v>4.435</v>
      </c>
      <c r="I103" s="38" t="inlineStr">
        <is>
          <t>中型</t>
        </is>
      </c>
      <c r="J103" s="41" t="n">
        <v>31.77</v>
      </c>
      <c r="K103" s="41" t="n">
        <v>31.77</v>
      </c>
      <c r="L103" s="42">
        <f>J103/K103-1</f>
        <v/>
      </c>
      <c r="M103" s="41" t="n">
        <v>31.81</v>
      </c>
      <c r="N103" s="41" t="n">
        <v>31.75</v>
      </c>
      <c r="O103" s="43" t="n">
        <v>2551000</v>
      </c>
      <c r="P103" s="43" t="n">
        <v>5427165</v>
      </c>
      <c r="Q103" s="44">
        <f>O103/P103</f>
        <v/>
      </c>
      <c r="R103" s="41" t="n">
        <v>31.754</v>
      </c>
      <c r="S103" s="41" t="n">
        <v>31.415</v>
      </c>
      <c r="T103" s="41" t="n">
        <v>31.1897</v>
      </c>
      <c r="U103" s="42">
        <f>S103/T103-1</f>
        <v/>
      </c>
      <c r="V103" s="45" t="n">
        <v>1</v>
      </c>
      <c r="W103" s="42">
        <f>J103/R103-1</f>
        <v/>
      </c>
      <c r="X103" s="42">
        <f>J103/S103-1</f>
        <v/>
      </c>
      <c r="Y103" s="41" t="n">
        <v>0.587</v>
      </c>
      <c r="Z103" s="46">
        <f>Y103/J103</f>
        <v/>
      </c>
      <c r="AA103" s="44">
        <f>(J103-R103)/Y103</f>
        <v/>
      </c>
      <c r="AB103" s="44">
        <f>(J103-S103)/Y103</f>
        <v/>
      </c>
      <c r="AC103" s="38">
        <f>IF(ABS(AA103)&lt;=ABS(AB103),"9EMA","21EMA")</f>
        <v/>
      </c>
      <c r="AD103" s="38" t="inlineStr">
        <is>
          <t>9EMA</t>
        </is>
      </c>
      <c r="AE103" s="38" t="inlineStr">
        <is>
          <t>持續在上方</t>
        </is>
      </c>
      <c r="AF103" s="38" t="inlineStr"/>
      <c r="AG103" s="38" t="inlineStr"/>
      <c r="AH103" s="38" t="inlineStr">
        <is>
          <t>✓</t>
        </is>
      </c>
      <c r="AI103" s="38" t="inlineStr">
        <is>
          <t>2026-09-14</t>
        </is>
      </c>
      <c r="AJ103" s="38" t="n">
        <v>14</v>
      </c>
      <c r="AK103" s="47" t="n">
        <v>2</v>
      </c>
      <c r="AL103" s="38" t="inlineStr">
        <is>
          <t>2026-09-24</t>
        </is>
      </c>
      <c r="AM103" s="41" t="n">
        <v>31.7</v>
      </c>
      <c r="AN103" s="41" t="n">
        <v>27.74</v>
      </c>
      <c r="AO103" s="42">
        <f>IF(ISNUMBER(AN103),AM103/AN103-1,"")</f>
        <v/>
      </c>
      <c r="AP103" s="47" t="n">
        <v>6</v>
      </c>
      <c r="AQ103" s="42">
        <f>IF(ISNUMBER(AM103),J103/AM103-1,"")</f>
        <v/>
      </c>
      <c r="AR103" s="41" t="n">
        <v>32.49</v>
      </c>
      <c r="AS103" s="42">
        <f>J103/AR103-1</f>
        <v/>
      </c>
      <c r="AT103" s="48" t="n">
        <v>0.4682</v>
      </c>
      <c r="AU103" s="48" t="n">
        <v>0.5479000000000001</v>
      </c>
      <c r="AV103" s="48" t="n">
        <v>0.5678</v>
      </c>
      <c r="AW103" s="49">
        <f>AU103-AV103</f>
        <v/>
      </c>
      <c r="AX103" s="48" t="n">
        <v>-0.07969999999999999</v>
      </c>
      <c r="AY103" s="48" t="n">
        <v>-0.0703</v>
      </c>
      <c r="AZ103" s="48" t="n">
        <v>-0.0577</v>
      </c>
      <c r="BA103" s="38" t="inlineStr">
        <is>
          <t>深紅</t>
        </is>
      </c>
      <c r="BB103" s="38" t="inlineStr">
        <is>
          <t>—</t>
        </is>
      </c>
      <c r="BC103" s="38" t="inlineStr">
        <is>
          <t>—</t>
        </is>
      </c>
      <c r="BD103" s="38" t="inlineStr">
        <is>
          <t>淺綠 淺綠 深紅 深紅 深紅 深紅 深紅 深紅</t>
        </is>
      </c>
      <c r="BE103" s="38" t="inlineStr">
        <is>
          <t>上傾收窄（楔形）</t>
        </is>
      </c>
      <c r="BF103" s="50" t="n">
        <v>0.362</v>
      </c>
      <c r="BG103" s="50" t="n">
        <v>1.1331</v>
      </c>
      <c r="BH103" s="50" t="n">
        <v>0.8242</v>
      </c>
      <c r="BI103" s="50" t="n">
        <v>0.8455</v>
      </c>
      <c r="BJ103" s="47" t="n">
        <v>2</v>
      </c>
      <c r="BK103" s="41" t="n">
        <v>32.705</v>
      </c>
      <c r="BL103" s="41" t="n">
        <v>27.74</v>
      </c>
      <c r="BM103" s="41" t="n">
        <v>31.832</v>
      </c>
      <c r="BN103" s="50" t="n">
        <v>1.1857</v>
      </c>
      <c r="BO103" s="44">
        <f>IF(M103=N103,0.5,(J103-N103)/(M103-N103))</f>
        <v/>
      </c>
      <c r="BP103" s="51" t="n">
        <v>7.492</v>
      </c>
      <c r="BQ103" s="51" t="n">
        <v>2.451</v>
      </c>
      <c r="BR103" s="52">
        <f>100*(0.4*MIN(1,MAX(0,((U103*100)-(0.0))/((2.5)-(0.0))))+0.3*MIN(1,MAX(0,((V103)-(0.6))/((1.0)-(0.6))))+0.3*MIN(1,MAX(0,((BP103)-(0.0))/((15.0)-(0.0)))))</f>
        <v/>
      </c>
      <c r="BS103" s="52">
        <f>100*(0.4*MIN(1,MAX(0,((MIN(ABS(AA103),ABS(AB103)))-(0.75))/((0.0)-(0.75))))+0.3*MIN(1,MAX(0,((BN103)-(1.2))/((0.6)-(1.2))))+0.3*BO103)</f>
        <v/>
      </c>
      <c r="BT103" s="52">
        <f>100*(0.5*MIN(1,MAX(0,((AK103)-(1.0))/((4.0)-(1.0))))+0.3*MIN(1,MAX(0,((IF(ISNUMBER(AO103),AO103,0)*100)-(0.0))/((8.0)-(0.0))))+0.2*MIN(1,MAX(0,((IF(ISNUMBER(AP103),AP103,0))-(25.0))/((5.0)-(25.0)))))</f>
        <v/>
      </c>
      <c r="BU103" s="52">
        <f>100*(0.35*MIN(1,MAX(0,((ABS(BF103))-(0.3))/((0.05)-(0.3))))+0.3*MIN(1,MAX(0,((BG103)-(0.0))/((0.3)-(0.0))))+0.25*MIN(1,MAX(0,((BH103)-(0.4))/((0.7)-(0.4))))+0.1*IF(BJ103&gt;=2,1,0.5))</f>
        <v/>
      </c>
      <c r="BV103" s="53">
        <f>0.25*BR103+0.25*BS103+0.2*BT103+0.3*BU103</f>
        <v/>
      </c>
      <c r="BW103" s="38" t="inlineStr">
        <is>
          <t>C5 MACD慢線向上、C6 MACD柱轉勢</t>
        </is>
      </c>
      <c r="BX103" s="38" t="inlineStr"/>
    </row>
    <row r="104">
      <c r="A104" s="38" t="n">
        <v>3</v>
      </c>
      <c r="B104" s="38" t="n">
        <v>42</v>
      </c>
      <c r="C104" s="39" t="inlineStr">
        <is>
          <t>ULTA</t>
        </is>
      </c>
      <c r="D104" s="38" t="inlineStr">
        <is>
          <t>Ulta Beauty Inc.</t>
        </is>
      </c>
      <c r="E104" s="38" t="inlineStr">
        <is>
          <t>NASDAQ</t>
        </is>
      </c>
      <c r="F104" s="38" t="inlineStr">
        <is>
          <t>非必需消費</t>
        </is>
      </c>
      <c r="G104" s="38" t="inlineStr">
        <is>
          <t>Other Specialty Stores</t>
        </is>
      </c>
      <c r="H104" s="40" t="n">
        <v>23.353</v>
      </c>
      <c r="I104" s="38" t="inlineStr">
        <is>
          <t>大型</t>
        </is>
      </c>
      <c r="J104" s="41" t="n">
        <v>543.6900000000001</v>
      </c>
      <c r="K104" s="41" t="n">
        <v>537.73</v>
      </c>
      <c r="L104" s="42">
        <f>J104/K104-1</f>
        <v/>
      </c>
      <c r="M104" s="41" t="n">
        <v>548.16</v>
      </c>
      <c r="N104" s="41" t="n">
        <v>535.77</v>
      </c>
      <c r="O104" s="43" t="n">
        <v>341200</v>
      </c>
      <c r="P104" s="43" t="n">
        <v>491585</v>
      </c>
      <c r="Q104" s="44">
        <f>O104/P104</f>
        <v/>
      </c>
      <c r="R104" s="41" t="n">
        <v>544.853</v>
      </c>
      <c r="S104" s="41" t="n">
        <v>543.3966</v>
      </c>
      <c r="T104" s="41" t="n">
        <v>542.7047</v>
      </c>
      <c r="U104" s="42">
        <f>S104/T104-1</f>
        <v/>
      </c>
      <c r="V104" s="45" t="n">
        <v>0.9</v>
      </c>
      <c r="W104" s="42">
        <f>J104/R104-1</f>
        <v/>
      </c>
      <c r="X104" s="42">
        <f>J104/S104-1</f>
        <v/>
      </c>
      <c r="Y104" s="41" t="n">
        <v>15.6296</v>
      </c>
      <c r="Z104" s="46">
        <f>Y104/J104</f>
        <v/>
      </c>
      <c r="AA104" s="44">
        <f>(J104-R104)/Y104</f>
        <v/>
      </c>
      <c r="AB104" s="44">
        <f>(J104-S104)/Y104</f>
        <v/>
      </c>
      <c r="AC104" s="38">
        <f>IF(ABS(AA104)&lt;=ABS(AB104),"9EMA","21EMA")</f>
        <v/>
      </c>
      <c r="AD104" s="38" t="inlineStr">
        <is>
          <t>9+21EMA</t>
        </is>
      </c>
      <c r="AE104" s="38" t="inlineStr">
        <is>
          <t>持續在上方</t>
        </is>
      </c>
      <c r="AF104" s="38" t="inlineStr"/>
      <c r="AG104" s="38" t="inlineStr">
        <is>
          <t>✓</t>
        </is>
      </c>
      <c r="AH104" s="38" t="inlineStr"/>
      <c r="AI104" s="38" t="inlineStr">
        <is>
          <t>2026-07-17</t>
        </is>
      </c>
      <c r="AJ104" s="38" t="n">
        <v>54</v>
      </c>
      <c r="AK104" s="47" t="n">
        <v>2</v>
      </c>
      <c r="AL104" s="38" t="inlineStr">
        <is>
          <t>2026-09-28</t>
        </is>
      </c>
      <c r="AM104" s="41" t="n">
        <v>534.05</v>
      </c>
      <c r="AN104" s="41" t="n">
        <v>529.01</v>
      </c>
      <c r="AO104" s="42">
        <f>IF(ISNUMBER(AN104),AM104/AN104-1,"")</f>
        <v/>
      </c>
      <c r="AP104" s="47" t="n">
        <v>4</v>
      </c>
      <c r="AQ104" s="42">
        <f>IF(ISNUMBER(AM104),J104/AM104-1,"")</f>
        <v/>
      </c>
      <c r="AR104" s="41" t="n">
        <v>557.86</v>
      </c>
      <c r="AS104" s="42">
        <f>J104/AR104-1</f>
        <v/>
      </c>
      <c r="AT104" s="48" t="n">
        <v>3.2211</v>
      </c>
      <c r="AU104" s="48" t="n">
        <v>4.9564</v>
      </c>
      <c r="AV104" s="48" t="n">
        <v>5.3903</v>
      </c>
      <c r="AW104" s="49">
        <f>AU104-AV104</f>
        <v/>
      </c>
      <c r="AX104" s="48" t="n">
        <v>-1.7353</v>
      </c>
      <c r="AY104" s="48" t="n">
        <v>-1.7829</v>
      </c>
      <c r="AZ104" s="48" t="n">
        <v>-1.1812</v>
      </c>
      <c r="BA104" s="38" t="inlineStr">
        <is>
          <t>淺紅</t>
        </is>
      </c>
      <c r="BB104" s="38" t="inlineStr">
        <is>
          <t>深紅→淺紅</t>
        </is>
      </c>
      <c r="BC104" s="38" t="n">
        <v>0</v>
      </c>
      <c r="BD104" s="38" t="inlineStr">
        <is>
          <t>深紅 淺紅 深紅 淺紅 深紅 深紅 深紅 淺紅</t>
        </is>
      </c>
      <c r="BE104" s="38" t="inlineStr">
        <is>
          <t>上升三角（平頂）</t>
        </is>
      </c>
      <c r="BF104" s="50" t="n">
        <v>-0.0759</v>
      </c>
      <c r="BG104" s="50" t="n">
        <v>0.271</v>
      </c>
      <c r="BH104" s="50" t="n">
        <v>0.6035</v>
      </c>
      <c r="BI104" s="50" t="n">
        <v>0.5365</v>
      </c>
      <c r="BJ104" s="47" t="n">
        <v>6</v>
      </c>
      <c r="BK104" s="41" t="n">
        <v>568.4400000000001</v>
      </c>
      <c r="BL104" s="41" t="n">
        <v>503.05</v>
      </c>
      <c r="BM104" s="41" t="n">
        <v>542.5134</v>
      </c>
      <c r="BN104" s="50" t="n">
        <v>0.9906</v>
      </c>
      <c r="BO104" s="44">
        <f>IF(M104=N104,0.5,(J104-N104)/(M104-N104))</f>
        <v/>
      </c>
      <c r="BP104" s="51" t="n">
        <v>3.582</v>
      </c>
      <c r="BQ104" s="51" t="n">
        <v>-1.459</v>
      </c>
      <c r="BR104" s="52">
        <f>100*(0.4*MIN(1,MAX(0,((U104*100)-(0.0))/((2.5)-(0.0))))+0.3*MIN(1,MAX(0,((V104)-(0.6))/((1.0)-(0.6))))+0.3*MIN(1,MAX(0,((BP104)-(0.0))/((15.0)-(0.0)))))</f>
        <v/>
      </c>
      <c r="BS104" s="52">
        <f>100*(0.4*MIN(1,MAX(0,((MIN(ABS(AA104),ABS(AB104)))-(0.75))/((0.0)-(0.75))))+0.3*MIN(1,MAX(0,((BN104)-(1.2))/((0.6)-(1.2))))+0.3*BO104)</f>
        <v/>
      </c>
      <c r="BT104" s="52">
        <f>100*(0.5*MIN(1,MAX(0,((AK104)-(1.0))/((4.0)-(1.0))))+0.3*MIN(1,MAX(0,((IF(ISNUMBER(AO104),AO104,0)*100)-(0.0))/((8.0)-(0.0))))+0.2*MIN(1,MAX(0,((IF(ISNUMBER(AP104),AP104,0))-(25.0))/((5.0)-(25.0)))))</f>
        <v/>
      </c>
      <c r="BU104" s="52">
        <f>100*(0.35*MIN(1,MAX(0,((ABS(BF104))-(0.3))/((0.05)-(0.3))))+0.3*MIN(1,MAX(0,((BG104)-(0.0))/((0.3)-(0.0))))+0.25*MIN(1,MAX(0,((BH104)-(0.4))/((0.7)-(0.4))))+0.1*IF(BJ104&gt;=2,1,0.5))</f>
        <v/>
      </c>
      <c r="BV104" s="53">
        <f>0.25*BR104+0.25*BS104+0.2*BT104+0.3*BU104</f>
        <v/>
      </c>
      <c r="BW104" s="38" t="inlineStr">
        <is>
          <t>C5 MACD慢線向上</t>
        </is>
      </c>
      <c r="BX104" s="38" t="inlineStr"/>
    </row>
    <row r="105">
      <c r="A105" s="38" t="n">
        <v>3</v>
      </c>
      <c r="B105" s="38" t="n">
        <v>43</v>
      </c>
      <c r="C105" s="39" t="inlineStr">
        <is>
          <t>DJCO</t>
        </is>
      </c>
      <c r="D105" s="38" t="inlineStr">
        <is>
          <t>Daily Journal Corp. (S.C.)</t>
        </is>
      </c>
      <c r="E105" s="38" t="inlineStr">
        <is>
          <t>NASDAQ</t>
        </is>
      </c>
      <c r="F105" s="38" t="inlineStr">
        <is>
          <t>非必需消費</t>
        </is>
      </c>
      <c r="G105" s="38" t="inlineStr">
        <is>
          <t>Newspapers/Magazines</t>
        </is>
      </c>
      <c r="H105" s="40" t="n">
        <v>0.89</v>
      </c>
      <c r="I105" s="38" t="inlineStr">
        <is>
          <t>小型</t>
        </is>
      </c>
      <c r="J105" s="41" t="n">
        <v>656.4400000000001</v>
      </c>
      <c r="K105" s="41" t="n">
        <v>653.04</v>
      </c>
      <c r="L105" s="42">
        <f>J105/K105-1</f>
        <v/>
      </c>
      <c r="M105" s="41" t="n">
        <v>666.51</v>
      </c>
      <c r="N105" s="41" t="n">
        <v>652.3200000000001</v>
      </c>
      <c r="O105" s="43" t="n">
        <v>32100</v>
      </c>
      <c r="P105" s="43" t="n">
        <v>62995</v>
      </c>
      <c r="Q105" s="44">
        <f>O105/P105</f>
        <v/>
      </c>
      <c r="R105" s="41" t="n">
        <v>655.4530999999999</v>
      </c>
      <c r="S105" s="41" t="n">
        <v>649.7562</v>
      </c>
      <c r="T105" s="41" t="n">
        <v>647.0019</v>
      </c>
      <c r="U105" s="42">
        <f>S105/T105-1</f>
        <v/>
      </c>
      <c r="V105" s="45" t="n">
        <v>0.9</v>
      </c>
      <c r="W105" s="42">
        <f>J105/R105-1</f>
        <v/>
      </c>
      <c r="X105" s="42">
        <f>J105/S105-1</f>
        <v/>
      </c>
      <c r="Y105" s="41" t="n">
        <v>23.3984</v>
      </c>
      <c r="Z105" s="46">
        <f>Y105/J105</f>
        <v/>
      </c>
      <c r="AA105" s="44">
        <f>(J105-R105)/Y105</f>
        <v/>
      </c>
      <c r="AB105" s="44">
        <f>(J105-S105)/Y105</f>
        <v/>
      </c>
      <c r="AC105" s="38">
        <f>IF(ABS(AA105)&lt;=ABS(AB105),"9EMA","21EMA")</f>
        <v/>
      </c>
      <c r="AD105" s="38" t="inlineStr">
        <is>
          <t>9+21EMA</t>
        </is>
      </c>
      <c r="AE105" s="38" t="inlineStr">
        <is>
          <t>持續在上方</t>
        </is>
      </c>
      <c r="AF105" s="38" t="inlineStr"/>
      <c r="AG105" s="38" t="inlineStr"/>
      <c r="AH105" s="38" t="inlineStr">
        <is>
          <t>✓</t>
        </is>
      </c>
      <c r="AI105" s="38" t="inlineStr">
        <is>
          <t>2026-08-14</t>
        </is>
      </c>
      <c r="AJ105" s="38" t="n">
        <v>34</v>
      </c>
      <c r="AK105" s="47" t="n">
        <v>3</v>
      </c>
      <c r="AL105" s="38" t="inlineStr">
        <is>
          <t>2026-09-22</t>
        </is>
      </c>
      <c r="AM105" s="41" t="n">
        <v>640.05</v>
      </c>
      <c r="AN105" s="41" t="n">
        <v>594.83</v>
      </c>
      <c r="AO105" s="42">
        <f>IF(ISNUMBER(AN105),AM105/AN105-1,"")</f>
        <v/>
      </c>
      <c r="AP105" s="47" t="n">
        <v>8</v>
      </c>
      <c r="AQ105" s="42">
        <f>IF(ISNUMBER(AM105),J105/AM105-1,"")</f>
        <v/>
      </c>
      <c r="AR105" s="41" t="n">
        <v>687.66</v>
      </c>
      <c r="AS105" s="42">
        <f>J105/AR105-1</f>
        <v/>
      </c>
      <c r="AT105" s="48" t="n">
        <v>9.2399</v>
      </c>
      <c r="AU105" s="48" t="n">
        <v>12.6241</v>
      </c>
      <c r="AV105" s="48" t="n">
        <v>13.4702</v>
      </c>
      <c r="AW105" s="49">
        <f>AU105-AV105</f>
        <v/>
      </c>
      <c r="AX105" s="48" t="n">
        <v>-3.3842</v>
      </c>
      <c r="AY105" s="48" t="n">
        <v>-3.6363</v>
      </c>
      <c r="AZ105" s="48" t="n">
        <v>-3.584</v>
      </c>
      <c r="BA105" s="38" t="inlineStr">
        <is>
          <t>淺紅</t>
        </is>
      </c>
      <c r="BB105" s="38" t="inlineStr">
        <is>
          <t>深紅→淺紅</t>
        </is>
      </c>
      <c r="BC105" s="38" t="n">
        <v>0</v>
      </c>
      <c r="BD105" s="38" t="inlineStr">
        <is>
          <t>深紅 深紅 深紅 深紅 深紅 深紅 深紅 淺紅</t>
        </is>
      </c>
      <c r="BE105" s="38" t="inlineStr">
        <is>
          <t>上傾收窄（楔形）</t>
        </is>
      </c>
      <c r="BF105" s="50" t="n">
        <v>0.2458</v>
      </c>
      <c r="BG105" s="50" t="n">
        <v>0.5299</v>
      </c>
      <c r="BH105" s="50" t="n">
        <v>0.5639</v>
      </c>
      <c r="BI105" s="50" t="n">
        <v>0.4786</v>
      </c>
      <c r="BJ105" s="47" t="n">
        <v>2</v>
      </c>
      <c r="BK105" s="41" t="n">
        <v>692.5</v>
      </c>
      <c r="BL105" s="41" t="n">
        <v>594.83</v>
      </c>
      <c r="BM105" s="41" t="n">
        <v>649.9021</v>
      </c>
      <c r="BN105" s="50" t="n">
        <v>1.3359</v>
      </c>
      <c r="BO105" s="44">
        <f>IF(M105=N105,0.5,(J105-N105)/(M105-N105))</f>
        <v/>
      </c>
      <c r="BP105" s="51" t="n">
        <v>11.34</v>
      </c>
      <c r="BQ105" s="51" t="n">
        <v>6.299</v>
      </c>
      <c r="BR105" s="52">
        <f>100*(0.4*MIN(1,MAX(0,((U105*100)-(0.0))/((2.5)-(0.0))))+0.3*MIN(1,MAX(0,((V105)-(0.6))/((1.0)-(0.6))))+0.3*MIN(1,MAX(0,((BP105)-(0.0))/((15.0)-(0.0)))))</f>
        <v/>
      </c>
      <c r="BS105" s="52">
        <f>100*(0.4*MIN(1,MAX(0,((MIN(ABS(AA105),ABS(AB105)))-(0.75))/((0.0)-(0.75))))+0.3*MIN(1,MAX(0,((BN105)-(1.2))/((0.6)-(1.2))))+0.3*BO105)</f>
        <v/>
      </c>
      <c r="BT105" s="52">
        <f>100*(0.5*MIN(1,MAX(0,((AK105)-(1.0))/((4.0)-(1.0))))+0.3*MIN(1,MAX(0,((IF(ISNUMBER(AO105),AO105,0)*100)-(0.0))/((8.0)-(0.0))))+0.2*MIN(1,MAX(0,((IF(ISNUMBER(AP105),AP105,0))-(25.0))/((5.0)-(25.0)))))</f>
        <v/>
      </c>
      <c r="BU105" s="52">
        <f>100*(0.35*MIN(1,MAX(0,((ABS(BF105))-(0.3))/((0.05)-(0.3))))+0.3*MIN(1,MAX(0,((BG105)-(0.0))/((0.3)-(0.0))))+0.25*MIN(1,MAX(0,((BH105)-(0.4))/((0.7)-(0.4))))+0.1*IF(BJ105&gt;=2,1,0.5))</f>
        <v/>
      </c>
      <c r="BV105" s="53">
        <f>0.25*BR105+0.25*BS105+0.2*BT105+0.3*BU105</f>
        <v/>
      </c>
      <c r="BW105" s="38" t="inlineStr">
        <is>
          <t>C5 MACD慢線向上</t>
        </is>
      </c>
      <c r="BX105" s="38" t="inlineStr"/>
    </row>
    <row r="106">
      <c r="A106" s="38" t="n">
        <v>3</v>
      </c>
      <c r="B106" s="38" t="n">
        <v>44</v>
      </c>
      <c r="C106" s="39" t="inlineStr">
        <is>
          <t>CVI</t>
        </is>
      </c>
      <c r="D106" s="38" t="inlineStr">
        <is>
          <t>CVR Energy Inc.</t>
        </is>
      </c>
      <c r="E106" s="38" t="inlineStr">
        <is>
          <t>NYSE</t>
        </is>
      </c>
      <c r="F106" s="38" t="inlineStr">
        <is>
          <t>能源</t>
        </is>
      </c>
      <c r="G106" s="38" t="inlineStr">
        <is>
          <t>Integrated oil Companies</t>
        </is>
      </c>
      <c r="H106" s="40" t="n">
        <v>5.126</v>
      </c>
      <c r="I106" s="38" t="inlineStr">
        <is>
          <t>中型</t>
        </is>
      </c>
      <c r="J106" s="41" t="n">
        <v>54.83</v>
      </c>
      <c r="K106" s="41" t="n">
        <v>54.36</v>
      </c>
      <c r="L106" s="42">
        <f>J106/K106-1</f>
        <v/>
      </c>
      <c r="M106" s="41" t="n">
        <v>56.24</v>
      </c>
      <c r="N106" s="41" t="n">
        <v>52.84</v>
      </c>
      <c r="O106" s="43" t="n">
        <v>784900</v>
      </c>
      <c r="P106" s="43" t="n">
        <v>1195925</v>
      </c>
      <c r="Q106" s="44">
        <f>O106/P106</f>
        <v/>
      </c>
      <c r="R106" s="41" t="n">
        <v>52.3619</v>
      </c>
      <c r="S106" s="41" t="n">
        <v>49.8754</v>
      </c>
      <c r="T106" s="41" t="n">
        <v>48.2543</v>
      </c>
      <c r="U106" s="42">
        <f>S106/T106-1</f>
        <v/>
      </c>
      <c r="V106" s="45" t="n">
        <v>1</v>
      </c>
      <c r="W106" s="42">
        <f>J106/R106-1</f>
        <v/>
      </c>
      <c r="X106" s="42">
        <f>J106/S106-1</f>
        <v/>
      </c>
      <c r="Y106" s="41" t="n">
        <v>2.6748</v>
      </c>
      <c r="Z106" s="46">
        <f>Y106/J106</f>
        <v/>
      </c>
      <c r="AA106" s="44">
        <f>(J106-R106)/Y106</f>
        <v/>
      </c>
      <c r="AB106" s="44">
        <f>(J106-S106)/Y106</f>
        <v/>
      </c>
      <c r="AC106" s="38">
        <f>IF(ABS(AA106)&lt;=ABS(AB106),"9EMA","21EMA")</f>
        <v/>
      </c>
      <c r="AD106" s="38" t="inlineStr">
        <is>
          <t>9EMA</t>
        </is>
      </c>
      <c r="AE106" s="38" t="inlineStr">
        <is>
          <t>持續在上方</t>
        </is>
      </c>
      <c r="AF106" s="38" t="inlineStr"/>
      <c r="AG106" s="38" t="inlineStr"/>
      <c r="AH106" s="38" t="inlineStr"/>
      <c r="AI106" s="38" t="inlineStr">
        <is>
          <t>2026-08-11</t>
        </is>
      </c>
      <c r="AJ106" s="38" t="n">
        <v>37</v>
      </c>
      <c r="AK106" s="47" t="n">
        <v>2</v>
      </c>
      <c r="AL106" s="38" t="inlineStr">
        <is>
          <t>2026-09-25</t>
        </is>
      </c>
      <c r="AM106" s="41" t="n">
        <v>49.76</v>
      </c>
      <c r="AN106" s="41" t="n">
        <v>29.8</v>
      </c>
      <c r="AO106" s="42">
        <f>IF(ISNUMBER(AN106),AM106/AN106-1,"")</f>
        <v/>
      </c>
      <c r="AP106" s="47" t="n">
        <v>5</v>
      </c>
      <c r="AQ106" s="42">
        <f>IF(ISNUMBER(AM106),J106/AM106-1,"")</f>
        <v/>
      </c>
      <c r="AR106" s="41" t="n">
        <v>54.83</v>
      </c>
      <c r="AS106" s="42">
        <f>J106/AR106-1</f>
        <v/>
      </c>
      <c r="AT106" s="48" t="n">
        <v>3.0862</v>
      </c>
      <c r="AU106" s="48" t="n">
        <v>3.3762</v>
      </c>
      <c r="AV106" s="48" t="n">
        <v>3.4487</v>
      </c>
      <c r="AW106" s="49">
        <f>AU106-AV106</f>
        <v/>
      </c>
      <c r="AX106" s="48" t="n">
        <v>-0.29</v>
      </c>
      <c r="AY106" s="48" t="n">
        <v>-0.4209</v>
      </c>
      <c r="AZ106" s="48" t="n">
        <v>-0.5967</v>
      </c>
      <c r="BA106" s="38" t="inlineStr">
        <is>
          <t>淺紅</t>
        </is>
      </c>
      <c r="BB106" s="38" t="inlineStr">
        <is>
          <t>深紅→淺紅</t>
        </is>
      </c>
      <c r="BC106" s="38" t="n">
        <v>1</v>
      </c>
      <c r="BD106" s="38" t="inlineStr">
        <is>
          <t>淺綠 深紅 深紅 深紅 深紅 深紅 淺紅 淺紅</t>
        </is>
      </c>
      <c r="BE106" s="38" t="inlineStr">
        <is>
          <t>上升通道</t>
        </is>
      </c>
      <c r="BF106" s="50" t="n">
        <v>0.9643</v>
      </c>
      <c r="BG106" s="50" t="n">
        <v>0.9122</v>
      </c>
      <c r="BH106" s="50" t="n">
        <v>0.5729</v>
      </c>
      <c r="BI106" s="50" t="n">
        <v>0.5723</v>
      </c>
      <c r="BJ106" s="47" t="n">
        <v>1</v>
      </c>
      <c r="BK106" s="41" t="n">
        <v>56.24</v>
      </c>
      <c r="BL106" s="41" t="n">
        <v>39.85</v>
      </c>
      <c r="BM106" s="41" t="n">
        <v>49.2406</v>
      </c>
      <c r="BN106" s="50" t="n">
        <v>1.1207</v>
      </c>
      <c r="BO106" s="44">
        <f>IF(M106=N106,0.5,(J106-N106)/(M106-N106))</f>
        <v/>
      </c>
      <c r="BP106" s="51" t="n">
        <v>32.79</v>
      </c>
      <c r="BQ106" s="51" t="n">
        <v>27.749</v>
      </c>
      <c r="BR106" s="52">
        <f>100*(0.4*MIN(1,MAX(0,((U106*100)-(0.0))/((2.5)-(0.0))))+0.3*MIN(1,MAX(0,((V106)-(0.6))/((1.0)-(0.6))))+0.3*MIN(1,MAX(0,((BP106)-(0.0))/((15.0)-(0.0)))))</f>
        <v/>
      </c>
      <c r="BS106" s="52">
        <f>100*(0.4*MIN(1,MAX(0,((MIN(ABS(AA106),ABS(AB106)))-(0.75))/((0.0)-(0.75))))+0.3*MIN(1,MAX(0,((BN106)-(1.2))/((0.6)-(1.2))))+0.3*BO106)</f>
        <v/>
      </c>
      <c r="BT106" s="52">
        <f>100*(0.5*MIN(1,MAX(0,((AK106)-(1.0))/((4.0)-(1.0))))+0.3*MIN(1,MAX(0,((IF(ISNUMBER(AO106),AO106,0)*100)-(0.0))/((8.0)-(0.0))))+0.2*MIN(1,MAX(0,((IF(ISNUMBER(AP106),AP106,0))-(25.0))/((5.0)-(25.0)))))</f>
        <v/>
      </c>
      <c r="BU106" s="52">
        <f>100*(0.35*MIN(1,MAX(0,((ABS(BF106))-(0.3))/((0.05)-(0.3))))+0.3*MIN(1,MAX(0,((BG106)-(0.0))/((0.3)-(0.0))))+0.25*MIN(1,MAX(0,((BH106)-(0.4))/((0.7)-(0.4))))+0.1*IF(BJ106&gt;=2,1,0.5))</f>
        <v/>
      </c>
      <c r="BV106" s="53">
        <f>0.25*BR106+0.25*BS106+0.2*BT106+0.3*BU106</f>
        <v/>
      </c>
      <c r="BW106" s="38" t="inlineStr">
        <is>
          <t>C5 MACD慢線向上</t>
        </is>
      </c>
      <c r="BX106" s="38" t="inlineStr"/>
    </row>
    <row r="107">
      <c r="A107" s="38" t="n">
        <v>3</v>
      </c>
      <c r="B107" s="38" t="n">
        <v>45</v>
      </c>
      <c r="C107" s="39" t="inlineStr">
        <is>
          <t>M</t>
        </is>
      </c>
      <c r="D107" s="38" t="inlineStr">
        <is>
          <t>Macy's Inc</t>
        </is>
      </c>
      <c r="E107" s="38" t="inlineStr">
        <is>
          <t>NYSE</t>
        </is>
      </c>
      <c r="F107" s="38" t="inlineStr">
        <is>
          <t>非必需消費</t>
        </is>
      </c>
      <c r="G107" s="38" t="inlineStr">
        <is>
          <t>Department/Specialty Retail Stores</t>
        </is>
      </c>
      <c r="H107" s="40" t="n">
        <v>5.947</v>
      </c>
      <c r="I107" s="38" t="inlineStr">
        <is>
          <t>中型</t>
        </is>
      </c>
      <c r="J107" s="41" t="n">
        <v>22.73</v>
      </c>
      <c r="K107" s="41" t="n">
        <v>22.76</v>
      </c>
      <c r="L107" s="42">
        <f>J107/K107-1</f>
        <v/>
      </c>
      <c r="M107" s="41" t="n">
        <v>23.05</v>
      </c>
      <c r="N107" s="41" t="n">
        <v>22.61</v>
      </c>
      <c r="O107" s="43" t="n">
        <v>4601400</v>
      </c>
      <c r="P107" s="43" t="n">
        <v>7026600</v>
      </c>
      <c r="Q107" s="44">
        <f>O107/P107</f>
        <v/>
      </c>
      <c r="R107" s="41" t="n">
        <v>22.6745</v>
      </c>
      <c r="S107" s="41" t="n">
        <v>22.5742</v>
      </c>
      <c r="T107" s="41" t="n">
        <v>22.3828</v>
      </c>
      <c r="U107" s="42">
        <f>S107/T107-1</f>
        <v/>
      </c>
      <c r="V107" s="45" t="n">
        <v>0.7</v>
      </c>
      <c r="W107" s="42">
        <f>J107/R107-1</f>
        <v/>
      </c>
      <c r="X107" s="42">
        <f>J107/S107-1</f>
        <v/>
      </c>
      <c r="Y107" s="41" t="n">
        <v>0.795</v>
      </c>
      <c r="Z107" s="46">
        <f>Y107/J107</f>
        <v/>
      </c>
      <c r="AA107" s="44">
        <f>(J107-R107)/Y107</f>
        <v/>
      </c>
      <c r="AB107" s="44">
        <f>(J107-S107)/Y107</f>
        <v/>
      </c>
      <c r="AC107" s="38">
        <f>IF(ABS(AA107)&lt;=ABS(AB107),"9EMA","21EMA")</f>
        <v/>
      </c>
      <c r="AD107" s="38" t="inlineStr">
        <is>
          <t>9+21EMA</t>
        </is>
      </c>
      <c r="AE107" s="21" t="inlineStr">
        <is>
          <t>剛黃金交叉</t>
        </is>
      </c>
      <c r="AF107" s="38" t="inlineStr">
        <is>
          <t>✓</t>
        </is>
      </c>
      <c r="AG107" s="38" t="inlineStr"/>
      <c r="AH107" s="38" t="inlineStr">
        <is>
          <t>✓</t>
        </is>
      </c>
      <c r="AI107" s="38" t="inlineStr">
        <is>
          <t>2026-09-29</t>
        </is>
      </c>
      <c r="AJ107" s="38" t="n">
        <v>3</v>
      </c>
      <c r="AK107" s="47" t="n">
        <v>3</v>
      </c>
      <c r="AL107" s="38" t="inlineStr">
        <is>
          <t>2026-09-28</t>
        </is>
      </c>
      <c r="AM107" s="41" t="n">
        <v>22.13</v>
      </c>
      <c r="AN107" s="41" t="n">
        <v>21.54</v>
      </c>
      <c r="AO107" s="42">
        <f>IF(ISNUMBER(AN107),AM107/AN107-1,"")</f>
        <v/>
      </c>
      <c r="AP107" s="47" t="n">
        <v>4</v>
      </c>
      <c r="AQ107" s="42">
        <f>IF(ISNUMBER(AM107),J107/AM107-1,"")</f>
        <v/>
      </c>
      <c r="AR107" s="41" t="n">
        <v>23.27</v>
      </c>
      <c r="AS107" s="42">
        <f>J107/AR107-1</f>
        <v/>
      </c>
      <c r="AT107" s="48" t="n">
        <v>0.0028</v>
      </c>
      <c r="AU107" s="48" t="n">
        <v>-0.1319</v>
      </c>
      <c r="AV107" s="48" t="n">
        <v>-0.1656</v>
      </c>
      <c r="AW107" s="49">
        <f>AU107-AV107</f>
        <v/>
      </c>
      <c r="AX107" s="48" t="n">
        <v>0.1347</v>
      </c>
      <c r="AY107" s="48" t="n">
        <v>0.1566</v>
      </c>
      <c r="AZ107" s="48" t="n">
        <v>0.1779</v>
      </c>
      <c r="BA107" s="38" t="inlineStr">
        <is>
          <t>淺綠</t>
        </is>
      </c>
      <c r="BB107" s="38" t="inlineStr">
        <is>
          <t>—</t>
        </is>
      </c>
      <c r="BC107" s="38" t="inlineStr">
        <is>
          <t>—</t>
        </is>
      </c>
      <c r="BD107" s="38" t="inlineStr">
        <is>
          <t>淺綠 深綠 深綠 深綠 深綠 淺綠 淺綠 淺綠</t>
        </is>
      </c>
      <c r="BE107" s="38" t="inlineStr">
        <is>
          <t>上升三角（平頂）</t>
        </is>
      </c>
      <c r="BF107" s="50" t="n">
        <v>-0.0539</v>
      </c>
      <c r="BG107" s="50" t="n">
        <v>0.2027</v>
      </c>
      <c r="BH107" s="50" t="n">
        <v>0.6187</v>
      </c>
      <c r="BI107" s="50" t="n">
        <v>0.5986</v>
      </c>
      <c r="BJ107" s="47" t="n">
        <v>3</v>
      </c>
      <c r="BK107" s="41" t="n">
        <v>23.63</v>
      </c>
      <c r="BL107" s="41" t="n">
        <v>19.77</v>
      </c>
      <c r="BM107" s="41" t="n">
        <v>22.1581</v>
      </c>
      <c r="BN107" s="50" t="n">
        <v>1.1143</v>
      </c>
      <c r="BO107" s="44">
        <f>IF(M107=N107,0.5,(J107-N107)/(M107-N107))</f>
        <v/>
      </c>
      <c r="BP107" s="51" t="n">
        <v>6.424</v>
      </c>
      <c r="BQ107" s="51" t="n">
        <v>1.383</v>
      </c>
      <c r="BR107" s="52">
        <f>100*(0.4*MIN(1,MAX(0,((U107*100)-(0.0))/((2.5)-(0.0))))+0.3*MIN(1,MAX(0,((V107)-(0.6))/((1.0)-(0.6))))+0.3*MIN(1,MAX(0,((BP107)-(0.0))/((15.0)-(0.0)))))</f>
        <v/>
      </c>
      <c r="BS107" s="52">
        <f>100*(0.4*MIN(1,MAX(0,((MIN(ABS(AA107),ABS(AB107)))-(0.75))/((0.0)-(0.75))))+0.3*MIN(1,MAX(0,((BN107)-(1.2))/((0.6)-(1.2))))+0.3*BO107)</f>
        <v/>
      </c>
      <c r="BT107" s="52">
        <f>100*(0.5*MIN(1,MAX(0,((AK107)-(1.0))/((4.0)-(1.0))))+0.3*MIN(1,MAX(0,((IF(ISNUMBER(AO107),AO107,0)*100)-(0.0))/((8.0)-(0.0))))+0.2*MIN(1,MAX(0,((IF(ISNUMBER(AP107),AP107,0))-(25.0))/((5.0)-(25.0)))))</f>
        <v/>
      </c>
      <c r="BU107" s="52">
        <f>100*(0.35*MIN(1,MAX(0,((ABS(BF107))-(0.3))/((0.05)-(0.3))))+0.3*MIN(1,MAX(0,((BG107)-(0.0))/((0.3)-(0.0))))+0.25*MIN(1,MAX(0,((BH107)-(0.4))/((0.7)-(0.4))))+0.1*IF(BJ107&gt;=2,1,0.5))</f>
        <v/>
      </c>
      <c r="BV107" s="53">
        <f>0.25*BR107+0.25*BS107+0.2*BT107+0.3*BU107</f>
        <v/>
      </c>
      <c r="BW107" s="38" t="inlineStr">
        <is>
          <t>C6 MACD柱轉勢</t>
        </is>
      </c>
      <c r="BX107" s="38" t="inlineStr"/>
    </row>
    <row r="108">
      <c r="A108" s="38" t="n">
        <v>3</v>
      </c>
      <c r="B108" s="38" t="n">
        <v>46</v>
      </c>
      <c r="C108" s="39" t="inlineStr">
        <is>
          <t>WAT</t>
        </is>
      </c>
      <c r="D108" s="38" t="inlineStr">
        <is>
          <t>Waters Corporation</t>
        </is>
      </c>
      <c r="E108" s="38" t="inlineStr">
        <is>
          <t>NYSE</t>
        </is>
      </c>
      <c r="F108" s="38" t="inlineStr">
        <is>
          <t>工業</t>
        </is>
      </c>
      <c r="G108" s="38" t="inlineStr">
        <is>
          <t>Biotechnology: Laboratory Analytical Instruments</t>
        </is>
      </c>
      <c r="H108" s="40" t="n">
        <v>43.169</v>
      </c>
      <c r="I108" s="38" t="inlineStr">
        <is>
          <t>大型</t>
        </is>
      </c>
      <c r="J108" s="41" t="n">
        <v>425.21</v>
      </c>
      <c r="K108" s="41" t="n">
        <v>425.53</v>
      </c>
      <c r="L108" s="42">
        <f>J108/K108-1</f>
        <v/>
      </c>
      <c r="M108" s="41" t="n">
        <v>433.34</v>
      </c>
      <c r="N108" s="41" t="n">
        <v>423.44</v>
      </c>
      <c r="O108" s="43" t="n">
        <v>625600</v>
      </c>
      <c r="P108" s="43" t="n">
        <v>707640</v>
      </c>
      <c r="Q108" s="44">
        <f>O108/P108</f>
        <v/>
      </c>
      <c r="R108" s="41" t="n">
        <v>430.047</v>
      </c>
      <c r="S108" s="41" t="n">
        <v>423.9408</v>
      </c>
      <c r="T108" s="41" t="n">
        <v>417.6491</v>
      </c>
      <c r="U108" s="42">
        <f>S108/T108-1</f>
        <v/>
      </c>
      <c r="V108" s="45" t="n">
        <v>1</v>
      </c>
      <c r="W108" s="42">
        <f>J108/R108-1</f>
        <v/>
      </c>
      <c r="X108" s="42">
        <f>J108/S108-1</f>
        <v/>
      </c>
      <c r="Y108" s="41" t="n">
        <v>11.6444</v>
      </c>
      <c r="Z108" s="46">
        <f>Y108/J108</f>
        <v/>
      </c>
      <c r="AA108" s="44">
        <f>(J108-R108)/Y108</f>
        <v/>
      </c>
      <c r="AB108" s="44">
        <f>(J108-S108)/Y108</f>
        <v/>
      </c>
      <c r="AC108" s="38">
        <f>IF(ABS(AA108)&lt;=ABS(AB108),"9EMA","21EMA")</f>
        <v/>
      </c>
      <c r="AD108" s="38" t="inlineStr">
        <is>
          <t>9+21EMA</t>
        </is>
      </c>
      <c r="AE108" s="38" t="inlineStr">
        <is>
          <t>持續在上方</t>
        </is>
      </c>
      <c r="AF108" s="38" t="inlineStr"/>
      <c r="AG108" s="38" t="inlineStr">
        <is>
          <t>✓</t>
        </is>
      </c>
      <c r="AH108" s="38" t="inlineStr"/>
      <c r="AI108" s="38" t="inlineStr">
        <is>
          <t>2026-05-05</t>
        </is>
      </c>
      <c r="AJ108" s="38" t="n">
        <v>104</v>
      </c>
      <c r="AK108" s="47" t="n">
        <v>2</v>
      </c>
      <c r="AL108" s="38" t="inlineStr">
        <is>
          <t>2026-09-24</t>
        </is>
      </c>
      <c r="AM108" s="41" t="n">
        <v>418</v>
      </c>
      <c r="AN108" s="41" t="n">
        <v>392.95</v>
      </c>
      <c r="AO108" s="42">
        <f>IF(ISNUMBER(AN108),AM108/AN108-1,"")</f>
        <v/>
      </c>
      <c r="AP108" s="47" t="n">
        <v>6</v>
      </c>
      <c r="AQ108" s="42">
        <f>IF(ISNUMBER(AM108),J108/AM108-1,"")</f>
        <v/>
      </c>
      <c r="AR108" s="41" t="n">
        <v>443.26</v>
      </c>
      <c r="AS108" s="42">
        <f>J108/AR108-1</f>
        <v/>
      </c>
      <c r="AT108" s="48" t="n">
        <v>7.1353</v>
      </c>
      <c r="AU108" s="48" t="n">
        <v>7.3001</v>
      </c>
      <c r="AV108" s="48" t="n">
        <v>7.3413</v>
      </c>
      <c r="AW108" s="49">
        <f>AU108-AV108</f>
        <v/>
      </c>
      <c r="AX108" s="48" t="n">
        <v>-0.1648</v>
      </c>
      <c r="AY108" s="48" t="n">
        <v>0.7093</v>
      </c>
      <c r="AZ108" s="48" t="n">
        <v>1.9051</v>
      </c>
      <c r="BA108" s="38" t="inlineStr">
        <is>
          <t>深紅</t>
        </is>
      </c>
      <c r="BB108" s="38" t="inlineStr">
        <is>
          <t>—</t>
        </is>
      </c>
      <c r="BC108" s="38" t="inlineStr">
        <is>
          <t>—</t>
        </is>
      </c>
      <c r="BD108" s="38" t="inlineStr">
        <is>
          <t>淺綠 深綠 深綠 深綠 深綠 淺綠 淺綠 深紅</t>
        </is>
      </c>
      <c r="BE108" s="38" t="inlineStr">
        <is>
          <t>上傾收窄（楔形）</t>
        </is>
      </c>
      <c r="BF108" s="50" t="n">
        <v>0.3127</v>
      </c>
      <c r="BG108" s="50" t="n">
        <v>0.5891</v>
      </c>
      <c r="BH108" s="50" t="n">
        <v>0.5139</v>
      </c>
      <c r="BI108" s="50" t="n">
        <v>0.4736</v>
      </c>
      <c r="BJ108" s="47" t="n">
        <v>3</v>
      </c>
      <c r="BK108" s="41" t="n">
        <v>448.21</v>
      </c>
      <c r="BL108" s="41" t="n">
        <v>392.95</v>
      </c>
      <c r="BM108" s="41" t="n">
        <v>421.3496</v>
      </c>
      <c r="BN108" s="50" t="n">
        <v>0.9021</v>
      </c>
      <c r="BO108" s="44">
        <f>IF(M108=N108,0.5,(J108-N108)/(M108-N108))</f>
        <v/>
      </c>
      <c r="BP108" s="51" t="n">
        <v>8.196999999999999</v>
      </c>
      <c r="BQ108" s="51" t="n">
        <v>3.156</v>
      </c>
      <c r="BR108" s="52">
        <f>100*(0.4*MIN(1,MAX(0,((U108*100)-(0.0))/((2.5)-(0.0))))+0.3*MIN(1,MAX(0,((V108)-(0.6))/((1.0)-(0.6))))+0.3*MIN(1,MAX(0,((BP108)-(0.0))/((15.0)-(0.0)))))</f>
        <v/>
      </c>
      <c r="BS108" s="52">
        <f>100*(0.4*MIN(1,MAX(0,((MIN(ABS(AA108),ABS(AB108)))-(0.75))/((0.0)-(0.75))))+0.3*MIN(1,MAX(0,((BN108)-(1.2))/((0.6)-(1.2))))+0.3*BO108)</f>
        <v/>
      </c>
      <c r="BT108" s="52">
        <f>100*(0.5*MIN(1,MAX(0,((AK108)-(1.0))/((4.0)-(1.0))))+0.3*MIN(1,MAX(0,((IF(ISNUMBER(AO108),AO108,0)*100)-(0.0))/((8.0)-(0.0))))+0.2*MIN(1,MAX(0,((IF(ISNUMBER(AP108),AP108,0))-(25.0))/((5.0)-(25.0)))))</f>
        <v/>
      </c>
      <c r="BU108" s="52">
        <f>100*(0.35*MIN(1,MAX(0,((ABS(BF108))-(0.3))/((0.05)-(0.3))))+0.3*MIN(1,MAX(0,((BG108)-(0.0))/((0.3)-(0.0))))+0.25*MIN(1,MAX(0,((BH108)-(0.4))/((0.7)-(0.4))))+0.1*IF(BJ108&gt;=2,1,0.5))</f>
        <v/>
      </c>
      <c r="BV108" s="53">
        <f>0.25*BR108+0.25*BS108+0.2*BT108+0.3*BU108</f>
        <v/>
      </c>
      <c r="BW108" s="38" t="inlineStr">
        <is>
          <t>C5 MACD慢線向上、C6 MACD柱轉勢</t>
        </is>
      </c>
      <c r="BX108" s="38" t="inlineStr"/>
    </row>
    <row r="109">
      <c r="A109" s="38" t="n">
        <v>3</v>
      </c>
      <c r="B109" s="38" t="n">
        <v>47</v>
      </c>
      <c r="C109" s="39" t="inlineStr">
        <is>
          <t>DE</t>
        </is>
      </c>
      <c r="D109" s="38" t="inlineStr">
        <is>
          <t>Deere &amp; Company</t>
        </is>
      </c>
      <c r="E109" s="38" t="inlineStr">
        <is>
          <t>NYSE</t>
        </is>
      </c>
      <c r="F109" s="38" t="inlineStr">
        <is>
          <t>工業</t>
        </is>
      </c>
      <c r="G109" s="38" t="inlineStr">
        <is>
          <t>Industrial Machinery/Components</t>
        </is>
      </c>
      <c r="H109" s="40" t="n">
        <v>181.067</v>
      </c>
      <c r="I109" s="38" t="inlineStr">
        <is>
          <t>大型</t>
        </is>
      </c>
      <c r="J109" s="41" t="n">
        <v>687</v>
      </c>
      <c r="K109" s="41" t="n">
        <v>667.26</v>
      </c>
      <c r="L109" s="42">
        <f>J109/K109-1</f>
        <v/>
      </c>
      <c r="M109" s="41" t="n">
        <v>689.6900000000001</v>
      </c>
      <c r="N109" s="41" t="n">
        <v>668.61</v>
      </c>
      <c r="O109" s="43" t="n">
        <v>1071300</v>
      </c>
      <c r="P109" s="43" t="n">
        <v>1267255</v>
      </c>
      <c r="Q109" s="44">
        <f>O109/P109</f>
        <v/>
      </c>
      <c r="R109" s="41" t="n">
        <v>682.5823</v>
      </c>
      <c r="S109" s="41" t="n">
        <v>677.5547</v>
      </c>
      <c r="T109" s="41" t="n">
        <v>676.7411</v>
      </c>
      <c r="U109" s="42">
        <f>S109/T109-1</f>
        <v/>
      </c>
      <c r="V109" s="45" t="n">
        <v>0.8</v>
      </c>
      <c r="W109" s="42">
        <f>J109/R109-1</f>
        <v/>
      </c>
      <c r="X109" s="42">
        <f>J109/S109-1</f>
        <v/>
      </c>
      <c r="Y109" s="41" t="n">
        <v>17.7028</v>
      </c>
      <c r="Z109" s="46">
        <f>Y109/J109</f>
        <v/>
      </c>
      <c r="AA109" s="44">
        <f>(J109-R109)/Y109</f>
        <v/>
      </c>
      <c r="AB109" s="44">
        <f>(J109-S109)/Y109</f>
        <v/>
      </c>
      <c r="AC109" s="38">
        <f>IF(ABS(AA109)&lt;=ABS(AB109),"9EMA","21EMA")</f>
        <v/>
      </c>
      <c r="AD109" s="38" t="inlineStr">
        <is>
          <t>9+21EMA</t>
        </is>
      </c>
      <c r="AE109" s="38" t="inlineStr">
        <is>
          <t>持續在上方</t>
        </is>
      </c>
      <c r="AF109" s="38" t="inlineStr"/>
      <c r="AG109" s="38" t="inlineStr"/>
      <c r="AH109" s="38" t="inlineStr">
        <is>
          <t>✓</t>
        </is>
      </c>
      <c r="AI109" s="38" t="inlineStr">
        <is>
          <t>2026-08-21</t>
        </is>
      </c>
      <c r="AJ109" s="38" t="n">
        <v>29</v>
      </c>
      <c r="AK109" s="47" t="n">
        <v>3</v>
      </c>
      <c r="AL109" s="38" t="inlineStr">
        <is>
          <t>2026-09-16</t>
        </is>
      </c>
      <c r="AM109" s="41" t="n">
        <v>665.45</v>
      </c>
      <c r="AN109" s="41" t="n">
        <v>617.21</v>
      </c>
      <c r="AO109" s="42">
        <f>IF(ISNUMBER(AN109),AM109/AN109-1,"")</f>
        <v/>
      </c>
      <c r="AP109" s="47" t="n">
        <v>12</v>
      </c>
      <c r="AQ109" s="42">
        <f>IF(ISNUMBER(AM109),J109/AM109-1,"")</f>
        <v/>
      </c>
      <c r="AR109" s="41" t="n">
        <v>709.48</v>
      </c>
      <c r="AS109" s="42">
        <f>J109/AR109-1</f>
        <v/>
      </c>
      <c r="AT109" s="48" t="n">
        <v>8.9062</v>
      </c>
      <c r="AU109" s="48" t="n">
        <v>12.9073</v>
      </c>
      <c r="AV109" s="48" t="n">
        <v>13.9076</v>
      </c>
      <c r="AW109" s="49">
        <f>AU109-AV109</f>
        <v/>
      </c>
      <c r="AX109" s="48" t="n">
        <v>-4.0012</v>
      </c>
      <c r="AY109" s="48" t="n">
        <v>-4.7476</v>
      </c>
      <c r="AZ109" s="48" t="n">
        <v>-3.7338</v>
      </c>
      <c r="BA109" s="38" t="inlineStr">
        <is>
          <t>淺紅</t>
        </is>
      </c>
      <c r="BB109" s="38" t="inlineStr">
        <is>
          <t>深紅→淺紅</t>
        </is>
      </c>
      <c r="BC109" s="38" t="n">
        <v>0</v>
      </c>
      <c r="BD109" s="38" t="inlineStr">
        <is>
          <t>深綠 淺綠 深紅 深紅 深紅 深紅 深紅 淺紅</t>
        </is>
      </c>
      <c r="BE109" s="38" t="inlineStr">
        <is>
          <t>上傾收窄（楔形）</t>
        </is>
      </c>
      <c r="BF109" s="50" t="n">
        <v>0.2041</v>
      </c>
      <c r="BG109" s="50" t="n">
        <v>0.5852000000000001</v>
      </c>
      <c r="BH109" s="50" t="n">
        <v>0.6318</v>
      </c>
      <c r="BI109" s="50" t="n">
        <v>0.6644</v>
      </c>
      <c r="BJ109" s="47" t="n">
        <v>1</v>
      </c>
      <c r="BK109" s="41" t="n">
        <v>721.22</v>
      </c>
      <c r="BL109" s="41" t="n">
        <v>617.21</v>
      </c>
      <c r="BM109" s="41" t="n">
        <v>682.9188</v>
      </c>
      <c r="BN109" s="50" t="n">
        <v>0.9372</v>
      </c>
      <c r="BO109" s="44">
        <f>IF(M109=N109,0.5,(J109-N109)/(M109-N109))</f>
        <v/>
      </c>
      <c r="BP109" s="51" t="n">
        <v>3.413</v>
      </c>
      <c r="BQ109" s="51" t="n">
        <v>-1.628</v>
      </c>
      <c r="BR109" s="52">
        <f>100*(0.4*MIN(1,MAX(0,((U109*100)-(0.0))/((2.5)-(0.0))))+0.3*MIN(1,MAX(0,((V109)-(0.6))/((1.0)-(0.6))))+0.3*MIN(1,MAX(0,((BP109)-(0.0))/((15.0)-(0.0)))))</f>
        <v/>
      </c>
      <c r="BS109" s="52">
        <f>100*(0.4*MIN(1,MAX(0,((MIN(ABS(AA109),ABS(AB109)))-(0.75))/((0.0)-(0.75))))+0.3*MIN(1,MAX(0,((BN109)-(1.2))/((0.6)-(1.2))))+0.3*BO109)</f>
        <v/>
      </c>
      <c r="BT109" s="52">
        <f>100*(0.5*MIN(1,MAX(0,((AK109)-(1.0))/((4.0)-(1.0))))+0.3*MIN(1,MAX(0,((IF(ISNUMBER(AO109),AO109,0)*100)-(0.0))/((8.0)-(0.0))))+0.2*MIN(1,MAX(0,((IF(ISNUMBER(AP109),AP109,0))-(25.0))/((5.0)-(25.0)))))</f>
        <v/>
      </c>
      <c r="BU109" s="52">
        <f>100*(0.35*MIN(1,MAX(0,((ABS(BF109))-(0.3))/((0.05)-(0.3))))+0.3*MIN(1,MAX(0,((BG109)-(0.0))/((0.3)-(0.0))))+0.25*MIN(1,MAX(0,((BH109)-(0.4))/((0.7)-(0.4))))+0.1*IF(BJ109&gt;=2,1,0.5))</f>
        <v/>
      </c>
      <c r="BV109" s="53">
        <f>0.25*BR109+0.25*BS109+0.2*BT109+0.3*BU109</f>
        <v/>
      </c>
      <c r="BW109" s="38" t="inlineStr">
        <is>
          <t>C5 MACD慢線向上</t>
        </is>
      </c>
      <c r="BX109" s="38" t="inlineStr"/>
    </row>
    <row r="110">
      <c r="A110" s="38" t="n">
        <v>3</v>
      </c>
      <c r="B110" s="38" t="n">
        <v>48</v>
      </c>
      <c r="C110" s="39" t="inlineStr">
        <is>
          <t>ATII</t>
        </is>
      </c>
      <c r="D110" s="38" t="inlineStr">
        <is>
          <t>Archimedes Tech SPAC Partners II Co.</t>
        </is>
      </c>
      <c r="E110" s="38" t="inlineStr">
        <is>
          <t>NASDAQ</t>
        </is>
      </c>
      <c r="F110" s="38" t="inlineStr">
        <is>
          <t>—</t>
        </is>
      </c>
      <c r="G110" s="38" t="inlineStr">
        <is>
          <t>—</t>
        </is>
      </c>
      <c r="H110" s="40" t="n"/>
      <c r="I110" s="38" t="inlineStr">
        <is>
          <t>未分類</t>
        </is>
      </c>
      <c r="J110" s="41" t="n">
        <v>10.68</v>
      </c>
      <c r="K110" s="41" t="n">
        <v>10.69</v>
      </c>
      <c r="L110" s="42">
        <f>J110/K110-1</f>
        <v/>
      </c>
      <c r="M110" s="41" t="n">
        <v>10.7</v>
      </c>
      <c r="N110" s="41" t="n">
        <v>10.68</v>
      </c>
      <c r="O110" s="43" t="n">
        <v>57400</v>
      </c>
      <c r="P110" s="43" t="n">
        <v>389255</v>
      </c>
      <c r="Q110" s="44">
        <f>O110/P110</f>
        <v/>
      </c>
      <c r="R110" s="41" t="n">
        <v>10.6827</v>
      </c>
      <c r="S110" s="41" t="n">
        <v>10.6765</v>
      </c>
      <c r="T110" s="41" t="n">
        <v>10.6715</v>
      </c>
      <c r="U110" s="42">
        <f>S110/T110-1</f>
        <v/>
      </c>
      <c r="V110" s="45" t="n">
        <v>1</v>
      </c>
      <c r="W110" s="42">
        <f>J110/R110-1</f>
        <v/>
      </c>
      <c r="X110" s="42">
        <f>J110/S110-1</f>
        <v/>
      </c>
      <c r="Y110" s="41" t="n">
        <v>0.0315</v>
      </c>
      <c r="Z110" s="46">
        <f>Y110/J110</f>
        <v/>
      </c>
      <c r="AA110" s="44">
        <f>(J110-R110)/Y110</f>
        <v/>
      </c>
      <c r="AB110" s="44">
        <f>(J110-S110)/Y110</f>
        <v/>
      </c>
      <c r="AC110" s="38">
        <f>IF(ABS(AA110)&lt;=ABS(AB110),"9EMA","21EMA")</f>
        <v/>
      </c>
      <c r="AD110" s="38" t="inlineStr">
        <is>
          <t>9+21EMA</t>
        </is>
      </c>
      <c r="AE110" s="38" t="inlineStr">
        <is>
          <t>持續在上方</t>
        </is>
      </c>
      <c r="AF110" s="38" t="inlineStr"/>
      <c r="AG110" s="38" t="inlineStr"/>
      <c r="AH110" s="38" t="inlineStr">
        <is>
          <t>✓</t>
        </is>
      </c>
      <c r="AI110" s="38" t="inlineStr">
        <is>
          <t>2026-09-21</t>
        </is>
      </c>
      <c r="AJ110" s="38" t="n">
        <v>9</v>
      </c>
      <c r="AK110" s="47" t="n">
        <v>5</v>
      </c>
      <c r="AL110" s="38" t="inlineStr">
        <is>
          <t>2026-09-28</t>
        </is>
      </c>
      <c r="AM110" s="41" t="n">
        <v>10.67</v>
      </c>
      <c r="AN110" s="41" t="n">
        <v>10.64</v>
      </c>
      <c r="AO110" s="42">
        <f>IF(ISNUMBER(AN110),AM110/AN110-1,"")</f>
        <v/>
      </c>
      <c r="AP110" s="47" t="n">
        <v>4</v>
      </c>
      <c r="AQ110" s="42">
        <f>IF(ISNUMBER(AM110),J110/AM110-1,"")</f>
        <v/>
      </c>
      <c r="AR110" s="41" t="n">
        <v>10.7</v>
      </c>
      <c r="AS110" s="42">
        <f>J110/AR110-1</f>
        <v/>
      </c>
      <c r="AT110" s="48" t="n">
        <v>0.0041</v>
      </c>
      <c r="AU110" s="48" t="n">
        <v>0.0018</v>
      </c>
      <c r="AV110" s="48" t="n">
        <v>0.0012</v>
      </c>
      <c r="AW110" s="49">
        <f>AU110-AV110</f>
        <v/>
      </c>
      <c r="AX110" s="48" t="n">
        <v>0.0023</v>
      </c>
      <c r="AY110" s="48" t="n">
        <v>0.0033</v>
      </c>
      <c r="AZ110" s="48" t="n">
        <v>0.0036</v>
      </c>
      <c r="BA110" s="38" t="inlineStr">
        <is>
          <t>淺綠</t>
        </is>
      </c>
      <c r="BB110" s="38" t="inlineStr">
        <is>
          <t>—</t>
        </is>
      </c>
      <c r="BC110" s="38" t="inlineStr">
        <is>
          <t>—</t>
        </is>
      </c>
      <c r="BD110" s="38" t="inlineStr">
        <is>
          <t>淺綠 淺綠 淺綠 淺綠 淺綠 淺綠 淺綠 淺綠</t>
        </is>
      </c>
      <c r="BE110" s="38" t="inlineStr">
        <is>
          <t>上升三角（平頂）</t>
        </is>
      </c>
      <c r="BF110" s="50" t="n">
        <v>0.0119</v>
      </c>
      <c r="BG110" s="50" t="n">
        <v>0.0181</v>
      </c>
      <c r="BH110" s="50" t="n">
        <v>0.5048</v>
      </c>
      <c r="BI110" s="50" t="n">
        <v>0.607</v>
      </c>
      <c r="BJ110" s="47" t="n">
        <v>25</v>
      </c>
      <c r="BK110" s="41" t="n">
        <v>10.72</v>
      </c>
      <c r="BL110" s="41" t="n">
        <v>10.632</v>
      </c>
      <c r="BM110" s="41" t="n">
        <v>10.6764</v>
      </c>
      <c r="BN110" s="50" t="n">
        <v>0.5251</v>
      </c>
      <c r="BO110" s="44">
        <f>IF(M110=N110,0.5,(J110-N110)/(M110-N110))</f>
        <v/>
      </c>
      <c r="BP110" s="51" t="n">
        <v>5.229</v>
      </c>
      <c r="BQ110" s="51" t="n">
        <v>0.188</v>
      </c>
      <c r="BR110" s="52">
        <f>100*(0.4*MIN(1,MAX(0,((U110*100)-(0.0))/((2.5)-(0.0))))+0.3*MIN(1,MAX(0,((V110)-(0.6))/((1.0)-(0.6))))+0.3*MIN(1,MAX(0,((BP110)-(0.0))/((15.0)-(0.0)))))</f>
        <v/>
      </c>
      <c r="BS110" s="52">
        <f>100*(0.4*MIN(1,MAX(0,((MIN(ABS(AA110),ABS(AB110)))-(0.75))/((0.0)-(0.75))))+0.3*MIN(1,MAX(0,((BN110)-(1.2))/((0.6)-(1.2))))+0.3*BO110)</f>
        <v/>
      </c>
      <c r="BT110" s="52">
        <f>100*(0.5*MIN(1,MAX(0,((AK110)-(1.0))/((4.0)-(1.0))))+0.3*MIN(1,MAX(0,((IF(ISNUMBER(AO110),AO110,0)*100)-(0.0))/((8.0)-(0.0))))+0.2*MIN(1,MAX(0,((IF(ISNUMBER(AP110),AP110,0))-(25.0))/((5.0)-(25.0)))))</f>
        <v/>
      </c>
      <c r="BU110" s="52">
        <f>100*(0.35*MIN(1,MAX(0,((ABS(BF110))-(0.3))/((0.05)-(0.3))))+0.3*MIN(1,MAX(0,((BG110)-(0.0))/((0.3)-(0.0))))+0.25*MIN(1,MAX(0,((BH110)-(0.4))/((0.7)-(0.4))))+0.1*IF(BJ110&gt;=2,1,0.5))</f>
        <v/>
      </c>
      <c r="BV110" s="53">
        <f>0.25*BR110+0.25*BS110+0.2*BT110+0.3*BU110</f>
        <v/>
      </c>
      <c r="BW110" s="38" t="inlineStr">
        <is>
          <t>C6 MACD柱轉勢</t>
        </is>
      </c>
      <c r="BX110" s="38" t="inlineStr"/>
    </row>
    <row r="111">
      <c r="A111" s="38" t="n">
        <v>3</v>
      </c>
      <c r="B111" s="38" t="n">
        <v>49</v>
      </c>
      <c r="C111" s="39" t="inlineStr">
        <is>
          <t>GNE</t>
        </is>
      </c>
      <c r="D111" s="38" t="inlineStr">
        <is>
          <t>Genie Energy Ltd. Class B</t>
        </is>
      </c>
      <c r="E111" s="38" t="inlineStr">
        <is>
          <t>NYSE</t>
        </is>
      </c>
      <c r="F111" s="38" t="inlineStr">
        <is>
          <t>公用事業</t>
        </is>
      </c>
      <c r="G111" s="38" t="inlineStr">
        <is>
          <t>Power Generation</t>
        </is>
      </c>
      <c r="H111" s="40" t="n">
        <v>0.421</v>
      </c>
      <c r="I111" s="38" t="inlineStr">
        <is>
          <t>小型</t>
        </is>
      </c>
      <c r="J111" s="41" t="n">
        <v>16.43</v>
      </c>
      <c r="K111" s="41" t="n">
        <v>16.42</v>
      </c>
      <c r="L111" s="42">
        <f>J111/K111-1</f>
        <v/>
      </c>
      <c r="M111" s="41" t="n">
        <v>16.83</v>
      </c>
      <c r="N111" s="41" t="n">
        <v>16.33</v>
      </c>
      <c r="O111" s="43" t="n">
        <v>68600</v>
      </c>
      <c r="P111" s="43" t="n">
        <v>79320</v>
      </c>
      <c r="Q111" s="44">
        <f>O111/P111</f>
        <v/>
      </c>
      <c r="R111" s="41" t="n">
        <v>16.1413</v>
      </c>
      <c r="S111" s="41" t="n">
        <v>15.8885</v>
      </c>
      <c r="T111" s="41" t="n">
        <v>15.6874</v>
      </c>
      <c r="U111" s="42">
        <f>S111/T111-1</f>
        <v/>
      </c>
      <c r="V111" s="45" t="n">
        <v>1</v>
      </c>
      <c r="W111" s="42">
        <f>J111/R111-1</f>
        <v/>
      </c>
      <c r="X111" s="42">
        <f>J111/S111-1</f>
        <v/>
      </c>
      <c r="Y111" s="41" t="n">
        <v>0.3851</v>
      </c>
      <c r="Z111" s="46">
        <f>Y111/J111</f>
        <v/>
      </c>
      <c r="AA111" s="44">
        <f>(J111-R111)/Y111</f>
        <v/>
      </c>
      <c r="AB111" s="44">
        <f>(J111-S111)/Y111</f>
        <v/>
      </c>
      <c r="AC111" s="38">
        <f>IF(ABS(AA111)&lt;=ABS(AB111),"9EMA","21EMA")</f>
        <v/>
      </c>
      <c r="AD111" s="38" t="inlineStr">
        <is>
          <t>9+21EMA</t>
        </is>
      </c>
      <c r="AE111" s="38" t="inlineStr">
        <is>
          <t>持續在上方</t>
        </is>
      </c>
      <c r="AF111" s="38" t="inlineStr"/>
      <c r="AG111" s="38" t="inlineStr"/>
      <c r="AH111" s="38" t="inlineStr">
        <is>
          <t>✓</t>
        </is>
      </c>
      <c r="AI111" s="38" t="inlineStr">
        <is>
          <t>2026-08-06</t>
        </is>
      </c>
      <c r="AJ111" s="38" t="n">
        <v>40</v>
      </c>
      <c r="AK111" s="47" t="n">
        <v>4</v>
      </c>
      <c r="AL111" s="38" t="inlineStr">
        <is>
          <t>2026-09-25</t>
        </is>
      </c>
      <c r="AM111" s="41" t="n">
        <v>15.72</v>
      </c>
      <c r="AN111" s="41" t="n">
        <v>14.58</v>
      </c>
      <c r="AO111" s="42">
        <f>IF(ISNUMBER(AN111),AM111/AN111-1,"")</f>
        <v/>
      </c>
      <c r="AP111" s="47" t="n">
        <v>5</v>
      </c>
      <c r="AQ111" s="42">
        <f>IF(ISNUMBER(AM111),J111/AM111-1,"")</f>
        <v/>
      </c>
      <c r="AR111" s="41" t="n">
        <v>16.43</v>
      </c>
      <c r="AS111" s="42">
        <f>J111/AR111-1</f>
        <v/>
      </c>
      <c r="AT111" s="48" t="n">
        <v>0.2962</v>
      </c>
      <c r="AU111" s="48" t="n">
        <v>0.3005</v>
      </c>
      <c r="AV111" s="48" t="n">
        <v>0.3016</v>
      </c>
      <c r="AW111" s="49">
        <f>AU111-AV111</f>
        <v/>
      </c>
      <c r="AX111" s="48" t="n">
        <v>-0.0043</v>
      </c>
      <c r="AY111" s="48" t="n">
        <v>-0.0173</v>
      </c>
      <c r="AZ111" s="48" t="n">
        <v>-0.0401</v>
      </c>
      <c r="BA111" s="38" t="inlineStr">
        <is>
          <t>淺紅</t>
        </is>
      </c>
      <c r="BB111" s="38" t="inlineStr">
        <is>
          <t>深紅→淺紅</t>
        </is>
      </c>
      <c r="BC111" s="38" t="n">
        <v>1</v>
      </c>
      <c r="BD111" s="38" t="inlineStr">
        <is>
          <t>深紅 深紅 深紅 深紅 淺紅 深紅 淺紅 淺紅</t>
        </is>
      </c>
      <c r="BE111" s="38" t="inlineStr">
        <is>
          <t>上升通道</t>
        </is>
      </c>
      <c r="BF111" s="50" t="n">
        <v>0.3253</v>
      </c>
      <c r="BG111" s="50" t="n">
        <v>0.3855</v>
      </c>
      <c r="BH111" s="50" t="n">
        <v>0.5554</v>
      </c>
      <c r="BI111" s="50" t="n">
        <v>0.6224</v>
      </c>
      <c r="BJ111" s="47" t="n">
        <v>1</v>
      </c>
      <c r="BK111" s="41" t="n">
        <v>16.83</v>
      </c>
      <c r="BL111" s="41" t="n">
        <v>14.58</v>
      </c>
      <c r="BM111" s="41" t="n">
        <v>15.8296</v>
      </c>
      <c r="BN111" s="50" t="n">
        <v>1.013</v>
      </c>
      <c r="BO111" s="44">
        <f>IF(M111=N111,0.5,(J111-N111)/(M111-N111))</f>
        <v/>
      </c>
      <c r="BP111" s="51" t="n">
        <v>12.708</v>
      </c>
      <c r="BQ111" s="51" t="n">
        <v>7.667</v>
      </c>
      <c r="BR111" s="52">
        <f>100*(0.4*MIN(1,MAX(0,((U111*100)-(0.0))/((2.5)-(0.0))))+0.3*MIN(1,MAX(0,((V111)-(0.6))/((1.0)-(0.6))))+0.3*MIN(1,MAX(0,((BP111)-(0.0))/((15.0)-(0.0)))))</f>
        <v/>
      </c>
      <c r="BS111" s="52">
        <f>100*(0.4*MIN(1,MAX(0,((MIN(ABS(AA111),ABS(AB111)))-(0.75))/((0.0)-(0.75))))+0.3*MIN(1,MAX(0,((BN111)-(1.2))/((0.6)-(1.2))))+0.3*BO111)</f>
        <v/>
      </c>
      <c r="BT111" s="52">
        <f>100*(0.5*MIN(1,MAX(0,((AK111)-(1.0))/((4.0)-(1.0))))+0.3*MIN(1,MAX(0,((IF(ISNUMBER(AO111),AO111,0)*100)-(0.0))/((8.0)-(0.0))))+0.2*MIN(1,MAX(0,((IF(ISNUMBER(AP111),AP111,0))-(25.0))/((5.0)-(25.0)))))</f>
        <v/>
      </c>
      <c r="BU111" s="52">
        <f>100*(0.35*MIN(1,MAX(0,((ABS(BF111))-(0.3))/((0.05)-(0.3))))+0.3*MIN(1,MAX(0,((BG111)-(0.0))/((0.3)-(0.0))))+0.25*MIN(1,MAX(0,((BH111)-(0.4))/((0.7)-(0.4))))+0.1*IF(BJ111&gt;=2,1,0.5))</f>
        <v/>
      </c>
      <c r="BV111" s="53">
        <f>0.25*BR111+0.25*BS111+0.2*BT111+0.3*BU111</f>
        <v/>
      </c>
      <c r="BW111" s="38" t="inlineStr">
        <is>
          <t>C5 MACD慢線向上</t>
        </is>
      </c>
      <c r="BX111" s="38" t="inlineStr"/>
    </row>
    <row r="112">
      <c r="A112" s="38" t="n">
        <v>3</v>
      </c>
      <c r="B112" s="38" t="n">
        <v>50</v>
      </c>
      <c r="C112" s="39" t="inlineStr">
        <is>
          <t>CRUS</t>
        </is>
      </c>
      <c r="D112" s="38" t="inlineStr">
        <is>
          <t>Cirrus Logic Inc.</t>
        </is>
      </c>
      <c r="E112" s="38" t="inlineStr">
        <is>
          <t>NASDAQ</t>
        </is>
      </c>
      <c r="F112" s="38" t="inlineStr">
        <is>
          <t>科技</t>
        </is>
      </c>
      <c r="G112" s="38" t="inlineStr">
        <is>
          <t>Semiconductors</t>
        </is>
      </c>
      <c r="H112" s="40" t="n">
        <v>6.013</v>
      </c>
      <c r="I112" s="38" t="inlineStr">
        <is>
          <t>中型</t>
        </is>
      </c>
      <c r="J112" s="41" t="n">
        <v>121.17</v>
      </c>
      <c r="K112" s="41" t="n">
        <v>120.17</v>
      </c>
      <c r="L112" s="42">
        <f>J112/K112-1</f>
        <v/>
      </c>
      <c r="M112" s="41" t="n">
        <v>123</v>
      </c>
      <c r="N112" s="41" t="n">
        <v>120.09</v>
      </c>
      <c r="O112" s="43" t="n">
        <v>531200</v>
      </c>
      <c r="P112" s="43" t="n">
        <v>855290</v>
      </c>
      <c r="Q112" s="44">
        <f>O112/P112</f>
        <v/>
      </c>
      <c r="R112" s="41" t="n">
        <v>119.9972</v>
      </c>
      <c r="S112" s="41" t="n">
        <v>119.0307</v>
      </c>
      <c r="T112" s="41" t="n">
        <v>118.2077</v>
      </c>
      <c r="U112" s="42">
        <f>S112/T112-1</f>
        <v/>
      </c>
      <c r="V112" s="45" t="n">
        <v>1</v>
      </c>
      <c r="W112" s="42">
        <f>J112/R112-1</f>
        <v/>
      </c>
      <c r="X112" s="42">
        <f>J112/S112-1</f>
        <v/>
      </c>
      <c r="Y112" s="41" t="n">
        <v>3.3855</v>
      </c>
      <c r="Z112" s="46">
        <f>Y112/J112</f>
        <v/>
      </c>
      <c r="AA112" s="44">
        <f>(J112-R112)/Y112</f>
        <v/>
      </c>
      <c r="AB112" s="44">
        <f>(J112-S112)/Y112</f>
        <v/>
      </c>
      <c r="AC112" s="38">
        <f>IF(ABS(AA112)&lt;=ABS(AB112),"9EMA","21EMA")</f>
        <v/>
      </c>
      <c r="AD112" s="38" t="inlineStr">
        <is>
          <t>9+21EMA</t>
        </is>
      </c>
      <c r="AE112" s="38" t="inlineStr">
        <is>
          <t>持續在上方</t>
        </is>
      </c>
      <c r="AF112" s="38" t="inlineStr"/>
      <c r="AG112" s="38" t="inlineStr"/>
      <c r="AH112" s="38" t="inlineStr">
        <is>
          <t>✓</t>
        </is>
      </c>
      <c r="AI112" s="38" t="inlineStr">
        <is>
          <t>2026-09-17</t>
        </is>
      </c>
      <c r="AJ112" s="38" t="n">
        <v>11</v>
      </c>
      <c r="AK112" s="47" t="n">
        <v>3</v>
      </c>
      <c r="AL112" s="38" t="inlineStr">
        <is>
          <t>2026-09-28</t>
        </is>
      </c>
      <c r="AM112" s="41" t="n">
        <v>116.94</v>
      </c>
      <c r="AN112" s="41" t="n">
        <v>108.21</v>
      </c>
      <c r="AO112" s="42">
        <f>IF(ISNUMBER(AN112),AM112/AN112-1,"")</f>
        <v/>
      </c>
      <c r="AP112" s="47" t="n">
        <v>4</v>
      </c>
      <c r="AQ112" s="42">
        <f>IF(ISNUMBER(AM112),J112/AM112-1,"")</f>
        <v/>
      </c>
      <c r="AR112" s="41" t="n">
        <v>122.21</v>
      </c>
      <c r="AS112" s="42">
        <f>J112/AR112-1</f>
        <v/>
      </c>
      <c r="AT112" s="48" t="n">
        <v>0.4093</v>
      </c>
      <c r="AU112" s="48" t="n">
        <v>-0.21</v>
      </c>
      <c r="AV112" s="48" t="n">
        <v>-0.3648</v>
      </c>
      <c r="AW112" s="49">
        <f>AU112-AV112</f>
        <v/>
      </c>
      <c r="AX112" s="48" t="n">
        <v>0.6192</v>
      </c>
      <c r="AY112" s="48" t="n">
        <v>0.6497000000000001</v>
      </c>
      <c r="AZ112" s="48" t="n">
        <v>0.7512</v>
      </c>
      <c r="BA112" s="38" t="inlineStr">
        <is>
          <t>淺綠</t>
        </is>
      </c>
      <c r="BB112" s="38" t="inlineStr">
        <is>
          <t>—</t>
        </is>
      </c>
      <c r="BC112" s="38" t="inlineStr">
        <is>
          <t>—</t>
        </is>
      </c>
      <c r="BD112" s="38" t="inlineStr">
        <is>
          <t>淺綠 淺綠 淺綠 淺綠 淺綠 淺綠 淺綠 淺綠</t>
        </is>
      </c>
      <c r="BE112" s="38" t="inlineStr">
        <is>
          <t>上升通道</t>
        </is>
      </c>
      <c r="BF112" s="50" t="n">
        <v>0.4109</v>
      </c>
      <c r="BG112" s="50" t="n">
        <v>0.5026</v>
      </c>
      <c r="BH112" s="50" t="n">
        <v>0.5384</v>
      </c>
      <c r="BI112" s="50" t="n">
        <v>0.5634</v>
      </c>
      <c r="BJ112" s="47" t="n">
        <v>3</v>
      </c>
      <c r="BK112" s="41" t="n">
        <v>124.75</v>
      </c>
      <c r="BL112" s="41" t="n">
        <v>106.26</v>
      </c>
      <c r="BM112" s="41" t="n">
        <v>116.2156</v>
      </c>
      <c r="BN112" s="50" t="n">
        <v>1.1976</v>
      </c>
      <c r="BO112" s="44">
        <f>IF(M112=N112,0.5,(J112-N112)/(M112-N112))</f>
        <v/>
      </c>
      <c r="BP112" s="51" t="n">
        <v>12.214</v>
      </c>
      <c r="BQ112" s="51" t="n">
        <v>7.173</v>
      </c>
      <c r="BR112" s="52">
        <f>100*(0.4*MIN(1,MAX(0,((U112*100)-(0.0))/((2.5)-(0.0))))+0.3*MIN(1,MAX(0,((V112)-(0.6))/((1.0)-(0.6))))+0.3*MIN(1,MAX(0,((BP112)-(0.0))/((15.0)-(0.0)))))</f>
        <v/>
      </c>
      <c r="BS112" s="52">
        <f>100*(0.4*MIN(1,MAX(0,((MIN(ABS(AA112),ABS(AB112)))-(0.75))/((0.0)-(0.75))))+0.3*MIN(1,MAX(0,((BN112)-(1.2))/((0.6)-(1.2))))+0.3*BO112)</f>
        <v/>
      </c>
      <c r="BT112" s="52">
        <f>100*(0.5*MIN(1,MAX(0,((AK112)-(1.0))/((4.0)-(1.0))))+0.3*MIN(1,MAX(0,((IF(ISNUMBER(AO112),AO112,0)*100)-(0.0))/((8.0)-(0.0))))+0.2*MIN(1,MAX(0,((IF(ISNUMBER(AP112),AP112,0))-(25.0))/((5.0)-(25.0)))))</f>
        <v/>
      </c>
      <c r="BU112" s="52">
        <f>100*(0.35*MIN(1,MAX(0,((ABS(BF112))-(0.3))/((0.05)-(0.3))))+0.3*MIN(1,MAX(0,((BG112)-(0.0))/((0.3)-(0.0))))+0.25*MIN(1,MAX(0,((BH112)-(0.4))/((0.7)-(0.4))))+0.1*IF(BJ112&gt;=2,1,0.5))</f>
        <v/>
      </c>
      <c r="BV112" s="53">
        <f>0.25*BR112+0.25*BS112+0.2*BT112+0.3*BU112</f>
        <v/>
      </c>
      <c r="BW112" s="38" t="inlineStr">
        <is>
          <t>C6 MACD柱轉勢</t>
        </is>
      </c>
      <c r="BX112" s="38" t="inlineStr"/>
    </row>
    <row r="113">
      <c r="A113" s="38" t="n">
        <v>3</v>
      </c>
      <c r="B113" s="38" t="n">
        <v>51</v>
      </c>
      <c r="C113" s="39" t="inlineStr">
        <is>
          <t>INFU</t>
        </is>
      </c>
      <c r="D113" s="38" t="inlineStr">
        <is>
          <t>InfuSystems Holdings Inc.</t>
        </is>
      </c>
      <c r="E113" s="38" t="inlineStr">
        <is>
          <t>AMEX</t>
        </is>
      </c>
      <c r="F113" s="38" t="inlineStr">
        <is>
          <t>醫療保健</t>
        </is>
      </c>
      <c r="G113" s="38" t="inlineStr">
        <is>
          <t>Medical/Dental Instruments</t>
        </is>
      </c>
      <c r="H113" s="40" t="n">
        <v>0.257</v>
      </c>
      <c r="I113" s="38" t="inlineStr">
        <is>
          <t>小型</t>
        </is>
      </c>
      <c r="J113" s="41" t="n">
        <v>13.16</v>
      </c>
      <c r="K113" s="41" t="n">
        <v>12.82</v>
      </c>
      <c r="L113" s="42">
        <f>J113/K113-1</f>
        <v/>
      </c>
      <c r="M113" s="41" t="n">
        <v>13.2</v>
      </c>
      <c r="N113" s="41" t="n">
        <v>12.91</v>
      </c>
      <c r="O113" s="43" t="n">
        <v>124100</v>
      </c>
      <c r="P113" s="43" t="n">
        <v>144805</v>
      </c>
      <c r="Q113" s="44">
        <f>O113/P113</f>
        <v/>
      </c>
      <c r="R113" s="41" t="n">
        <v>12.8666</v>
      </c>
      <c r="S113" s="41" t="n">
        <v>12.6067</v>
      </c>
      <c r="T113" s="41" t="n">
        <v>12.3902</v>
      </c>
      <c r="U113" s="42">
        <f>S113/T113-1</f>
        <v/>
      </c>
      <c r="V113" s="45" t="n">
        <v>1</v>
      </c>
      <c r="W113" s="42">
        <f>J113/R113-1</f>
        <v/>
      </c>
      <c r="X113" s="42">
        <f>J113/S113-1</f>
        <v/>
      </c>
      <c r="Y113" s="41" t="n">
        <v>0.4035</v>
      </c>
      <c r="Z113" s="46">
        <f>Y113/J113</f>
        <v/>
      </c>
      <c r="AA113" s="44">
        <f>(J113-R113)/Y113</f>
        <v/>
      </c>
      <c r="AB113" s="44">
        <f>(J113-S113)/Y113</f>
        <v/>
      </c>
      <c r="AC113" s="38">
        <f>IF(ABS(AA113)&lt;=ABS(AB113),"9EMA","21EMA")</f>
        <v/>
      </c>
      <c r="AD113" s="38" t="inlineStr">
        <is>
          <t>9EMA</t>
        </is>
      </c>
      <c r="AE113" s="38" t="inlineStr">
        <is>
          <t>持續在上方</t>
        </is>
      </c>
      <c r="AF113" s="38" t="inlineStr"/>
      <c r="AG113" s="38" t="inlineStr"/>
      <c r="AH113" s="38" t="inlineStr">
        <is>
          <t>✓</t>
        </is>
      </c>
      <c r="AI113" s="38" t="inlineStr">
        <is>
          <t>2026-08-04</t>
        </is>
      </c>
      <c r="AJ113" s="38" t="n">
        <v>42</v>
      </c>
      <c r="AK113" s="47" t="n">
        <v>2</v>
      </c>
      <c r="AL113" s="38" t="inlineStr">
        <is>
          <t>2026-09-25</t>
        </is>
      </c>
      <c r="AM113" s="41" t="n">
        <v>12.47</v>
      </c>
      <c r="AN113" s="41" t="n">
        <v>11.8</v>
      </c>
      <c r="AO113" s="42">
        <f>IF(ISNUMBER(AN113),AM113/AN113-1,"")</f>
        <v/>
      </c>
      <c r="AP113" s="47" t="n">
        <v>5</v>
      </c>
      <c r="AQ113" s="42">
        <f>IF(ISNUMBER(AM113),J113/AM113-1,"")</f>
        <v/>
      </c>
      <c r="AR113" s="41" t="n">
        <v>13.16</v>
      </c>
      <c r="AS113" s="42">
        <f>J113/AR113-1</f>
        <v/>
      </c>
      <c r="AT113" s="48" t="n">
        <v>0.3114</v>
      </c>
      <c r="AU113" s="48" t="n">
        <v>0.316</v>
      </c>
      <c r="AV113" s="48" t="n">
        <v>0.3171</v>
      </c>
      <c r="AW113" s="49">
        <f>AU113-AV113</f>
        <v/>
      </c>
      <c r="AX113" s="48" t="n">
        <v>-0.0046</v>
      </c>
      <c r="AY113" s="48" t="n">
        <v>-0.0173</v>
      </c>
      <c r="AZ113" s="48" t="n">
        <v>-0.0061</v>
      </c>
      <c r="BA113" s="38" t="inlineStr">
        <is>
          <t>淺紅</t>
        </is>
      </c>
      <c r="BB113" s="38" t="inlineStr">
        <is>
          <t>深紅→淺紅</t>
        </is>
      </c>
      <c r="BC113" s="38" t="n">
        <v>0</v>
      </c>
      <c r="BD113" s="38" t="inlineStr">
        <is>
          <t>淺綠 淺綠 深紅 淺紅 深綠 深紅 深紅 淺紅</t>
        </is>
      </c>
      <c r="BE113" s="38" t="inlineStr">
        <is>
          <t>上升通道</t>
        </is>
      </c>
      <c r="BF113" s="50" t="n">
        <v>0.498</v>
      </c>
      <c r="BG113" s="50" t="n">
        <v>0.4162</v>
      </c>
      <c r="BH113" s="50" t="n">
        <v>0.5374</v>
      </c>
      <c r="BI113" s="50" t="n">
        <v>0.5216</v>
      </c>
      <c r="BJ113" s="47" t="n">
        <v>7</v>
      </c>
      <c r="BK113" s="41" t="n">
        <v>13.2</v>
      </c>
      <c r="BL113" s="41" t="n">
        <v>11.8</v>
      </c>
      <c r="BM113" s="41" t="n">
        <v>12.5524</v>
      </c>
      <c r="BN113" s="50" t="n">
        <v>1.0649</v>
      </c>
      <c r="BO113" s="44">
        <f>IF(M113=N113,0.5,(J113-N113)/(M113-N113))</f>
        <v/>
      </c>
      <c r="BP113" s="51" t="n">
        <v>13.443</v>
      </c>
      <c r="BQ113" s="51" t="n">
        <v>8.401999999999999</v>
      </c>
      <c r="BR113" s="52">
        <f>100*(0.4*MIN(1,MAX(0,((U113*100)-(0.0))/((2.5)-(0.0))))+0.3*MIN(1,MAX(0,((V113)-(0.6))/((1.0)-(0.6))))+0.3*MIN(1,MAX(0,((BP113)-(0.0))/((15.0)-(0.0)))))</f>
        <v/>
      </c>
      <c r="BS113" s="52">
        <f>100*(0.4*MIN(1,MAX(0,((MIN(ABS(AA113),ABS(AB113)))-(0.75))/((0.0)-(0.75))))+0.3*MIN(1,MAX(0,((BN113)-(1.2))/((0.6)-(1.2))))+0.3*BO113)</f>
        <v/>
      </c>
      <c r="BT113" s="52">
        <f>100*(0.5*MIN(1,MAX(0,((AK113)-(1.0))/((4.0)-(1.0))))+0.3*MIN(1,MAX(0,((IF(ISNUMBER(AO113),AO113,0)*100)-(0.0))/((8.0)-(0.0))))+0.2*MIN(1,MAX(0,((IF(ISNUMBER(AP113),AP113,0))-(25.0))/((5.0)-(25.0)))))</f>
        <v/>
      </c>
      <c r="BU113" s="52">
        <f>100*(0.35*MIN(1,MAX(0,((ABS(BF113))-(0.3))/((0.05)-(0.3))))+0.3*MIN(1,MAX(0,((BG113)-(0.0))/((0.3)-(0.0))))+0.25*MIN(1,MAX(0,((BH113)-(0.4))/((0.7)-(0.4))))+0.1*IF(BJ113&gt;=2,1,0.5))</f>
        <v/>
      </c>
      <c r="BV113" s="53">
        <f>0.25*BR113+0.25*BS113+0.2*BT113+0.3*BU113</f>
        <v/>
      </c>
      <c r="BW113" s="38" t="inlineStr">
        <is>
          <t>C5 MACD慢線向上</t>
        </is>
      </c>
      <c r="BX113" s="38" t="inlineStr"/>
    </row>
    <row r="114">
      <c r="A114" s="38" t="n">
        <v>3</v>
      </c>
      <c r="B114" s="38" t="n">
        <v>52</v>
      </c>
      <c r="C114" s="39" t="inlineStr">
        <is>
          <t>HALO</t>
        </is>
      </c>
      <c r="D114" s="38" t="inlineStr">
        <is>
          <t>Halozyme Therapeutics Inc.</t>
        </is>
      </c>
      <c r="E114" s="38" t="inlineStr">
        <is>
          <t>NASDAQ</t>
        </is>
      </c>
      <c r="F114" s="38" t="inlineStr">
        <is>
          <t>醫療保健</t>
        </is>
      </c>
      <c r="G114" s="38" t="inlineStr">
        <is>
          <t>Biotechnology: Biological Products (No Diagnostic Substances)</t>
        </is>
      </c>
      <c r="H114" s="40" t="n">
        <v>12.53</v>
      </c>
      <c r="I114" s="38" t="inlineStr">
        <is>
          <t>大型</t>
        </is>
      </c>
      <c r="J114" s="41" t="n">
        <v>109.86</v>
      </c>
      <c r="K114" s="41" t="n">
        <v>106.94</v>
      </c>
      <c r="L114" s="42">
        <f>J114/K114-1</f>
        <v/>
      </c>
      <c r="M114" s="41" t="n">
        <v>109.99</v>
      </c>
      <c r="N114" s="41" t="n">
        <v>106.65</v>
      </c>
      <c r="O114" s="43" t="n">
        <v>2599800</v>
      </c>
      <c r="P114" s="43" t="n">
        <v>2548640</v>
      </c>
      <c r="Q114" s="44">
        <f>O114/P114</f>
        <v/>
      </c>
      <c r="R114" s="41" t="n">
        <v>110.6588</v>
      </c>
      <c r="S114" s="41" t="n">
        <v>109.5713</v>
      </c>
      <c r="T114" s="41" t="n">
        <v>109.2283</v>
      </c>
      <c r="U114" s="42">
        <f>S114/T114-1</f>
        <v/>
      </c>
      <c r="V114" s="45" t="n">
        <v>0.9</v>
      </c>
      <c r="W114" s="42">
        <f>J114/R114-1</f>
        <v/>
      </c>
      <c r="X114" s="42">
        <f>J114/S114-1</f>
        <v/>
      </c>
      <c r="Y114" s="41" t="n">
        <v>3.0666</v>
      </c>
      <c r="Z114" s="46">
        <f>Y114/J114</f>
        <v/>
      </c>
      <c r="AA114" s="44">
        <f>(J114-R114)/Y114</f>
        <v/>
      </c>
      <c r="AB114" s="44">
        <f>(J114-S114)/Y114</f>
        <v/>
      </c>
      <c r="AC114" s="38">
        <f>IF(ABS(AA114)&lt;=ABS(AB114),"9EMA","21EMA")</f>
        <v/>
      </c>
      <c r="AD114" s="38" t="inlineStr">
        <is>
          <t>9+21EMA</t>
        </is>
      </c>
      <c r="AE114" s="38" t="inlineStr">
        <is>
          <t>持續在上方</t>
        </is>
      </c>
      <c r="AF114" s="38" t="inlineStr"/>
      <c r="AG114" s="38" t="inlineStr">
        <is>
          <t>✓</t>
        </is>
      </c>
      <c r="AH114" s="38" t="inlineStr"/>
      <c r="AI114" s="38" t="inlineStr">
        <is>
          <t>2026-05-12</t>
        </is>
      </c>
      <c r="AJ114" s="38" t="n">
        <v>99</v>
      </c>
      <c r="AK114" s="47" t="n">
        <v>6</v>
      </c>
      <c r="AL114" s="38" t="inlineStr">
        <is>
          <t>2026-09-16</t>
        </is>
      </c>
      <c r="AM114" s="41" t="n">
        <v>105.5</v>
      </c>
      <c r="AN114" s="41" t="n">
        <v>103.47</v>
      </c>
      <c r="AO114" s="42">
        <f>IF(ISNUMBER(AN114),AM114/AN114-1,"")</f>
        <v/>
      </c>
      <c r="AP114" s="47" t="n">
        <v>12</v>
      </c>
      <c r="AQ114" s="42">
        <f>IF(ISNUMBER(AM114),J114/AM114-1,"")</f>
        <v/>
      </c>
      <c r="AR114" s="41" t="n">
        <v>115.22</v>
      </c>
      <c r="AS114" s="42">
        <f>J114/AR114-1</f>
        <v/>
      </c>
      <c r="AT114" s="48" t="n">
        <v>2.0724</v>
      </c>
      <c r="AU114" s="48" t="n">
        <v>3.009</v>
      </c>
      <c r="AV114" s="48" t="n">
        <v>3.2432</v>
      </c>
      <c r="AW114" s="49">
        <f>AU114-AV114</f>
        <v/>
      </c>
      <c r="AX114" s="48" t="n">
        <v>-0.9366</v>
      </c>
      <c r="AY114" s="48" t="n">
        <v>-0.9254</v>
      </c>
      <c r="AZ114" s="48" t="n">
        <v>-0.5800999999999999</v>
      </c>
      <c r="BA114" s="38" t="inlineStr">
        <is>
          <t>深紅</t>
        </is>
      </c>
      <c r="BB114" s="38" t="inlineStr">
        <is>
          <t>—</t>
        </is>
      </c>
      <c r="BC114" s="38" t="inlineStr">
        <is>
          <t>—</t>
        </is>
      </c>
      <c r="BD114" s="38" t="inlineStr">
        <is>
          <t>深紅 淺紅 深紅 深紅 深紅 深紅 深紅 深紅</t>
        </is>
      </c>
      <c r="BE114" s="38" t="inlineStr">
        <is>
          <t>上傾擴張</t>
        </is>
      </c>
      <c r="BF114" s="50" t="n">
        <v>0.3991</v>
      </c>
      <c r="BG114" s="50" t="n">
        <v>0.168</v>
      </c>
      <c r="BH114" s="50" t="n">
        <v>0.5508999999999999</v>
      </c>
      <c r="BI114" s="50" t="n">
        <v>0.5563</v>
      </c>
      <c r="BJ114" s="47" t="n">
        <v>4</v>
      </c>
      <c r="BK114" s="41" t="n">
        <v>116.85</v>
      </c>
      <c r="BL114" s="41" t="n">
        <v>103.47</v>
      </c>
      <c r="BM114" s="41" t="n">
        <v>110.8404</v>
      </c>
      <c r="BN114" s="50" t="n">
        <v>0.799</v>
      </c>
      <c r="BO114" s="44">
        <f>IF(M114=N114,0.5,(J114-N114)/(M114-N114))</f>
        <v/>
      </c>
      <c r="BP114" s="51" t="n">
        <v>5.223</v>
      </c>
      <c r="BQ114" s="51" t="n">
        <v>0.182</v>
      </c>
      <c r="BR114" s="52">
        <f>100*(0.4*MIN(1,MAX(0,((U114*100)-(0.0))/((2.5)-(0.0))))+0.3*MIN(1,MAX(0,((V114)-(0.6))/((1.0)-(0.6))))+0.3*MIN(1,MAX(0,((BP114)-(0.0))/((15.0)-(0.0)))))</f>
        <v/>
      </c>
      <c r="BS114" s="52">
        <f>100*(0.4*MIN(1,MAX(0,((MIN(ABS(AA114),ABS(AB114)))-(0.75))/((0.0)-(0.75))))+0.3*MIN(1,MAX(0,((BN114)-(1.2))/((0.6)-(1.2))))+0.3*BO114)</f>
        <v/>
      </c>
      <c r="BT114" s="52">
        <f>100*(0.5*MIN(1,MAX(0,((AK114)-(1.0))/((4.0)-(1.0))))+0.3*MIN(1,MAX(0,((IF(ISNUMBER(AO114),AO114,0)*100)-(0.0))/((8.0)-(0.0))))+0.2*MIN(1,MAX(0,((IF(ISNUMBER(AP114),AP114,0))-(25.0))/((5.0)-(25.0)))))</f>
        <v/>
      </c>
      <c r="BU114" s="52">
        <f>100*(0.35*MIN(1,MAX(0,((ABS(BF114))-(0.3))/((0.05)-(0.3))))+0.3*MIN(1,MAX(0,((BG114)-(0.0))/((0.3)-(0.0))))+0.25*MIN(1,MAX(0,((BH114)-(0.4))/((0.7)-(0.4))))+0.1*IF(BJ114&gt;=2,1,0.5))</f>
        <v/>
      </c>
      <c r="BV114" s="53">
        <f>0.25*BR114+0.25*BS114+0.2*BT114+0.3*BU114</f>
        <v/>
      </c>
      <c r="BW114" s="38" t="inlineStr">
        <is>
          <t>C5 MACD慢線向上、C6 MACD柱轉勢</t>
        </is>
      </c>
      <c r="BX114" s="38" t="inlineStr"/>
    </row>
    <row r="115">
      <c r="A115" s="38" t="n">
        <v>3</v>
      </c>
      <c r="B115" s="38" t="n">
        <v>53</v>
      </c>
      <c r="C115" s="39" t="inlineStr">
        <is>
          <t>AAPL</t>
        </is>
      </c>
      <c r="D115" s="38" t="inlineStr">
        <is>
          <t>Apple Inc.</t>
        </is>
      </c>
      <c r="E115" s="38" t="inlineStr">
        <is>
          <t>NASDAQ</t>
        </is>
      </c>
      <c r="F115" s="38" t="inlineStr">
        <is>
          <t>科技</t>
        </is>
      </c>
      <c r="G115" s="38" t="inlineStr">
        <is>
          <t>Computer Manufacturing</t>
        </is>
      </c>
      <c r="H115" s="40" t="n">
        <v>4860.154</v>
      </c>
      <c r="I115" s="38" t="inlineStr">
        <is>
          <t>大型</t>
        </is>
      </c>
      <c r="J115" s="41" t="n">
        <v>333.69</v>
      </c>
      <c r="K115" s="41" t="n">
        <v>330.32</v>
      </c>
      <c r="L115" s="42">
        <f>J115/K115-1</f>
        <v/>
      </c>
      <c r="M115" s="41" t="n">
        <v>334.54</v>
      </c>
      <c r="N115" s="41" t="n">
        <v>330.61</v>
      </c>
      <c r="O115" s="43" t="n">
        <v>33245500</v>
      </c>
      <c r="P115" s="43" t="n">
        <v>42234205</v>
      </c>
      <c r="Q115" s="44">
        <f>O115/P115</f>
        <v/>
      </c>
      <c r="R115" s="41" t="n">
        <v>333.7644</v>
      </c>
      <c r="S115" s="41" t="n">
        <v>331.0307</v>
      </c>
      <c r="T115" s="41" t="n">
        <v>329.9376</v>
      </c>
      <c r="U115" s="42">
        <f>S115/T115-1</f>
        <v/>
      </c>
      <c r="V115" s="45" t="n">
        <v>0.8</v>
      </c>
      <c r="W115" s="42">
        <f>J115/R115-1</f>
        <v/>
      </c>
      <c r="X115" s="42">
        <f>J115/S115-1</f>
        <v/>
      </c>
      <c r="Y115" s="41" t="n">
        <v>7.035</v>
      </c>
      <c r="Z115" s="46">
        <f>Y115/J115</f>
        <v/>
      </c>
      <c r="AA115" s="44">
        <f>(J115-R115)/Y115</f>
        <v/>
      </c>
      <c r="AB115" s="44">
        <f>(J115-S115)/Y115</f>
        <v/>
      </c>
      <c r="AC115" s="38">
        <f>IF(ABS(AA115)&lt;=ABS(AB115),"9EMA","21EMA")</f>
        <v/>
      </c>
      <c r="AD115" s="38" t="inlineStr">
        <is>
          <t>9+21EMA</t>
        </is>
      </c>
      <c r="AE115" s="38" t="inlineStr">
        <is>
          <t>持續在上方</t>
        </is>
      </c>
      <c r="AF115" s="38" t="inlineStr"/>
      <c r="AG115" s="38" t="inlineStr"/>
      <c r="AH115" s="38" t="inlineStr">
        <is>
          <t>✓</t>
        </is>
      </c>
      <c r="AI115" s="38" t="inlineStr">
        <is>
          <t>2026-08-28</t>
        </is>
      </c>
      <c r="AJ115" s="38" t="n">
        <v>24</v>
      </c>
      <c r="AK115" s="47" t="n">
        <v>3</v>
      </c>
      <c r="AL115" s="38" t="inlineStr">
        <is>
          <t>2026-09-09</t>
        </is>
      </c>
      <c r="AM115" s="41" t="n">
        <v>309.9</v>
      </c>
      <c r="AN115" s="41" t="n">
        <v>300.57</v>
      </c>
      <c r="AO115" s="42">
        <f>IF(ISNUMBER(AN115),AM115/AN115-1,"")</f>
        <v/>
      </c>
      <c r="AP115" s="47" t="n">
        <v>17</v>
      </c>
      <c r="AQ115" s="42">
        <f>IF(ISNUMBER(AM115),J115/AM115-1,"")</f>
        <v/>
      </c>
      <c r="AR115" s="41" t="n">
        <v>341.07</v>
      </c>
      <c r="AS115" s="42">
        <f>J115/AR115-1</f>
        <v/>
      </c>
      <c r="AT115" s="48" t="n">
        <v>3.8073</v>
      </c>
      <c r="AU115" s="48" t="n">
        <v>4.8201</v>
      </c>
      <c r="AV115" s="48" t="n">
        <v>5.0733</v>
      </c>
      <c r="AW115" s="49">
        <f>AU115-AV115</f>
        <v/>
      </c>
      <c r="AX115" s="48" t="n">
        <v>-1.0128</v>
      </c>
      <c r="AY115" s="48" t="n">
        <v>-0.99</v>
      </c>
      <c r="AZ115" s="48" t="n">
        <v>-0.6014</v>
      </c>
      <c r="BA115" s="38" t="inlineStr">
        <is>
          <t>深紅</t>
        </is>
      </c>
      <c r="BB115" s="38" t="inlineStr">
        <is>
          <t>—</t>
        </is>
      </c>
      <c r="BC115" s="38" t="inlineStr">
        <is>
          <t>—</t>
        </is>
      </c>
      <c r="BD115" s="38" t="inlineStr">
        <is>
          <t>淺綠 淺綠 淺綠 淺綠 深紅 深紅 深紅 深紅</t>
        </is>
      </c>
      <c r="BE115" s="38" t="inlineStr">
        <is>
          <t>上升通道</t>
        </is>
      </c>
      <c r="BF115" s="50" t="n">
        <v>0.2576</v>
      </c>
      <c r="BG115" s="50" t="n">
        <v>0.2563</v>
      </c>
      <c r="BH115" s="50" t="n">
        <v>0.5558</v>
      </c>
      <c r="BI115" s="50" t="n">
        <v>0.5541</v>
      </c>
      <c r="BJ115" s="47" t="n">
        <v>4</v>
      </c>
      <c r="BK115" s="41" t="n">
        <v>345.34</v>
      </c>
      <c r="BL115" s="41" t="n">
        <v>309.9</v>
      </c>
      <c r="BM115" s="41" t="n">
        <v>329.5977</v>
      </c>
      <c r="BN115" s="50" t="n">
        <v>0.8679</v>
      </c>
      <c r="BO115" s="44">
        <f>IF(M115=N115,0.5,(J115-N115)/(M115-N115))</f>
        <v/>
      </c>
      <c r="BP115" s="51" t="n">
        <v>7.727</v>
      </c>
      <c r="BQ115" s="51" t="n">
        <v>2.686</v>
      </c>
      <c r="BR115" s="52">
        <f>100*(0.4*MIN(1,MAX(0,((U115*100)-(0.0))/((2.5)-(0.0))))+0.3*MIN(1,MAX(0,((V115)-(0.6))/((1.0)-(0.6))))+0.3*MIN(1,MAX(0,((BP115)-(0.0))/((15.0)-(0.0)))))</f>
        <v/>
      </c>
      <c r="BS115" s="52">
        <f>100*(0.4*MIN(1,MAX(0,((MIN(ABS(AA115),ABS(AB115)))-(0.75))/((0.0)-(0.75))))+0.3*MIN(1,MAX(0,((BN115)-(1.2))/((0.6)-(1.2))))+0.3*BO115)</f>
        <v/>
      </c>
      <c r="BT115" s="52">
        <f>100*(0.5*MIN(1,MAX(0,((AK115)-(1.0))/((4.0)-(1.0))))+0.3*MIN(1,MAX(0,((IF(ISNUMBER(AO115),AO115,0)*100)-(0.0))/((8.0)-(0.0))))+0.2*MIN(1,MAX(0,((IF(ISNUMBER(AP115),AP115,0))-(25.0))/((5.0)-(25.0)))))</f>
        <v/>
      </c>
      <c r="BU115" s="52">
        <f>100*(0.35*MIN(1,MAX(0,((ABS(BF115))-(0.3))/((0.05)-(0.3))))+0.3*MIN(1,MAX(0,((BG115)-(0.0))/((0.3)-(0.0))))+0.25*MIN(1,MAX(0,((BH115)-(0.4))/((0.7)-(0.4))))+0.1*IF(BJ115&gt;=2,1,0.5))</f>
        <v/>
      </c>
      <c r="BV115" s="53">
        <f>0.25*BR115+0.25*BS115+0.2*BT115+0.3*BU115</f>
        <v/>
      </c>
      <c r="BW115" s="38" t="inlineStr">
        <is>
          <t>C5 MACD慢線向上、C6 MACD柱轉勢</t>
        </is>
      </c>
      <c r="BX115" s="38" t="inlineStr"/>
    </row>
    <row r="116">
      <c r="A116" s="38" t="n">
        <v>3</v>
      </c>
      <c r="B116" s="38" t="n">
        <v>54</v>
      </c>
      <c r="C116" s="39" t="inlineStr">
        <is>
          <t>SLP</t>
        </is>
      </c>
      <c r="D116" s="38" t="inlineStr">
        <is>
          <t>Simulations Plus Inc.</t>
        </is>
      </c>
      <c r="E116" s="38" t="inlineStr">
        <is>
          <t>NASDAQ</t>
        </is>
      </c>
      <c r="F116" s="38" t="inlineStr">
        <is>
          <t>科技</t>
        </is>
      </c>
      <c r="G116" s="38" t="inlineStr">
        <is>
          <t>EDP Services</t>
        </is>
      </c>
      <c r="H116" s="40" t="n">
        <v>0.373</v>
      </c>
      <c r="I116" s="38" t="inlineStr">
        <is>
          <t>小型</t>
        </is>
      </c>
      <c r="J116" s="41" t="n">
        <v>18.5</v>
      </c>
      <c r="K116" s="41" t="n">
        <v>18.49</v>
      </c>
      <c r="L116" s="42">
        <f>J116/K116-1</f>
        <v/>
      </c>
      <c r="M116" s="41" t="n">
        <v>18.5</v>
      </c>
      <c r="N116" s="41" t="n">
        <v>18.49</v>
      </c>
      <c r="O116" s="43" t="n">
        <v>460300</v>
      </c>
      <c r="P116" s="43" t="n">
        <v>226660</v>
      </c>
      <c r="Q116" s="44">
        <f>O116/P116</f>
        <v/>
      </c>
      <c r="R116" s="41" t="n">
        <v>18.4649</v>
      </c>
      <c r="S116" s="41" t="n">
        <v>18.4396</v>
      </c>
      <c r="T116" s="41" t="n">
        <v>18.4167</v>
      </c>
      <c r="U116" s="42">
        <f>S116/T116-1</f>
        <v/>
      </c>
      <c r="V116" s="45" t="n">
        <v>1</v>
      </c>
      <c r="W116" s="42">
        <f>J116/R116-1</f>
        <v/>
      </c>
      <c r="X116" s="42">
        <f>J116/S116-1</f>
        <v/>
      </c>
      <c r="Y116" s="41" t="n">
        <v>0.0368</v>
      </c>
      <c r="Z116" s="46">
        <f>Y116/J116</f>
        <v/>
      </c>
      <c r="AA116" s="44">
        <f>(J116-R116)/Y116</f>
        <v/>
      </c>
      <c r="AB116" s="44">
        <f>(J116-S116)/Y116</f>
        <v/>
      </c>
      <c r="AC116" s="38">
        <f>IF(ABS(AA116)&lt;=ABS(AB116),"9EMA","21EMA")</f>
        <v/>
      </c>
      <c r="AD116" s="38" t="inlineStr">
        <is>
          <t>9+21EMA</t>
        </is>
      </c>
      <c r="AE116" s="38" t="inlineStr">
        <is>
          <t>持續在上方</t>
        </is>
      </c>
      <c r="AF116" s="38" t="inlineStr"/>
      <c r="AG116" s="38" t="inlineStr"/>
      <c r="AH116" s="38" t="inlineStr">
        <is>
          <t>✓</t>
        </is>
      </c>
      <c r="AI116" s="38" t="inlineStr">
        <is>
          <t>2026-05-21</t>
        </is>
      </c>
      <c r="AJ116" s="38" t="n">
        <v>92</v>
      </c>
      <c r="AK116" s="47" t="n">
        <v>6</v>
      </c>
      <c r="AL116" s="38" t="inlineStr">
        <is>
          <t>2026-09-22</t>
        </is>
      </c>
      <c r="AM116" s="41" t="n">
        <v>18.41</v>
      </c>
      <c r="AN116" s="41" t="n">
        <v>18.4</v>
      </c>
      <c r="AO116" s="42">
        <f>IF(ISNUMBER(AN116),AM116/AN116-1,"")</f>
        <v/>
      </c>
      <c r="AP116" s="47" t="n">
        <v>8</v>
      </c>
      <c r="AQ116" s="42">
        <f>IF(ISNUMBER(AM116),J116/AM116-1,"")</f>
        <v/>
      </c>
      <c r="AR116" s="41" t="n">
        <v>18.5</v>
      </c>
      <c r="AS116" s="42">
        <f>J116/AR116-1</f>
        <v/>
      </c>
      <c r="AT116" s="48" t="n">
        <v>0.033</v>
      </c>
      <c r="AU116" s="48" t="n">
        <v>0.0337</v>
      </c>
      <c r="AV116" s="48" t="n">
        <v>0.0339</v>
      </c>
      <c r="AW116" s="49">
        <f>AU116-AV116</f>
        <v/>
      </c>
      <c r="AX116" s="48" t="n">
        <v>-0.0007</v>
      </c>
      <c r="AY116" s="48" t="n">
        <v>-0.0025</v>
      </c>
      <c r="AZ116" s="48" t="n">
        <v>-0.0047</v>
      </c>
      <c r="BA116" s="38" t="inlineStr">
        <is>
          <t>淺紅</t>
        </is>
      </c>
      <c r="BB116" s="38" t="inlineStr">
        <is>
          <t>深紅→淺紅</t>
        </is>
      </c>
      <c r="BC116" s="38" t="n">
        <v>1</v>
      </c>
      <c r="BD116" s="38" t="inlineStr">
        <is>
          <t>淺紅 淺紅 淺紅 淺紅 淺紅 深紅 淺紅 淺紅</t>
        </is>
      </c>
      <c r="BE116" s="38" t="inlineStr">
        <is>
          <t>上升三角（平頂）</t>
        </is>
      </c>
      <c r="BF116" s="50" t="n">
        <v>0.0142</v>
      </c>
      <c r="BG116" s="50" t="n">
        <v>0.0108</v>
      </c>
      <c r="BH116" s="50" t="n">
        <v>0.5382</v>
      </c>
      <c r="BI116" s="50" t="n">
        <v>0.4962</v>
      </c>
      <c r="BJ116" s="47" t="n">
        <v>25</v>
      </c>
      <c r="BK116" s="41" t="n">
        <v>18.5</v>
      </c>
      <c r="BL116" s="41" t="n">
        <v>18.38</v>
      </c>
      <c r="BM116" s="41" t="n">
        <v>18.4446</v>
      </c>
      <c r="BN116" s="50" t="n">
        <v>0.6565</v>
      </c>
      <c r="BO116" s="44">
        <f>IF(M116=N116,0.5,(J116-N116)/(M116-N116))</f>
        <v/>
      </c>
      <c r="BP116" s="51" t="n">
        <v>5.421</v>
      </c>
      <c r="BQ116" s="51" t="n">
        <v>0.38</v>
      </c>
      <c r="BR116" s="52">
        <f>100*(0.4*MIN(1,MAX(0,((U116*100)-(0.0))/((2.5)-(0.0))))+0.3*MIN(1,MAX(0,((V116)-(0.6))/((1.0)-(0.6))))+0.3*MIN(1,MAX(0,((BP116)-(0.0))/((15.0)-(0.0)))))</f>
        <v/>
      </c>
      <c r="BS116" s="52">
        <f>100*(0.4*MIN(1,MAX(0,((MIN(ABS(AA116),ABS(AB116)))-(0.75))/((0.0)-(0.75))))+0.3*MIN(1,MAX(0,((BN116)-(1.2))/((0.6)-(1.2))))+0.3*BO116)</f>
        <v/>
      </c>
      <c r="BT116" s="52">
        <f>100*(0.5*MIN(1,MAX(0,((AK116)-(1.0))/((4.0)-(1.0))))+0.3*MIN(1,MAX(0,((IF(ISNUMBER(AO116),AO116,0)*100)-(0.0))/((8.0)-(0.0))))+0.2*MIN(1,MAX(0,((IF(ISNUMBER(AP116),AP116,0))-(25.0))/((5.0)-(25.0)))))</f>
        <v/>
      </c>
      <c r="BU116" s="52">
        <f>100*(0.35*MIN(1,MAX(0,((ABS(BF116))-(0.3))/((0.05)-(0.3))))+0.3*MIN(1,MAX(0,((BG116)-(0.0))/((0.3)-(0.0))))+0.25*MIN(1,MAX(0,((BH116)-(0.4))/((0.7)-(0.4))))+0.1*IF(BJ116&gt;=2,1,0.5))</f>
        <v/>
      </c>
      <c r="BV116" s="53">
        <f>0.25*BR116+0.25*BS116+0.2*BT116+0.3*BU116</f>
        <v/>
      </c>
      <c r="BW116" s="38" t="inlineStr">
        <is>
          <t>C5 MACD慢線向上</t>
        </is>
      </c>
      <c r="BX116" s="38" t="inlineStr"/>
    </row>
    <row r="117">
      <c r="A117" s="38" t="n">
        <v>3</v>
      </c>
      <c r="B117" s="38" t="n">
        <v>55</v>
      </c>
      <c r="C117" s="39" t="inlineStr">
        <is>
          <t>BTGO</t>
        </is>
      </c>
      <c r="D117" s="38" t="inlineStr">
        <is>
          <t>BitGo Holdings Inc.</t>
        </is>
      </c>
      <c r="E117" s="38" t="inlineStr">
        <is>
          <t>NYSE</t>
        </is>
      </c>
      <c r="F117" s="38" t="inlineStr">
        <is>
          <t>金融</t>
        </is>
      </c>
      <c r="G117" s="38" t="inlineStr">
        <is>
          <t>Finance: Consumer Services</t>
        </is>
      </c>
      <c r="H117" s="40" t="n">
        <v>0.87</v>
      </c>
      <c r="I117" s="38" t="inlineStr">
        <is>
          <t>小型</t>
        </is>
      </c>
      <c r="J117" s="41" t="n">
        <v>7.38</v>
      </c>
      <c r="K117" s="41" t="n">
        <v>7.36</v>
      </c>
      <c r="L117" s="42">
        <f>J117/K117-1</f>
        <v/>
      </c>
      <c r="M117" s="41" t="n">
        <v>7.9</v>
      </c>
      <c r="N117" s="41" t="n">
        <v>7.19</v>
      </c>
      <c r="O117" s="43" t="n">
        <v>1098600</v>
      </c>
      <c r="P117" s="43" t="n">
        <v>2178665</v>
      </c>
      <c r="Q117" s="44">
        <f>O117/P117</f>
        <v/>
      </c>
      <c r="R117" s="41" t="n">
        <v>7.4509</v>
      </c>
      <c r="S117" s="41" t="n">
        <v>7.332</v>
      </c>
      <c r="T117" s="41" t="n">
        <v>7.3271</v>
      </c>
      <c r="U117" s="42">
        <f>S117/T117-1</f>
        <v/>
      </c>
      <c r="V117" s="45" t="n">
        <v>0.8</v>
      </c>
      <c r="W117" s="42">
        <f>J117/R117-1</f>
        <v/>
      </c>
      <c r="X117" s="42">
        <f>J117/S117-1</f>
        <v/>
      </c>
      <c r="Y117" s="41" t="n">
        <v>0.5649</v>
      </c>
      <c r="Z117" s="46">
        <f>Y117/J117</f>
        <v/>
      </c>
      <c r="AA117" s="44">
        <f>(J117-R117)/Y117</f>
        <v/>
      </c>
      <c r="AB117" s="44">
        <f>(J117-S117)/Y117</f>
        <v/>
      </c>
      <c r="AC117" s="38">
        <f>IF(ABS(AA117)&lt;=ABS(AB117),"9EMA","21EMA")</f>
        <v/>
      </c>
      <c r="AD117" s="38" t="inlineStr">
        <is>
          <t>9+21EMA</t>
        </is>
      </c>
      <c r="AE117" s="38" t="inlineStr">
        <is>
          <t>持續在上方</t>
        </is>
      </c>
      <c r="AF117" s="38" t="inlineStr"/>
      <c r="AG117" s="38" t="inlineStr">
        <is>
          <t>✓</t>
        </is>
      </c>
      <c r="AH117" s="38" t="inlineStr"/>
      <c r="AI117" s="38" t="inlineStr">
        <is>
          <t>2026-08-13</t>
        </is>
      </c>
      <c r="AJ117" s="38" t="n">
        <v>35</v>
      </c>
      <c r="AK117" s="47" t="n">
        <v>2</v>
      </c>
      <c r="AL117" s="38" t="inlineStr">
        <is>
          <t>2026-09-28</t>
        </is>
      </c>
      <c r="AM117" s="41" t="n">
        <v>7.1</v>
      </c>
      <c r="AN117" s="41" t="n">
        <v>6.19</v>
      </c>
      <c r="AO117" s="42">
        <f>IF(ISNUMBER(AN117),AM117/AN117-1,"")</f>
        <v/>
      </c>
      <c r="AP117" s="47" t="n">
        <v>4</v>
      </c>
      <c r="AQ117" s="42">
        <f>IF(ISNUMBER(AM117),J117/AM117-1,"")</f>
        <v/>
      </c>
      <c r="AR117" s="41" t="n">
        <v>8.279999999999999</v>
      </c>
      <c r="AS117" s="42">
        <f>J117/AR117-1</f>
        <v/>
      </c>
      <c r="AT117" s="48" t="n">
        <v>0.2147</v>
      </c>
      <c r="AU117" s="48" t="n">
        <v>0.3125</v>
      </c>
      <c r="AV117" s="48" t="n">
        <v>0.337</v>
      </c>
      <c r="AW117" s="49">
        <f>AU117-AV117</f>
        <v/>
      </c>
      <c r="AX117" s="48" t="n">
        <v>-0.0978</v>
      </c>
      <c r="AY117" s="48" t="n">
        <v>-0.098</v>
      </c>
      <c r="AZ117" s="48" t="n">
        <v>-0.093</v>
      </c>
      <c r="BA117" s="38" t="inlineStr">
        <is>
          <t>淺紅</t>
        </is>
      </c>
      <c r="BB117" s="38" t="inlineStr">
        <is>
          <t>深紅→淺紅</t>
        </is>
      </c>
      <c r="BC117" s="38" t="n">
        <v>0</v>
      </c>
      <c r="BD117" s="38" t="inlineStr">
        <is>
          <t>深綠 淺綠 深紅 深紅 深紅 深紅 深紅 淺紅</t>
        </is>
      </c>
      <c r="BE117" s="38" t="inlineStr">
        <is>
          <t>上傾擴張</t>
        </is>
      </c>
      <c r="BF117" s="50" t="n">
        <v>0.7743</v>
      </c>
      <c r="BG117" s="50" t="n">
        <v>0.3045</v>
      </c>
      <c r="BH117" s="50" t="n">
        <v>0.5685</v>
      </c>
      <c r="BI117" s="50" t="n">
        <v>0.539</v>
      </c>
      <c r="BJ117" s="47" t="n">
        <v>3</v>
      </c>
      <c r="BK117" s="41" t="n">
        <v>8.35</v>
      </c>
      <c r="BL117" s="41" t="n">
        <v>6.19</v>
      </c>
      <c r="BM117" s="41" t="n">
        <v>7.418</v>
      </c>
      <c r="BN117" s="50" t="n">
        <v>0.6863</v>
      </c>
      <c r="BO117" s="44">
        <f>IF(M117=N117,0.5,(J117-N117)/(M117-N117))</f>
        <v/>
      </c>
      <c r="BP117" s="51" t="n">
        <v>9.426</v>
      </c>
      <c r="BQ117" s="51" t="n">
        <v>4.385</v>
      </c>
      <c r="BR117" s="52">
        <f>100*(0.4*MIN(1,MAX(0,((U117*100)-(0.0))/((2.5)-(0.0))))+0.3*MIN(1,MAX(0,((V117)-(0.6))/((1.0)-(0.6))))+0.3*MIN(1,MAX(0,((BP117)-(0.0))/((15.0)-(0.0)))))</f>
        <v/>
      </c>
      <c r="BS117" s="52">
        <f>100*(0.4*MIN(1,MAX(0,((MIN(ABS(AA117),ABS(AB117)))-(0.75))/((0.0)-(0.75))))+0.3*MIN(1,MAX(0,((BN117)-(1.2))/((0.6)-(1.2))))+0.3*BO117)</f>
        <v/>
      </c>
      <c r="BT117" s="52">
        <f>100*(0.5*MIN(1,MAX(0,((AK117)-(1.0))/((4.0)-(1.0))))+0.3*MIN(1,MAX(0,((IF(ISNUMBER(AO117),AO117,0)*100)-(0.0))/((8.0)-(0.0))))+0.2*MIN(1,MAX(0,((IF(ISNUMBER(AP117),AP117,0))-(25.0))/((5.0)-(25.0)))))</f>
        <v/>
      </c>
      <c r="BU117" s="52">
        <f>100*(0.35*MIN(1,MAX(0,((ABS(BF117))-(0.3))/((0.05)-(0.3))))+0.3*MIN(1,MAX(0,((BG117)-(0.0))/((0.3)-(0.0))))+0.25*MIN(1,MAX(0,((BH117)-(0.4))/((0.7)-(0.4))))+0.1*IF(BJ117&gt;=2,1,0.5))</f>
        <v/>
      </c>
      <c r="BV117" s="53">
        <f>0.25*BR117+0.25*BS117+0.2*BT117+0.3*BU117</f>
        <v/>
      </c>
      <c r="BW117" s="38" t="inlineStr">
        <is>
          <t>C5 MACD慢線向上</t>
        </is>
      </c>
      <c r="BX117" s="38" t="inlineStr"/>
    </row>
    <row r="118">
      <c r="A118" s="38" t="n">
        <v>3</v>
      </c>
      <c r="B118" s="38" t="n">
        <v>56</v>
      </c>
      <c r="C118" s="39" t="inlineStr">
        <is>
          <t>REX</t>
        </is>
      </c>
      <c r="D118" s="38" t="inlineStr">
        <is>
          <t>REX American Resources Corporation</t>
        </is>
      </c>
      <c r="E118" s="38" t="inlineStr">
        <is>
          <t>NYSE</t>
        </is>
      </c>
      <c r="F118" s="38" t="inlineStr">
        <is>
          <t>工業</t>
        </is>
      </c>
      <c r="G118" s="38" t="inlineStr">
        <is>
          <t>Major Chemicals</t>
        </is>
      </c>
      <c r="H118" s="40" t="n">
        <v>1.441</v>
      </c>
      <c r="I118" s="38" t="inlineStr">
        <is>
          <t>小型</t>
        </is>
      </c>
      <c r="J118" s="41" t="n">
        <v>43.37</v>
      </c>
      <c r="K118" s="41" t="n">
        <v>43.75</v>
      </c>
      <c r="L118" s="42">
        <f>J118/K118-1</f>
        <v/>
      </c>
      <c r="M118" s="41" t="n">
        <v>43.86</v>
      </c>
      <c r="N118" s="41" t="n">
        <v>43.15</v>
      </c>
      <c r="O118" s="43" t="n">
        <v>185900</v>
      </c>
      <c r="P118" s="43" t="n">
        <v>255080</v>
      </c>
      <c r="Q118" s="44">
        <f>O118/P118</f>
        <v/>
      </c>
      <c r="R118" s="41" t="n">
        <v>43.2133</v>
      </c>
      <c r="S118" s="41" t="n">
        <v>43.0214</v>
      </c>
      <c r="T118" s="41" t="n">
        <v>42.9101</v>
      </c>
      <c r="U118" s="42">
        <f>S118/T118-1</f>
        <v/>
      </c>
      <c r="V118" s="45" t="n">
        <v>0.7</v>
      </c>
      <c r="W118" s="42">
        <f>J118/R118-1</f>
        <v/>
      </c>
      <c r="X118" s="42">
        <f>J118/S118-1</f>
        <v/>
      </c>
      <c r="Y118" s="41" t="n">
        <v>1.3458</v>
      </c>
      <c r="Z118" s="46">
        <f>Y118/J118</f>
        <v/>
      </c>
      <c r="AA118" s="44">
        <f>(J118-R118)/Y118</f>
        <v/>
      </c>
      <c r="AB118" s="44">
        <f>(J118-S118)/Y118</f>
        <v/>
      </c>
      <c r="AC118" s="38">
        <f>IF(ABS(AA118)&lt;=ABS(AB118),"9EMA","21EMA")</f>
        <v/>
      </c>
      <c r="AD118" s="38" t="inlineStr">
        <is>
          <t>9+21EMA</t>
        </is>
      </c>
      <c r="AE118" s="38" t="inlineStr">
        <is>
          <t>持續在上方</t>
        </is>
      </c>
      <c r="AF118" s="38" t="inlineStr"/>
      <c r="AG118" s="38" t="inlineStr"/>
      <c r="AH118" s="38" t="inlineStr">
        <is>
          <t>✓</t>
        </is>
      </c>
      <c r="AI118" s="38" t="inlineStr">
        <is>
          <t>2026-09-22</t>
        </is>
      </c>
      <c r="AJ118" s="38" t="n">
        <v>8</v>
      </c>
      <c r="AK118" s="47" t="n">
        <v>2</v>
      </c>
      <c r="AL118" s="38" t="inlineStr">
        <is>
          <t>2026-09-29</t>
        </is>
      </c>
      <c r="AM118" s="41" t="n">
        <v>42.16</v>
      </c>
      <c r="AN118" s="41" t="n">
        <v>39.7</v>
      </c>
      <c r="AO118" s="42">
        <f>IF(ISNUMBER(AN118),AM118/AN118-1,"")</f>
        <v/>
      </c>
      <c r="AP118" s="47" t="n">
        <v>3</v>
      </c>
      <c r="AQ118" s="42">
        <f>IF(ISNUMBER(AM118),J118/AM118-1,"")</f>
        <v/>
      </c>
      <c r="AR118" s="41" t="n">
        <v>44.25</v>
      </c>
      <c r="AS118" s="42">
        <f>J118/AR118-1</f>
        <v/>
      </c>
      <c r="AT118" s="48" t="n">
        <v>0.1113</v>
      </c>
      <c r="AU118" s="48" t="n">
        <v>-0.0014</v>
      </c>
      <c r="AV118" s="48" t="n">
        <v>-0.0295</v>
      </c>
      <c r="AW118" s="49">
        <f>AU118-AV118</f>
        <v/>
      </c>
      <c r="AX118" s="48" t="n">
        <v>0.1126</v>
      </c>
      <c r="AY118" s="48" t="n">
        <v>0.1261</v>
      </c>
      <c r="AZ118" s="48" t="n">
        <v>0.0988</v>
      </c>
      <c r="BA118" s="38" t="inlineStr">
        <is>
          <t>淺綠</t>
        </is>
      </c>
      <c r="BB118" s="38" t="inlineStr">
        <is>
          <t>—</t>
        </is>
      </c>
      <c r="BC118" s="38" t="inlineStr">
        <is>
          <t>—</t>
        </is>
      </c>
      <c r="BD118" s="38" t="inlineStr">
        <is>
          <t>深綠 淺綠 淺綠 淺綠 淺綠 深綠 深綠 淺綠</t>
        </is>
      </c>
      <c r="BE118" s="38" t="inlineStr">
        <is>
          <t>上升通道</t>
        </is>
      </c>
      <c r="BF118" s="50" t="n">
        <v>0.2664</v>
      </c>
      <c r="BG118" s="50" t="n">
        <v>0.2985</v>
      </c>
      <c r="BH118" s="50" t="n">
        <v>0.627</v>
      </c>
      <c r="BI118" s="50" t="n">
        <v>0.5397</v>
      </c>
      <c r="BJ118" s="47" t="n">
        <v>5</v>
      </c>
      <c r="BK118" s="41" t="n">
        <v>44.63</v>
      </c>
      <c r="BL118" s="41" t="n">
        <v>39.7</v>
      </c>
      <c r="BM118" s="41" t="n">
        <v>42.7909</v>
      </c>
      <c r="BN118" s="50" t="n">
        <v>0.6177</v>
      </c>
      <c r="BO118" s="44">
        <f>IF(M118=N118,0.5,(J118-N118)/(M118-N118))</f>
        <v/>
      </c>
      <c r="BP118" s="51" t="n">
        <v>6.373</v>
      </c>
      <c r="BQ118" s="51" t="n">
        <v>1.332</v>
      </c>
      <c r="BR118" s="52">
        <f>100*(0.4*MIN(1,MAX(0,((U118*100)-(0.0))/((2.5)-(0.0))))+0.3*MIN(1,MAX(0,((V118)-(0.6))/((1.0)-(0.6))))+0.3*MIN(1,MAX(0,((BP118)-(0.0))/((15.0)-(0.0)))))</f>
        <v/>
      </c>
      <c r="BS118" s="52">
        <f>100*(0.4*MIN(1,MAX(0,((MIN(ABS(AA118),ABS(AB118)))-(0.75))/((0.0)-(0.75))))+0.3*MIN(1,MAX(0,((BN118)-(1.2))/((0.6)-(1.2))))+0.3*BO118)</f>
        <v/>
      </c>
      <c r="BT118" s="52">
        <f>100*(0.5*MIN(1,MAX(0,((AK118)-(1.0))/((4.0)-(1.0))))+0.3*MIN(1,MAX(0,((IF(ISNUMBER(AO118),AO118,0)*100)-(0.0))/((8.0)-(0.0))))+0.2*MIN(1,MAX(0,((IF(ISNUMBER(AP118),AP118,0))-(25.0))/((5.0)-(25.0)))))</f>
        <v/>
      </c>
      <c r="BU118" s="52">
        <f>100*(0.35*MIN(1,MAX(0,((ABS(BF118))-(0.3))/((0.05)-(0.3))))+0.3*MIN(1,MAX(0,((BG118)-(0.0))/((0.3)-(0.0))))+0.25*MIN(1,MAX(0,((BH118)-(0.4))/((0.7)-(0.4))))+0.1*IF(BJ118&gt;=2,1,0.5))</f>
        <v/>
      </c>
      <c r="BV118" s="53">
        <f>0.25*BR118+0.25*BS118+0.2*BT118+0.3*BU118</f>
        <v/>
      </c>
      <c r="BW118" s="38" t="inlineStr">
        <is>
          <t>C6 MACD柱轉勢</t>
        </is>
      </c>
      <c r="BX118" s="38" t="inlineStr"/>
    </row>
    <row r="119">
      <c r="A119" s="38" t="n">
        <v>3</v>
      </c>
      <c r="B119" s="38" t="n">
        <v>57</v>
      </c>
      <c r="C119" s="39" t="inlineStr">
        <is>
          <t>HCA</t>
        </is>
      </c>
      <c r="D119" s="38" t="inlineStr">
        <is>
          <t>HCA Healthcare Inc.</t>
        </is>
      </c>
      <c r="E119" s="38" t="inlineStr">
        <is>
          <t>NYSE</t>
        </is>
      </c>
      <c r="F119" s="38" t="inlineStr">
        <is>
          <t>醫療保健</t>
        </is>
      </c>
      <c r="G119" s="38" t="inlineStr">
        <is>
          <t>Hospital/Nursing Management</t>
        </is>
      </c>
      <c r="H119" s="40" t="n">
        <v>92.39</v>
      </c>
      <c r="I119" s="38" t="inlineStr">
        <is>
          <t>大型</t>
        </is>
      </c>
      <c r="J119" s="41" t="n">
        <v>426.69</v>
      </c>
      <c r="K119" s="41" t="n">
        <v>423.39</v>
      </c>
      <c r="L119" s="42">
        <f>J119/K119-1</f>
        <v/>
      </c>
      <c r="M119" s="41" t="n">
        <v>430.22</v>
      </c>
      <c r="N119" s="41" t="n">
        <v>424.23</v>
      </c>
      <c r="O119" s="43" t="n">
        <v>929800</v>
      </c>
      <c r="P119" s="43" t="n">
        <v>1486935</v>
      </c>
      <c r="Q119" s="44">
        <f>O119/P119</f>
        <v/>
      </c>
      <c r="R119" s="41" t="n">
        <v>428.0649</v>
      </c>
      <c r="S119" s="41" t="n">
        <v>425.3924</v>
      </c>
      <c r="T119" s="41" t="n">
        <v>423.899</v>
      </c>
      <c r="U119" s="42">
        <f>S119/T119-1</f>
        <v/>
      </c>
      <c r="V119" s="45" t="n">
        <v>0.9</v>
      </c>
      <c r="W119" s="42">
        <f>J119/R119-1</f>
        <v/>
      </c>
      <c r="X119" s="42">
        <f>J119/S119-1</f>
        <v/>
      </c>
      <c r="Y119" s="41" t="n">
        <v>12.1024</v>
      </c>
      <c r="Z119" s="46">
        <f>Y119/J119</f>
        <v/>
      </c>
      <c r="AA119" s="44">
        <f>(J119-R119)/Y119</f>
        <v/>
      </c>
      <c r="AB119" s="44">
        <f>(J119-S119)/Y119</f>
        <v/>
      </c>
      <c r="AC119" s="38">
        <f>IF(ABS(AA119)&lt;=ABS(AB119),"9EMA","21EMA")</f>
        <v/>
      </c>
      <c r="AD119" s="38" t="inlineStr">
        <is>
          <t>9+21EMA</t>
        </is>
      </c>
      <c r="AE119" s="38" t="inlineStr">
        <is>
          <t>持續在上方</t>
        </is>
      </c>
      <c r="AF119" s="38" t="inlineStr"/>
      <c r="AG119" s="38" t="inlineStr">
        <is>
          <t>✓</t>
        </is>
      </c>
      <c r="AH119" s="38" t="inlineStr"/>
      <c r="AI119" s="38" t="inlineStr">
        <is>
          <t>2026-09-09</t>
        </is>
      </c>
      <c r="AJ119" s="38" t="n">
        <v>17</v>
      </c>
      <c r="AK119" s="47" t="n">
        <v>3</v>
      </c>
      <c r="AL119" s="38" t="inlineStr">
        <is>
          <t>2026-09-25</t>
        </is>
      </c>
      <c r="AM119" s="41" t="n">
        <v>420</v>
      </c>
      <c r="AN119" s="41" t="n">
        <v>409.74</v>
      </c>
      <c r="AO119" s="42">
        <f>IF(ISNUMBER(AN119),AM119/AN119-1,"")</f>
        <v/>
      </c>
      <c r="AP119" s="47" t="n">
        <v>5</v>
      </c>
      <c r="AQ119" s="42">
        <f>IF(ISNUMBER(AM119),J119/AM119-1,"")</f>
        <v/>
      </c>
      <c r="AR119" s="41" t="n">
        <v>438.12</v>
      </c>
      <c r="AS119" s="42">
        <f>J119/AR119-1</f>
        <v/>
      </c>
      <c r="AT119" s="48" t="n">
        <v>3.8497</v>
      </c>
      <c r="AU119" s="48" t="n">
        <v>4.9059</v>
      </c>
      <c r="AV119" s="48" t="n">
        <v>5.1699</v>
      </c>
      <c r="AW119" s="49">
        <f>AU119-AV119</f>
        <v/>
      </c>
      <c r="AX119" s="48" t="n">
        <v>-1.0562</v>
      </c>
      <c r="AY119" s="48" t="n">
        <v>-0.9073</v>
      </c>
      <c r="AZ119" s="48" t="n">
        <v>-0.333</v>
      </c>
      <c r="BA119" s="38" t="inlineStr">
        <is>
          <t>深紅</t>
        </is>
      </c>
      <c r="BB119" s="38" t="inlineStr">
        <is>
          <t>—</t>
        </is>
      </c>
      <c r="BC119" s="38" t="inlineStr">
        <is>
          <t>—</t>
        </is>
      </c>
      <c r="BD119" s="38" t="inlineStr">
        <is>
          <t>深綠 淺綠 深綠 淺綠 淺綠 深紅 深紅 深紅</t>
        </is>
      </c>
      <c r="BE119" s="38" t="inlineStr">
        <is>
          <t>上升通道</t>
        </is>
      </c>
      <c r="BF119" s="50" t="n">
        <v>0.4205</v>
      </c>
      <c r="BG119" s="50" t="n">
        <v>0.3756</v>
      </c>
      <c r="BH119" s="50" t="n">
        <v>0.5353</v>
      </c>
      <c r="BI119" s="50" t="n">
        <v>0.5800999999999999</v>
      </c>
      <c r="BJ119" s="47" t="n">
        <v>4</v>
      </c>
      <c r="BK119" s="41" t="n">
        <v>446.36</v>
      </c>
      <c r="BL119" s="41" t="n">
        <v>396</v>
      </c>
      <c r="BM119" s="41" t="n">
        <v>422.9599</v>
      </c>
      <c r="BN119" s="50" t="n">
        <v>1.0067</v>
      </c>
      <c r="BO119" s="44">
        <f>IF(M119=N119,0.5,(J119-N119)/(M119-N119))</f>
        <v/>
      </c>
      <c r="BP119" s="51" t="n">
        <v>11.167</v>
      </c>
      <c r="BQ119" s="51" t="n">
        <v>6.126</v>
      </c>
      <c r="BR119" s="52">
        <f>100*(0.4*MIN(1,MAX(0,((U119*100)-(0.0))/((2.5)-(0.0))))+0.3*MIN(1,MAX(0,((V119)-(0.6))/((1.0)-(0.6))))+0.3*MIN(1,MAX(0,((BP119)-(0.0))/((15.0)-(0.0)))))</f>
        <v/>
      </c>
      <c r="BS119" s="52">
        <f>100*(0.4*MIN(1,MAX(0,((MIN(ABS(AA119),ABS(AB119)))-(0.75))/((0.0)-(0.75))))+0.3*MIN(1,MAX(0,((BN119)-(1.2))/((0.6)-(1.2))))+0.3*BO119)</f>
        <v/>
      </c>
      <c r="BT119" s="52">
        <f>100*(0.5*MIN(1,MAX(0,((AK119)-(1.0))/((4.0)-(1.0))))+0.3*MIN(1,MAX(0,((IF(ISNUMBER(AO119),AO119,0)*100)-(0.0))/((8.0)-(0.0))))+0.2*MIN(1,MAX(0,((IF(ISNUMBER(AP119),AP119,0))-(25.0))/((5.0)-(25.0)))))</f>
        <v/>
      </c>
      <c r="BU119" s="52">
        <f>100*(0.35*MIN(1,MAX(0,((ABS(BF119))-(0.3))/((0.05)-(0.3))))+0.3*MIN(1,MAX(0,((BG119)-(0.0))/((0.3)-(0.0))))+0.25*MIN(1,MAX(0,((BH119)-(0.4))/((0.7)-(0.4))))+0.1*IF(BJ119&gt;=2,1,0.5))</f>
        <v/>
      </c>
      <c r="BV119" s="53">
        <f>0.25*BR119+0.25*BS119+0.2*BT119+0.3*BU119</f>
        <v/>
      </c>
      <c r="BW119" s="38" t="inlineStr">
        <is>
          <t>C5 MACD慢線向上、C6 MACD柱轉勢</t>
        </is>
      </c>
      <c r="BX119" s="38" t="inlineStr"/>
    </row>
    <row r="120">
      <c r="A120" s="38" t="n">
        <v>3</v>
      </c>
      <c r="B120" s="38" t="n">
        <v>58</v>
      </c>
      <c r="C120" s="39" t="inlineStr">
        <is>
          <t>GCT</t>
        </is>
      </c>
      <c r="D120" s="38" t="inlineStr">
        <is>
          <t>GigaCloud Technology Inc</t>
        </is>
      </c>
      <c r="E120" s="38" t="inlineStr">
        <is>
          <t>NASDAQ</t>
        </is>
      </c>
      <c r="F120" s="38" t="inlineStr">
        <is>
          <t>非必需消費</t>
        </is>
      </c>
      <c r="G120" s="38" t="inlineStr">
        <is>
          <t>Catalog/Specialty Distribution</t>
        </is>
      </c>
      <c r="H120" s="40" t="n">
        <v>1.846</v>
      </c>
      <c r="I120" s="38" t="inlineStr">
        <is>
          <t>小型</t>
        </is>
      </c>
      <c r="J120" s="41" t="n">
        <v>53.75</v>
      </c>
      <c r="K120" s="41" t="n">
        <v>53.19</v>
      </c>
      <c r="L120" s="42">
        <f>J120/K120-1</f>
        <v/>
      </c>
      <c r="M120" s="41" t="n">
        <v>54.18</v>
      </c>
      <c r="N120" s="41" t="n">
        <v>52.92</v>
      </c>
      <c r="O120" s="43" t="n">
        <v>442000</v>
      </c>
      <c r="P120" s="43" t="n">
        <v>643840</v>
      </c>
      <c r="Q120" s="44">
        <f>O120/P120</f>
        <v/>
      </c>
      <c r="R120" s="41" t="n">
        <v>52.7301</v>
      </c>
      <c r="S120" s="41" t="n">
        <v>52.1636</v>
      </c>
      <c r="T120" s="41" t="n">
        <v>52.0005</v>
      </c>
      <c r="U120" s="42">
        <f>S120/T120-1</f>
        <v/>
      </c>
      <c r="V120" s="45" t="n">
        <v>0.8</v>
      </c>
      <c r="W120" s="42">
        <f>J120/R120-1</f>
        <v/>
      </c>
      <c r="X120" s="42">
        <f>J120/S120-1</f>
        <v/>
      </c>
      <c r="Y120" s="41" t="n">
        <v>2.5351</v>
      </c>
      <c r="Z120" s="46">
        <f>Y120/J120</f>
        <v/>
      </c>
      <c r="AA120" s="44">
        <f>(J120-R120)/Y120</f>
        <v/>
      </c>
      <c r="AB120" s="44">
        <f>(J120-S120)/Y120</f>
        <v/>
      </c>
      <c r="AC120" s="38">
        <f>IF(ABS(AA120)&lt;=ABS(AB120),"9EMA","21EMA")</f>
        <v/>
      </c>
      <c r="AD120" s="38" t="inlineStr">
        <is>
          <t>9+21EMA</t>
        </is>
      </c>
      <c r="AE120" s="38" t="inlineStr">
        <is>
          <t>持續在上方</t>
        </is>
      </c>
      <c r="AF120" s="38" t="inlineStr"/>
      <c r="AG120" s="38" t="inlineStr"/>
      <c r="AH120" s="38" t="inlineStr">
        <is>
          <t>✓</t>
        </is>
      </c>
      <c r="AI120" s="38" t="inlineStr">
        <is>
          <t>2026-07-13</t>
        </is>
      </c>
      <c r="AJ120" s="38" t="n">
        <v>58</v>
      </c>
      <c r="AK120" s="47" t="n">
        <v>2</v>
      </c>
      <c r="AL120" s="38" t="inlineStr">
        <is>
          <t>2026-09-29</t>
        </is>
      </c>
      <c r="AM120" s="41" t="n">
        <v>49.43</v>
      </c>
      <c r="AN120" s="41" t="n">
        <v>49.34</v>
      </c>
      <c r="AO120" s="42">
        <f>IF(ISNUMBER(AN120),AM120/AN120-1,"")</f>
        <v/>
      </c>
      <c r="AP120" s="47" t="n">
        <v>3</v>
      </c>
      <c r="AQ120" s="42">
        <f>IF(ISNUMBER(AM120),J120/AM120-1,"")</f>
        <v/>
      </c>
      <c r="AR120" s="41" t="n">
        <v>53.98</v>
      </c>
      <c r="AS120" s="42">
        <f>J120/AR120-1</f>
        <v/>
      </c>
      <c r="AT120" s="48" t="n">
        <v>0.8774999999999999</v>
      </c>
      <c r="AU120" s="48" t="n">
        <v>1.0878</v>
      </c>
      <c r="AV120" s="48" t="n">
        <v>1.1404</v>
      </c>
      <c r="AW120" s="49">
        <f>AU120-AV120</f>
        <v/>
      </c>
      <c r="AX120" s="48" t="n">
        <v>-0.2103</v>
      </c>
      <c r="AY120" s="48" t="n">
        <v>-0.3059</v>
      </c>
      <c r="AZ120" s="48" t="n">
        <v>-0.3924</v>
      </c>
      <c r="BA120" s="38" t="inlineStr">
        <is>
          <t>淺紅</t>
        </is>
      </c>
      <c r="BB120" s="38" t="inlineStr">
        <is>
          <t>深紅→淺紅</t>
        </is>
      </c>
      <c r="BC120" s="38" t="n">
        <v>1</v>
      </c>
      <c r="BD120" s="38" t="inlineStr">
        <is>
          <t>深紅 淺紅 淺紅 深紅 深紅 深紅 淺紅 淺紅</t>
        </is>
      </c>
      <c r="BE120" s="38" t="inlineStr">
        <is>
          <t>上傾收窄（楔形）</t>
        </is>
      </c>
      <c r="BF120" s="50" t="n">
        <v>0.1977</v>
      </c>
      <c r="BG120" s="50" t="n">
        <v>0.3408</v>
      </c>
      <c r="BH120" s="50" t="n">
        <v>0.6344</v>
      </c>
      <c r="BI120" s="50" t="n">
        <v>0.7144</v>
      </c>
      <c r="BJ120" s="47" t="n">
        <v>1</v>
      </c>
      <c r="BK120" s="41" t="n">
        <v>55.598</v>
      </c>
      <c r="BL120" s="41" t="n">
        <v>46.01</v>
      </c>
      <c r="BM120" s="41" t="n">
        <v>52.0922</v>
      </c>
      <c r="BN120" s="50" t="n">
        <v>0.7562</v>
      </c>
      <c r="BO120" s="44">
        <f>IF(M120=N120,0.5,(J120-N120)/(M120-N120))</f>
        <v/>
      </c>
      <c r="BP120" s="51" t="n">
        <v>11.477</v>
      </c>
      <c r="BQ120" s="51" t="n">
        <v>6.436</v>
      </c>
      <c r="BR120" s="52">
        <f>100*(0.4*MIN(1,MAX(0,((U120*100)-(0.0))/((2.5)-(0.0))))+0.3*MIN(1,MAX(0,((V120)-(0.6))/((1.0)-(0.6))))+0.3*MIN(1,MAX(0,((BP120)-(0.0))/((15.0)-(0.0)))))</f>
        <v/>
      </c>
      <c r="BS120" s="52">
        <f>100*(0.4*MIN(1,MAX(0,((MIN(ABS(AA120),ABS(AB120)))-(0.75))/((0.0)-(0.75))))+0.3*MIN(1,MAX(0,((BN120)-(1.2))/((0.6)-(1.2))))+0.3*BO120)</f>
        <v/>
      </c>
      <c r="BT120" s="52">
        <f>100*(0.5*MIN(1,MAX(0,((AK120)-(1.0))/((4.0)-(1.0))))+0.3*MIN(1,MAX(0,((IF(ISNUMBER(AO120),AO120,0)*100)-(0.0))/((8.0)-(0.0))))+0.2*MIN(1,MAX(0,((IF(ISNUMBER(AP120),AP120,0))-(25.0))/((5.0)-(25.0)))))</f>
        <v/>
      </c>
      <c r="BU120" s="52">
        <f>100*(0.35*MIN(1,MAX(0,((ABS(BF120))-(0.3))/((0.05)-(0.3))))+0.3*MIN(1,MAX(0,((BG120)-(0.0))/((0.3)-(0.0))))+0.25*MIN(1,MAX(0,((BH120)-(0.4))/((0.7)-(0.4))))+0.1*IF(BJ120&gt;=2,1,0.5))</f>
        <v/>
      </c>
      <c r="BV120" s="53">
        <f>0.25*BR120+0.25*BS120+0.2*BT120+0.3*BU120</f>
        <v/>
      </c>
      <c r="BW120" s="38" t="inlineStr">
        <is>
          <t>C5 MACD慢線向上</t>
        </is>
      </c>
      <c r="BX120" s="38" t="inlineStr"/>
    </row>
    <row r="121">
      <c r="A121" s="38" t="n">
        <v>3</v>
      </c>
      <c r="B121" s="38" t="n">
        <v>59</v>
      </c>
      <c r="C121" s="39" t="inlineStr">
        <is>
          <t>UTMD</t>
        </is>
      </c>
      <c r="D121" s="38" t="inlineStr">
        <is>
          <t>Utah Medical Products Inc.</t>
        </is>
      </c>
      <c r="E121" s="38" t="inlineStr">
        <is>
          <t>NASDAQ</t>
        </is>
      </c>
      <c r="F121" s="38" t="inlineStr">
        <is>
          <t>醫療保健</t>
        </is>
      </c>
      <c r="G121" s="38" t="inlineStr">
        <is>
          <t>Medical/Dental Instruments</t>
        </is>
      </c>
      <c r="H121" s="40" t="n">
        <v>0.236</v>
      </c>
      <c r="I121" s="38" t="inlineStr">
        <is>
          <t>小型</t>
        </is>
      </c>
      <c r="J121" s="41" t="n">
        <v>74.13</v>
      </c>
      <c r="K121" s="41" t="n">
        <v>74.34999999999999</v>
      </c>
      <c r="L121" s="42">
        <f>J121/K121-1</f>
        <v/>
      </c>
      <c r="M121" s="41" t="n">
        <v>74.43000000000001</v>
      </c>
      <c r="N121" s="41" t="n">
        <v>74.13</v>
      </c>
      <c r="O121" s="43" t="n">
        <v>19600</v>
      </c>
      <c r="P121" s="43" t="n">
        <v>33400</v>
      </c>
      <c r="Q121" s="44">
        <f>O121/P121</f>
        <v/>
      </c>
      <c r="R121" s="41" t="n">
        <v>74.27290000000001</v>
      </c>
      <c r="S121" s="41" t="n">
        <v>73.52330000000001</v>
      </c>
      <c r="T121" s="41" t="n">
        <v>73.0072</v>
      </c>
      <c r="U121" s="42">
        <f>S121/T121-1</f>
        <v/>
      </c>
      <c r="V121" s="45" t="n">
        <v>1</v>
      </c>
      <c r="W121" s="42">
        <f>J121/R121-1</f>
        <v/>
      </c>
      <c r="X121" s="42">
        <f>J121/S121-1</f>
        <v/>
      </c>
      <c r="Y121" s="41" t="n">
        <v>1.3079</v>
      </c>
      <c r="Z121" s="46">
        <f>Y121/J121</f>
        <v/>
      </c>
      <c r="AA121" s="44">
        <f>(J121-R121)/Y121</f>
        <v/>
      </c>
      <c r="AB121" s="44">
        <f>(J121-S121)/Y121</f>
        <v/>
      </c>
      <c r="AC121" s="38">
        <f>IF(ABS(AA121)&lt;=ABS(AB121),"9EMA","21EMA")</f>
        <v/>
      </c>
      <c r="AD121" s="38" t="inlineStr">
        <is>
          <t>9EMA</t>
        </is>
      </c>
      <c r="AE121" s="38" t="inlineStr">
        <is>
          <t>持續在上方</t>
        </is>
      </c>
      <c r="AF121" s="38" t="inlineStr"/>
      <c r="AG121" s="38" t="inlineStr"/>
      <c r="AH121" s="38" t="inlineStr">
        <is>
          <t>✓</t>
        </is>
      </c>
      <c r="AI121" s="38" t="inlineStr">
        <is>
          <t>2026-09-15</t>
        </is>
      </c>
      <c r="AJ121" s="38" t="n">
        <v>13</v>
      </c>
      <c r="AK121" s="47" t="n">
        <v>3</v>
      </c>
      <c r="AL121" s="38" t="inlineStr">
        <is>
          <t>2026-09-28</t>
        </is>
      </c>
      <c r="AM121" s="41" t="n">
        <v>73.75</v>
      </c>
      <c r="AN121" s="41" t="n">
        <v>73.7</v>
      </c>
      <c r="AO121" s="42">
        <f>IF(ISNUMBER(AN121),AM121/AN121-1,"")</f>
        <v/>
      </c>
      <c r="AP121" s="47" t="n">
        <v>4</v>
      </c>
      <c r="AQ121" s="42">
        <f>IF(ISNUMBER(AM121),J121/AM121-1,"")</f>
        <v/>
      </c>
      <c r="AR121" s="41" t="n">
        <v>76.66</v>
      </c>
      <c r="AS121" s="42">
        <f>J121/AR121-1</f>
        <v/>
      </c>
      <c r="AT121" s="48" t="n">
        <v>0.8743</v>
      </c>
      <c r="AU121" s="48" t="n">
        <v>0.9191</v>
      </c>
      <c r="AV121" s="48" t="n">
        <v>0.9303</v>
      </c>
      <c r="AW121" s="49">
        <f>AU121-AV121</f>
        <v/>
      </c>
      <c r="AX121" s="48" t="n">
        <v>-0.0448</v>
      </c>
      <c r="AY121" s="48" t="n">
        <v>0.0115</v>
      </c>
      <c r="AZ121" s="48" t="n">
        <v>0.0645</v>
      </c>
      <c r="BA121" s="38" t="inlineStr">
        <is>
          <t>深紅</t>
        </is>
      </c>
      <c r="BB121" s="38" t="inlineStr">
        <is>
          <t>—</t>
        </is>
      </c>
      <c r="BC121" s="38" t="inlineStr">
        <is>
          <t>—</t>
        </is>
      </c>
      <c r="BD121" s="38" t="inlineStr">
        <is>
          <t>淺綠 淺綠 淺綠 淺綠 淺綠 淺綠 淺綠 深紅</t>
        </is>
      </c>
      <c r="BE121" s="38" t="inlineStr">
        <is>
          <t>上傾收窄（楔形）</t>
        </is>
      </c>
      <c r="BF121" s="50" t="n">
        <v>0.2993</v>
      </c>
      <c r="BG121" s="50" t="n">
        <v>0.5426</v>
      </c>
      <c r="BH121" s="50" t="n">
        <v>0.5269</v>
      </c>
      <c r="BI121" s="50" t="n">
        <v>0.4989</v>
      </c>
      <c r="BJ121" s="47" t="n">
        <v>2</v>
      </c>
      <c r="BK121" s="41" t="n">
        <v>76.89</v>
      </c>
      <c r="BL121" s="41" t="n">
        <v>68.45999999999999</v>
      </c>
      <c r="BM121" s="41" t="n">
        <v>72.90170000000001</v>
      </c>
      <c r="BN121" s="50" t="n">
        <v>0.8364</v>
      </c>
      <c r="BO121" s="44">
        <f>IF(M121=N121,0.5,(J121-N121)/(M121-N121))</f>
        <v/>
      </c>
      <c r="BP121" s="51" t="n">
        <v>8.516999999999999</v>
      </c>
      <c r="BQ121" s="51" t="n">
        <v>3.476</v>
      </c>
      <c r="BR121" s="52">
        <f>100*(0.4*MIN(1,MAX(0,((U121*100)-(0.0))/((2.5)-(0.0))))+0.3*MIN(1,MAX(0,((V121)-(0.6))/((1.0)-(0.6))))+0.3*MIN(1,MAX(0,((BP121)-(0.0))/((15.0)-(0.0)))))</f>
        <v/>
      </c>
      <c r="BS121" s="52">
        <f>100*(0.4*MIN(1,MAX(0,((MIN(ABS(AA121),ABS(AB121)))-(0.75))/((0.0)-(0.75))))+0.3*MIN(1,MAX(0,((BN121)-(1.2))/((0.6)-(1.2))))+0.3*BO121)</f>
        <v/>
      </c>
      <c r="BT121" s="52">
        <f>100*(0.5*MIN(1,MAX(0,((AK121)-(1.0))/((4.0)-(1.0))))+0.3*MIN(1,MAX(0,((IF(ISNUMBER(AO121),AO121,0)*100)-(0.0))/((8.0)-(0.0))))+0.2*MIN(1,MAX(0,((IF(ISNUMBER(AP121),AP121,0))-(25.0))/((5.0)-(25.0)))))</f>
        <v/>
      </c>
      <c r="BU121" s="52">
        <f>100*(0.35*MIN(1,MAX(0,((ABS(BF121))-(0.3))/((0.05)-(0.3))))+0.3*MIN(1,MAX(0,((BG121)-(0.0))/((0.3)-(0.0))))+0.25*MIN(1,MAX(0,((BH121)-(0.4))/((0.7)-(0.4))))+0.1*IF(BJ121&gt;=2,1,0.5))</f>
        <v/>
      </c>
      <c r="BV121" s="53">
        <f>0.25*BR121+0.25*BS121+0.2*BT121+0.3*BU121</f>
        <v/>
      </c>
      <c r="BW121" s="38" t="inlineStr">
        <is>
          <t>C5 MACD慢線向上、C6 MACD柱轉勢</t>
        </is>
      </c>
      <c r="BX121" s="38" t="inlineStr"/>
    </row>
    <row r="122">
      <c r="A122" s="38" t="n">
        <v>3</v>
      </c>
      <c r="B122" s="38" t="n">
        <v>60</v>
      </c>
      <c r="C122" s="39" t="inlineStr">
        <is>
          <t>FET</t>
        </is>
      </c>
      <c r="D122" s="38" t="inlineStr">
        <is>
          <t>Forum Energy Technologies Inc.</t>
        </is>
      </c>
      <c r="E122" s="38" t="inlineStr">
        <is>
          <t>NYSE</t>
        </is>
      </c>
      <c r="F122" s="38" t="inlineStr">
        <is>
          <t>非必需消費</t>
        </is>
      </c>
      <c r="G122" s="38" t="inlineStr">
        <is>
          <t>Oil and Gas Field Machinery</t>
        </is>
      </c>
      <c r="H122" s="40" t="n">
        <v>0.929</v>
      </c>
      <c r="I122" s="38" t="inlineStr">
        <is>
          <t>小型</t>
        </is>
      </c>
      <c r="J122" s="41" t="n">
        <v>83.14</v>
      </c>
      <c r="K122" s="41" t="n">
        <v>82.3</v>
      </c>
      <c r="L122" s="42">
        <f>J122/K122-1</f>
        <v/>
      </c>
      <c r="M122" s="41" t="n">
        <v>83.53</v>
      </c>
      <c r="N122" s="41" t="n">
        <v>81.73</v>
      </c>
      <c r="O122" s="43" t="n">
        <v>143300</v>
      </c>
      <c r="P122" s="43" t="n">
        <v>186420</v>
      </c>
      <c r="Q122" s="44">
        <f>O122/P122</f>
        <v/>
      </c>
      <c r="R122" s="41" t="n">
        <v>82.12390000000001</v>
      </c>
      <c r="S122" s="41" t="n">
        <v>81.29000000000001</v>
      </c>
      <c r="T122" s="41" t="n">
        <v>80.846</v>
      </c>
      <c r="U122" s="42">
        <f>S122/T122-1</f>
        <v/>
      </c>
      <c r="V122" s="45" t="n">
        <v>0.8</v>
      </c>
      <c r="W122" s="42">
        <f>J122/R122-1</f>
        <v/>
      </c>
      <c r="X122" s="42">
        <f>J122/S122-1</f>
        <v/>
      </c>
      <c r="Y122" s="41" t="n">
        <v>3.1018</v>
      </c>
      <c r="Z122" s="46">
        <f>Y122/J122</f>
        <v/>
      </c>
      <c r="AA122" s="44">
        <f>(J122-R122)/Y122</f>
        <v/>
      </c>
      <c r="AB122" s="44">
        <f>(J122-S122)/Y122</f>
        <v/>
      </c>
      <c r="AC122" s="38">
        <f>IF(ABS(AA122)&lt;=ABS(AB122),"9EMA","21EMA")</f>
        <v/>
      </c>
      <c r="AD122" s="38" t="inlineStr">
        <is>
          <t>9+21EMA</t>
        </is>
      </c>
      <c r="AE122" s="38" t="inlineStr">
        <is>
          <t>持續在上方</t>
        </is>
      </c>
      <c r="AF122" s="38" t="inlineStr"/>
      <c r="AG122" s="38" t="inlineStr"/>
      <c r="AH122" s="38" t="inlineStr">
        <is>
          <t>✓</t>
        </is>
      </c>
      <c r="AI122" s="38" t="inlineStr">
        <is>
          <t>2026-07-16</t>
        </is>
      </c>
      <c r="AJ122" s="38" t="n">
        <v>55</v>
      </c>
      <c r="AK122" s="47" t="n">
        <v>2</v>
      </c>
      <c r="AL122" s="38" t="inlineStr">
        <is>
          <t>2026-09-29</t>
        </is>
      </c>
      <c r="AM122" s="41" t="n">
        <v>79.47</v>
      </c>
      <c r="AN122" s="41" t="n">
        <v>78.31</v>
      </c>
      <c r="AO122" s="42">
        <f>IF(ISNUMBER(AN122),AM122/AN122-1,"")</f>
        <v/>
      </c>
      <c r="AP122" s="47" t="n">
        <v>3</v>
      </c>
      <c r="AQ122" s="42">
        <f>IF(ISNUMBER(AM122),J122/AM122-1,"")</f>
        <v/>
      </c>
      <c r="AR122" s="41" t="n">
        <v>83.64</v>
      </c>
      <c r="AS122" s="42">
        <f>J122/AR122-1</f>
        <v/>
      </c>
      <c r="AT122" s="48" t="n">
        <v>1.3905</v>
      </c>
      <c r="AU122" s="48" t="n">
        <v>1.7846</v>
      </c>
      <c r="AV122" s="48" t="n">
        <v>1.8832</v>
      </c>
      <c r="AW122" s="49">
        <f>AU122-AV122</f>
        <v/>
      </c>
      <c r="AX122" s="48" t="n">
        <v>-0.3941</v>
      </c>
      <c r="AY122" s="48" t="n">
        <v>-0.4969</v>
      </c>
      <c r="AZ122" s="48" t="n">
        <v>-0.5613</v>
      </c>
      <c r="BA122" s="38" t="inlineStr">
        <is>
          <t>淺紅</t>
        </is>
      </c>
      <c r="BB122" s="38" t="inlineStr">
        <is>
          <t>深紅→淺紅</t>
        </is>
      </c>
      <c r="BC122" s="38" t="n">
        <v>1</v>
      </c>
      <c r="BD122" s="38" t="inlineStr">
        <is>
          <t>淺紅 淺紅 淺紅 淺紅 深紅 深紅 淺紅 淺紅</t>
        </is>
      </c>
      <c r="BE122" s="38" t="inlineStr">
        <is>
          <t>上升三角（平頂）</t>
        </is>
      </c>
      <c r="BF122" s="50" t="n">
        <v>0.08890000000000001</v>
      </c>
      <c r="BG122" s="50" t="n">
        <v>0.1579</v>
      </c>
      <c r="BH122" s="50" t="n">
        <v>0.5566</v>
      </c>
      <c r="BI122" s="50" t="n">
        <v>0.4772</v>
      </c>
      <c r="BJ122" s="47" t="n">
        <v>7</v>
      </c>
      <c r="BK122" s="41" t="n">
        <v>85.3</v>
      </c>
      <c r="BL122" s="41" t="n">
        <v>77.09999999999999</v>
      </c>
      <c r="BM122" s="41" t="n">
        <v>81.66379999999999</v>
      </c>
      <c r="BN122" s="50" t="n">
        <v>0.9255</v>
      </c>
      <c r="BO122" s="44">
        <f>IF(M122=N122,0.5,(J122-N122)/(M122-N122))</f>
        <v/>
      </c>
      <c r="BP122" s="51" t="n">
        <v>6.16</v>
      </c>
      <c r="BQ122" s="51" t="n">
        <v>1.119</v>
      </c>
      <c r="BR122" s="52">
        <f>100*(0.4*MIN(1,MAX(0,((U122*100)-(0.0))/((2.5)-(0.0))))+0.3*MIN(1,MAX(0,((V122)-(0.6))/((1.0)-(0.6))))+0.3*MIN(1,MAX(0,((BP122)-(0.0))/((15.0)-(0.0)))))</f>
        <v/>
      </c>
      <c r="BS122" s="52">
        <f>100*(0.4*MIN(1,MAX(0,((MIN(ABS(AA122),ABS(AB122)))-(0.75))/((0.0)-(0.75))))+0.3*MIN(1,MAX(0,((BN122)-(1.2))/((0.6)-(1.2))))+0.3*BO122)</f>
        <v/>
      </c>
      <c r="BT122" s="52">
        <f>100*(0.5*MIN(1,MAX(0,((AK122)-(1.0))/((4.0)-(1.0))))+0.3*MIN(1,MAX(0,((IF(ISNUMBER(AO122),AO122,0)*100)-(0.0))/((8.0)-(0.0))))+0.2*MIN(1,MAX(0,((IF(ISNUMBER(AP122),AP122,0))-(25.0))/((5.0)-(25.0)))))</f>
        <v/>
      </c>
      <c r="BU122" s="52">
        <f>100*(0.35*MIN(1,MAX(0,((ABS(BF122))-(0.3))/((0.05)-(0.3))))+0.3*MIN(1,MAX(0,((BG122)-(0.0))/((0.3)-(0.0))))+0.25*MIN(1,MAX(0,((BH122)-(0.4))/((0.7)-(0.4))))+0.1*IF(BJ122&gt;=2,1,0.5))</f>
        <v/>
      </c>
      <c r="BV122" s="53">
        <f>0.25*BR122+0.25*BS122+0.2*BT122+0.3*BU122</f>
        <v/>
      </c>
      <c r="BW122" s="38" t="inlineStr">
        <is>
          <t>C5 MACD慢線向上</t>
        </is>
      </c>
      <c r="BX122" s="38" t="inlineStr"/>
    </row>
    <row r="123">
      <c r="A123" s="38" t="n">
        <v>3</v>
      </c>
      <c r="B123" s="38" t="n">
        <v>61</v>
      </c>
      <c r="C123" s="39" t="inlineStr">
        <is>
          <t>ITGR</t>
        </is>
      </c>
      <c r="D123" s="38" t="inlineStr">
        <is>
          <t>Integer Holdings Corporation</t>
        </is>
      </c>
      <c r="E123" s="38" t="inlineStr">
        <is>
          <t>NYSE</t>
        </is>
      </c>
      <c r="F123" s="38" t="inlineStr">
        <is>
          <t>醫療保健</t>
        </is>
      </c>
      <c r="G123" s="38" t="inlineStr">
        <is>
          <t>Biotechnology: Electromedical &amp; Electrotherapeutic Apparatus</t>
        </is>
      </c>
      <c r="H123" s="40" t="n">
        <v>4.295</v>
      </c>
      <c r="I123" s="38" t="inlineStr">
        <is>
          <t>中型</t>
        </is>
      </c>
      <c r="J123" s="41" t="n">
        <v>126.45</v>
      </c>
      <c r="K123" s="41" t="n">
        <v>126.42</v>
      </c>
      <c r="L123" s="42">
        <f>J123/K123-1</f>
        <v/>
      </c>
      <c r="M123" s="41" t="n">
        <v>126.54</v>
      </c>
      <c r="N123" s="41" t="n">
        <v>126.44</v>
      </c>
      <c r="O123" s="43" t="n">
        <v>471800</v>
      </c>
      <c r="P123" s="43" t="n">
        <v>808710</v>
      </c>
      <c r="Q123" s="44">
        <f>O123/P123</f>
        <v/>
      </c>
      <c r="R123" s="41" t="n">
        <v>126.3423</v>
      </c>
      <c r="S123" s="41" t="n">
        <v>125.7532</v>
      </c>
      <c r="T123" s="41" t="n">
        <v>125.364</v>
      </c>
      <c r="U123" s="42">
        <f>S123/T123-1</f>
        <v/>
      </c>
      <c r="V123" s="45" t="n">
        <v>1</v>
      </c>
      <c r="W123" s="42">
        <f>J123/R123-1</f>
        <v/>
      </c>
      <c r="X123" s="42">
        <f>J123/S123-1</f>
        <v/>
      </c>
      <c r="Y123" s="41" t="n">
        <v>0.4145</v>
      </c>
      <c r="Z123" s="46">
        <f>Y123/J123</f>
        <v/>
      </c>
      <c r="AA123" s="44">
        <f>(J123-R123)/Y123</f>
        <v/>
      </c>
      <c r="AB123" s="44">
        <f>(J123-S123)/Y123</f>
        <v/>
      </c>
      <c r="AC123" s="38">
        <f>IF(ABS(AA123)&lt;=ABS(AB123),"9EMA","21EMA")</f>
        <v/>
      </c>
      <c r="AD123" s="38" t="inlineStr">
        <is>
          <t>9EMA</t>
        </is>
      </c>
      <c r="AE123" s="38" t="inlineStr">
        <is>
          <t>持續在上方</t>
        </is>
      </c>
      <c r="AF123" s="38" t="inlineStr"/>
      <c r="AG123" s="38" t="inlineStr"/>
      <c r="AH123" s="38" t="inlineStr">
        <is>
          <t>✓</t>
        </is>
      </c>
      <c r="AI123" s="38" t="inlineStr">
        <is>
          <t>2026-05-13</t>
        </is>
      </c>
      <c r="AJ123" s="38" t="n">
        <v>98</v>
      </c>
      <c r="AK123" s="47" t="n">
        <v>4</v>
      </c>
      <c r="AL123" s="38" t="inlineStr">
        <is>
          <t>2026-09-24</t>
        </is>
      </c>
      <c r="AM123" s="41" t="n">
        <v>126.16</v>
      </c>
      <c r="AN123" s="41" t="n">
        <v>124.84</v>
      </c>
      <c r="AO123" s="42">
        <f>IF(ISNUMBER(AN123),AM123/AN123-1,"")</f>
        <v/>
      </c>
      <c r="AP123" s="47" t="n">
        <v>6</v>
      </c>
      <c r="AQ123" s="42">
        <f>IF(ISNUMBER(AM123),J123/AM123-1,"")</f>
        <v/>
      </c>
      <c r="AR123" s="41" t="n">
        <v>126.45</v>
      </c>
      <c r="AS123" s="42">
        <f>J123/AR123-1</f>
        <v/>
      </c>
      <c r="AT123" s="48" t="n">
        <v>1.1393</v>
      </c>
      <c r="AU123" s="48" t="n">
        <v>1.5504</v>
      </c>
      <c r="AV123" s="48" t="n">
        <v>1.6532</v>
      </c>
      <c r="AW123" s="49">
        <f>AU123-AV123</f>
        <v/>
      </c>
      <c r="AX123" s="48" t="n">
        <v>-0.4111</v>
      </c>
      <c r="AY123" s="48" t="n">
        <v>-0.4395</v>
      </c>
      <c r="AZ123" s="48" t="n">
        <v>-0.469</v>
      </c>
      <c r="BA123" s="38" t="inlineStr">
        <is>
          <t>淺紅</t>
        </is>
      </c>
      <c r="BB123" s="38" t="inlineStr">
        <is>
          <t>—</t>
        </is>
      </c>
      <c r="BC123" s="38" t="inlineStr">
        <is>
          <t>—</t>
        </is>
      </c>
      <c r="BD123" s="38" t="inlineStr">
        <is>
          <t>淺紅 淺紅 淺紅 淺紅 淺紅 淺紅 淺紅 淺紅</t>
        </is>
      </c>
      <c r="BE123" s="38" t="inlineStr">
        <is>
          <t>上升三角（平頂）</t>
        </is>
      </c>
      <c r="BF123" s="50" t="n">
        <v>-0.0257</v>
      </c>
      <c r="BG123" s="50" t="n">
        <v>0.0369</v>
      </c>
      <c r="BH123" s="50" t="n">
        <v>0.5524</v>
      </c>
      <c r="BI123" s="50" t="n">
        <v>0.6778</v>
      </c>
      <c r="BJ123" s="47" t="n">
        <v>25</v>
      </c>
      <c r="BK123" s="41" t="n">
        <v>126.8</v>
      </c>
      <c r="BL123" s="41" t="n">
        <v>125.23</v>
      </c>
      <c r="BM123" s="41" t="n">
        <v>126.0972</v>
      </c>
      <c r="BN123" s="50" t="n">
        <v>1.1548</v>
      </c>
      <c r="BO123" s="44">
        <f>IF(M123=N123,0.5,(J123-N123)/(M123-N123))</f>
        <v/>
      </c>
      <c r="BP123" s="51" t="n">
        <v>5.951</v>
      </c>
      <c r="BQ123" s="51" t="n">
        <v>0.91</v>
      </c>
      <c r="BR123" s="52">
        <f>100*(0.4*MIN(1,MAX(0,((U123*100)-(0.0))/((2.5)-(0.0))))+0.3*MIN(1,MAX(0,((V123)-(0.6))/((1.0)-(0.6))))+0.3*MIN(1,MAX(0,((BP123)-(0.0))/((15.0)-(0.0)))))</f>
        <v/>
      </c>
      <c r="BS123" s="52">
        <f>100*(0.4*MIN(1,MAX(0,((MIN(ABS(AA123),ABS(AB123)))-(0.75))/((0.0)-(0.75))))+0.3*MIN(1,MAX(0,((BN123)-(1.2))/((0.6)-(1.2))))+0.3*BO123)</f>
        <v/>
      </c>
      <c r="BT123" s="52">
        <f>100*(0.5*MIN(1,MAX(0,((AK123)-(1.0))/((4.0)-(1.0))))+0.3*MIN(1,MAX(0,((IF(ISNUMBER(AO123),AO123,0)*100)-(0.0))/((8.0)-(0.0))))+0.2*MIN(1,MAX(0,((IF(ISNUMBER(AP123),AP123,0))-(25.0))/((5.0)-(25.0)))))</f>
        <v/>
      </c>
      <c r="BU123" s="52">
        <f>100*(0.35*MIN(1,MAX(0,((ABS(BF123))-(0.3))/((0.05)-(0.3))))+0.3*MIN(1,MAX(0,((BG123)-(0.0))/((0.3)-(0.0))))+0.25*MIN(1,MAX(0,((BH123)-(0.4))/((0.7)-(0.4))))+0.1*IF(BJ123&gt;=2,1,0.5))</f>
        <v/>
      </c>
      <c r="BV123" s="53">
        <f>0.25*BR123+0.25*BS123+0.2*BT123+0.3*BU123</f>
        <v/>
      </c>
      <c r="BW123" s="38" t="inlineStr">
        <is>
          <t>C5 MACD慢線向上、C6 MACD柱轉勢</t>
        </is>
      </c>
      <c r="BX123" s="38" t="inlineStr"/>
    </row>
    <row r="124">
      <c r="A124" s="38" t="n">
        <v>3</v>
      </c>
      <c r="B124" s="38" t="n">
        <v>62</v>
      </c>
      <c r="C124" s="39" t="inlineStr">
        <is>
          <t>ATKR</t>
        </is>
      </c>
      <c r="D124" s="38" t="inlineStr">
        <is>
          <t>Atkore Inc.</t>
        </is>
      </c>
      <c r="E124" s="38" t="inlineStr">
        <is>
          <t>NYSE</t>
        </is>
      </c>
      <c r="F124" s="38" t="inlineStr">
        <is>
          <t>其他</t>
        </is>
      </c>
      <c r="G124" s="38" t="inlineStr">
        <is>
          <t>Industrial Machinery/Components</t>
        </is>
      </c>
      <c r="H124" s="40" t="n">
        <v>3.2</v>
      </c>
      <c r="I124" s="38" t="inlineStr">
        <is>
          <t>中型</t>
        </is>
      </c>
      <c r="J124" s="41" t="n">
        <v>94.62</v>
      </c>
      <c r="K124" s="41" t="n">
        <v>94.77</v>
      </c>
      <c r="L124" s="42">
        <f>J124/K124-1</f>
        <v/>
      </c>
      <c r="M124" s="41" t="n">
        <v>94.88</v>
      </c>
      <c r="N124" s="41" t="n">
        <v>94.62</v>
      </c>
      <c r="O124" s="43" t="n">
        <v>1346600</v>
      </c>
      <c r="P124" s="43" t="n">
        <v>804095</v>
      </c>
      <c r="Q124" s="44">
        <f>O124/P124</f>
        <v/>
      </c>
      <c r="R124" s="41" t="n">
        <v>94.6086</v>
      </c>
      <c r="S124" s="41" t="n">
        <v>94.0943</v>
      </c>
      <c r="T124" s="41" t="n">
        <v>93.7276</v>
      </c>
      <c r="U124" s="42">
        <f>S124/T124-1</f>
        <v/>
      </c>
      <c r="V124" s="45" t="n">
        <v>1</v>
      </c>
      <c r="W124" s="42">
        <f>J124/R124-1</f>
        <v/>
      </c>
      <c r="X124" s="42">
        <f>J124/S124-1</f>
        <v/>
      </c>
      <c r="Y124" s="41" t="n">
        <v>0.3796</v>
      </c>
      <c r="Z124" s="46">
        <f>Y124/J124</f>
        <v/>
      </c>
      <c r="AA124" s="44">
        <f>(J124-R124)/Y124</f>
        <v/>
      </c>
      <c r="AB124" s="44">
        <f>(J124-S124)/Y124</f>
        <v/>
      </c>
      <c r="AC124" s="38">
        <f>IF(ABS(AA124)&lt;=ABS(AB124),"9EMA","21EMA")</f>
        <v/>
      </c>
      <c r="AD124" s="38" t="inlineStr">
        <is>
          <t>9EMA</t>
        </is>
      </c>
      <c r="AE124" s="38" t="inlineStr">
        <is>
          <t>持續在上方</t>
        </is>
      </c>
      <c r="AF124" s="38" t="inlineStr"/>
      <c r="AG124" s="38" t="inlineStr"/>
      <c r="AH124" s="38" t="inlineStr">
        <is>
          <t>✓</t>
        </is>
      </c>
      <c r="AI124" s="38" t="inlineStr">
        <is>
          <t>2026-08-03</t>
        </is>
      </c>
      <c r="AJ124" s="38" t="n">
        <v>43</v>
      </c>
      <c r="AK124" s="47" t="n">
        <v>4</v>
      </c>
      <c r="AL124" s="38" t="inlineStr">
        <is>
          <t>2026-08-28</t>
        </is>
      </c>
      <c r="AM124" s="41" t="n">
        <v>93.5</v>
      </c>
      <c r="AN124" s="41" t="n">
        <v>93.315</v>
      </c>
      <c r="AO124" s="42">
        <f>IF(ISNUMBER(AN124),AM124/AN124-1,"")</f>
        <v/>
      </c>
      <c r="AP124" s="47" t="n">
        <v>24</v>
      </c>
      <c r="AQ124" s="42">
        <f>IF(ISNUMBER(AM124),J124/AM124-1,"")</f>
        <v/>
      </c>
      <c r="AR124" s="41" t="n">
        <v>94.77</v>
      </c>
      <c r="AS124" s="42">
        <f>J124/AR124-1</f>
        <v/>
      </c>
      <c r="AT124" s="48" t="n">
        <v>0.8845</v>
      </c>
      <c r="AU124" s="48" t="n">
        <v>1.1536</v>
      </c>
      <c r="AV124" s="48" t="n">
        <v>1.2208</v>
      </c>
      <c r="AW124" s="49">
        <f>AU124-AV124</f>
        <v/>
      </c>
      <c r="AX124" s="48" t="n">
        <v>-0.2691</v>
      </c>
      <c r="AY124" s="48" t="n">
        <v>-0.2736</v>
      </c>
      <c r="AZ124" s="48" t="n">
        <v>-0.2909</v>
      </c>
      <c r="BA124" s="38" t="inlineStr">
        <is>
          <t>淺紅</t>
        </is>
      </c>
      <c r="BB124" s="38" t="inlineStr">
        <is>
          <t>—</t>
        </is>
      </c>
      <c r="BC124" s="38" t="inlineStr">
        <is>
          <t>—</t>
        </is>
      </c>
      <c r="BD124" s="38" t="inlineStr">
        <is>
          <t>淺紅 淺紅 淺紅 淺紅 淺紅 淺紅 淺紅 淺紅</t>
        </is>
      </c>
      <c r="BE124" s="38" t="inlineStr">
        <is>
          <t>上升三角（平頂）</t>
        </is>
      </c>
      <c r="BF124" s="50" t="n">
        <v>0.0516</v>
      </c>
      <c r="BG124" s="50" t="n">
        <v>0.0587</v>
      </c>
      <c r="BH124" s="50" t="n">
        <v>0.5489000000000001</v>
      </c>
      <c r="BI124" s="50" t="n">
        <v>0.5799</v>
      </c>
      <c r="BJ124" s="47" t="n">
        <v>25</v>
      </c>
      <c r="BK124" s="41" t="n">
        <v>94.88</v>
      </c>
      <c r="BL124" s="41" t="n">
        <v>93.5</v>
      </c>
      <c r="BM124" s="41" t="n">
        <v>94.25749999999999</v>
      </c>
      <c r="BN124" s="50" t="n">
        <v>1.839</v>
      </c>
      <c r="BO124" s="44">
        <f>IF(M124=N124,0.5,(J124-N124)/(M124-N124))</f>
        <v/>
      </c>
      <c r="BP124" s="51" t="n">
        <v>6.185</v>
      </c>
      <c r="BQ124" s="51" t="n">
        <v>1.144</v>
      </c>
      <c r="BR124" s="52">
        <f>100*(0.4*MIN(1,MAX(0,((U124*100)-(0.0))/((2.5)-(0.0))))+0.3*MIN(1,MAX(0,((V124)-(0.6))/((1.0)-(0.6))))+0.3*MIN(1,MAX(0,((BP124)-(0.0))/((15.0)-(0.0)))))</f>
        <v/>
      </c>
      <c r="BS124" s="52">
        <f>100*(0.4*MIN(1,MAX(0,((MIN(ABS(AA124),ABS(AB124)))-(0.75))/((0.0)-(0.75))))+0.3*MIN(1,MAX(0,((BN124)-(1.2))/((0.6)-(1.2))))+0.3*BO124)</f>
        <v/>
      </c>
      <c r="BT124" s="52">
        <f>100*(0.5*MIN(1,MAX(0,((AK124)-(1.0))/((4.0)-(1.0))))+0.3*MIN(1,MAX(0,((IF(ISNUMBER(AO124),AO124,0)*100)-(0.0))/((8.0)-(0.0))))+0.2*MIN(1,MAX(0,((IF(ISNUMBER(AP124),AP124,0))-(25.0))/((5.0)-(25.0)))))</f>
        <v/>
      </c>
      <c r="BU124" s="52">
        <f>100*(0.35*MIN(1,MAX(0,((ABS(BF124))-(0.3))/((0.05)-(0.3))))+0.3*MIN(1,MAX(0,((BG124)-(0.0))/((0.3)-(0.0))))+0.25*MIN(1,MAX(0,((BH124)-(0.4))/((0.7)-(0.4))))+0.1*IF(BJ124&gt;=2,1,0.5))</f>
        <v/>
      </c>
      <c r="BV124" s="53">
        <f>0.25*BR124+0.25*BS124+0.2*BT124+0.3*BU124</f>
        <v/>
      </c>
      <c r="BW124" s="38" t="inlineStr">
        <is>
          <t>C5 MACD慢線向上、C6 MACD柱轉勢</t>
        </is>
      </c>
      <c r="BX124" s="38" t="inlineStr"/>
    </row>
    <row r="125">
      <c r="A125" s="38" t="n">
        <v>3</v>
      </c>
      <c r="B125" s="38" t="n">
        <v>63</v>
      </c>
      <c r="C125" s="39" t="inlineStr">
        <is>
          <t>AMG</t>
        </is>
      </c>
      <c r="D125" s="38" t="inlineStr">
        <is>
          <t>Affiliated Managers Group Inc.</t>
        </is>
      </c>
      <c r="E125" s="38" t="inlineStr">
        <is>
          <t>NYSE</t>
        </is>
      </c>
      <c r="F125" s="38" t="inlineStr">
        <is>
          <t>金融</t>
        </is>
      </c>
      <c r="G125" s="38" t="inlineStr">
        <is>
          <t>Investment Managers</t>
        </is>
      </c>
      <c r="H125" s="40" t="n">
        <v>9.455</v>
      </c>
      <c r="I125" s="38" t="inlineStr">
        <is>
          <t>中型</t>
        </is>
      </c>
      <c r="J125" s="41" t="n">
        <v>371.43</v>
      </c>
      <c r="K125" s="41" t="n">
        <v>371.95</v>
      </c>
      <c r="L125" s="42">
        <f>J125/K125-1</f>
        <v/>
      </c>
      <c r="M125" s="41" t="n">
        <v>379.86</v>
      </c>
      <c r="N125" s="41" t="n">
        <v>371.4</v>
      </c>
      <c r="O125" s="43" t="n">
        <v>219400</v>
      </c>
      <c r="P125" s="43" t="n">
        <v>285420</v>
      </c>
      <c r="Q125" s="44">
        <f>O125/P125</f>
        <v/>
      </c>
      <c r="R125" s="41" t="n">
        <v>367.8364</v>
      </c>
      <c r="S125" s="41" t="n">
        <v>364.5232</v>
      </c>
      <c r="T125" s="41" t="n">
        <v>361.3617</v>
      </c>
      <c r="U125" s="42">
        <f>S125/T125-1</f>
        <v/>
      </c>
      <c r="V125" s="45" t="n">
        <v>1</v>
      </c>
      <c r="W125" s="42">
        <f>J125/R125-1</f>
        <v/>
      </c>
      <c r="X125" s="42">
        <f>J125/S125-1</f>
        <v/>
      </c>
      <c r="Y125" s="41" t="n">
        <v>10.7985</v>
      </c>
      <c r="Z125" s="46">
        <f>Y125/J125</f>
        <v/>
      </c>
      <c r="AA125" s="44">
        <f>(J125-R125)/Y125</f>
        <v/>
      </c>
      <c r="AB125" s="44">
        <f>(J125-S125)/Y125</f>
        <v/>
      </c>
      <c r="AC125" s="38">
        <f>IF(ABS(AA125)&lt;=ABS(AB125),"9EMA","21EMA")</f>
        <v/>
      </c>
      <c r="AD125" s="38" t="inlineStr">
        <is>
          <t>9+21EMA</t>
        </is>
      </c>
      <c r="AE125" s="38" t="inlineStr">
        <is>
          <t>持續在上方</t>
        </is>
      </c>
      <c r="AF125" s="38" t="inlineStr"/>
      <c r="AG125" s="38" t="inlineStr"/>
      <c r="AH125" s="38" t="inlineStr">
        <is>
          <t>✓</t>
        </is>
      </c>
      <c r="AI125" s="38" t="inlineStr">
        <is>
          <t>2026-09-24</t>
        </is>
      </c>
      <c r="AJ125" s="38" t="n">
        <v>6</v>
      </c>
      <c r="AK125" s="47" t="n">
        <v>2</v>
      </c>
      <c r="AL125" s="38" t="inlineStr">
        <is>
          <t>2026-09-28</t>
        </is>
      </c>
      <c r="AM125" s="41" t="n">
        <v>356.18</v>
      </c>
      <c r="AN125" s="41" t="n">
        <v>339.87</v>
      </c>
      <c r="AO125" s="42">
        <f>IF(ISNUMBER(AN125),AM125/AN125-1,"")</f>
        <v/>
      </c>
      <c r="AP125" s="47" t="n">
        <v>4</v>
      </c>
      <c r="AQ125" s="42">
        <f>IF(ISNUMBER(AM125),J125/AM125-1,"")</f>
        <v/>
      </c>
      <c r="AR125" s="41" t="n">
        <v>373.69</v>
      </c>
      <c r="AS125" s="42">
        <f>J125/AR125-1</f>
        <v/>
      </c>
      <c r="AT125" s="48" t="n">
        <v>2.6779</v>
      </c>
      <c r="AU125" s="48" t="n">
        <v>1.1881</v>
      </c>
      <c r="AV125" s="48" t="n">
        <v>0.8156</v>
      </c>
      <c r="AW125" s="49">
        <f>AU125-AV125</f>
        <v/>
      </c>
      <c r="AX125" s="48" t="n">
        <v>1.4899</v>
      </c>
      <c r="AY125" s="48" t="n">
        <v>1.5832</v>
      </c>
      <c r="AZ125" s="48" t="n">
        <v>1.5348</v>
      </c>
      <c r="BA125" s="38" t="inlineStr">
        <is>
          <t>淺綠</t>
        </is>
      </c>
      <c r="BB125" s="38" t="inlineStr">
        <is>
          <t>—</t>
        </is>
      </c>
      <c r="BC125" s="38" t="inlineStr">
        <is>
          <t>—</t>
        </is>
      </c>
      <c r="BD125" s="38" t="inlineStr">
        <is>
          <t>深綠 深綠 深綠 淺綠 淺綠 淺綠 深綠 淺綠</t>
        </is>
      </c>
      <c r="BE125" s="38" t="inlineStr">
        <is>
          <t>上升三角（平頂）</t>
        </is>
      </c>
      <c r="BF125" s="50" t="n">
        <v>0.0327</v>
      </c>
      <c r="BG125" s="50" t="n">
        <v>0.0133</v>
      </c>
      <c r="BH125" s="50" t="n">
        <v>0.5499000000000001</v>
      </c>
      <c r="BI125" s="50" t="n">
        <v>0.6167</v>
      </c>
      <c r="BJ125" s="47" t="n">
        <v>6</v>
      </c>
      <c r="BK125" s="41" t="n">
        <v>379.86</v>
      </c>
      <c r="BL125" s="41" t="n">
        <v>339.87</v>
      </c>
      <c r="BM125" s="41" t="n">
        <v>361.8591</v>
      </c>
      <c r="BN125" s="50" t="n">
        <v>1.3237</v>
      </c>
      <c r="BO125" s="44">
        <f>IF(M125=N125,0.5,(J125-N125)/(M125-N125))</f>
        <v/>
      </c>
      <c r="BP125" s="51" t="n">
        <v>9.238</v>
      </c>
      <c r="BQ125" s="51" t="n">
        <v>4.197</v>
      </c>
      <c r="BR125" s="52">
        <f>100*(0.4*MIN(1,MAX(0,((U125*100)-(0.0))/((2.5)-(0.0))))+0.3*MIN(1,MAX(0,((V125)-(0.6))/((1.0)-(0.6))))+0.3*MIN(1,MAX(0,((BP125)-(0.0))/((15.0)-(0.0)))))</f>
        <v/>
      </c>
      <c r="BS125" s="52">
        <f>100*(0.4*MIN(1,MAX(0,((MIN(ABS(AA125),ABS(AB125)))-(0.75))/((0.0)-(0.75))))+0.3*MIN(1,MAX(0,((BN125)-(1.2))/((0.6)-(1.2))))+0.3*BO125)</f>
        <v/>
      </c>
      <c r="BT125" s="52">
        <f>100*(0.5*MIN(1,MAX(0,((AK125)-(1.0))/((4.0)-(1.0))))+0.3*MIN(1,MAX(0,((IF(ISNUMBER(AO125),AO125,0)*100)-(0.0))/((8.0)-(0.0))))+0.2*MIN(1,MAX(0,((IF(ISNUMBER(AP125),AP125,0))-(25.0))/((5.0)-(25.0)))))</f>
        <v/>
      </c>
      <c r="BU125" s="52">
        <f>100*(0.35*MIN(1,MAX(0,((ABS(BF125))-(0.3))/((0.05)-(0.3))))+0.3*MIN(1,MAX(0,((BG125)-(0.0))/((0.3)-(0.0))))+0.25*MIN(1,MAX(0,((BH125)-(0.4))/((0.7)-(0.4))))+0.1*IF(BJ125&gt;=2,1,0.5))</f>
        <v/>
      </c>
      <c r="BV125" s="53">
        <f>0.25*BR125+0.25*BS125+0.2*BT125+0.3*BU125</f>
        <v/>
      </c>
      <c r="BW125" s="38" t="inlineStr">
        <is>
          <t>C6 MACD柱轉勢</t>
        </is>
      </c>
      <c r="BX125" s="38" t="inlineStr"/>
    </row>
    <row r="126">
      <c r="A126" s="38" t="n">
        <v>3</v>
      </c>
      <c r="B126" s="38" t="n">
        <v>64</v>
      </c>
      <c r="C126" s="39" t="inlineStr">
        <is>
          <t>RBKB</t>
        </is>
      </c>
      <c r="D126" s="38" t="inlineStr">
        <is>
          <t>Rhinebeck Bancorp Inc.</t>
        </is>
      </c>
      <c r="E126" s="38" t="inlineStr">
        <is>
          <t>NASDAQ</t>
        </is>
      </c>
      <c r="F126" s="38" t="inlineStr">
        <is>
          <t>金融</t>
        </is>
      </c>
      <c r="G126" s="38" t="inlineStr">
        <is>
          <t>Banks</t>
        </is>
      </c>
      <c r="H126" s="40" t="n">
        <v>0.198</v>
      </c>
      <c r="I126" s="38" t="inlineStr">
        <is>
          <t>小型</t>
        </is>
      </c>
      <c r="J126" s="41" t="n">
        <v>13.15</v>
      </c>
      <c r="K126" s="41" t="n">
        <v>12.92</v>
      </c>
      <c r="L126" s="42">
        <f>J126/K126-1</f>
        <v/>
      </c>
      <c r="M126" s="41" t="n">
        <v>13.16</v>
      </c>
      <c r="N126" s="41" t="n">
        <v>12.97</v>
      </c>
      <c r="O126" s="43" t="n">
        <v>104500</v>
      </c>
      <c r="P126" s="43" t="n">
        <v>156225</v>
      </c>
      <c r="Q126" s="44">
        <f>O126/P126</f>
        <v/>
      </c>
      <c r="R126" s="41" t="n">
        <v>12.8962</v>
      </c>
      <c r="S126" s="41" t="n">
        <v>12.8487</v>
      </c>
      <c r="T126" s="41" t="n">
        <v>12.8355</v>
      </c>
      <c r="U126" s="42">
        <f>S126/T126-1</f>
        <v/>
      </c>
      <c r="V126" s="45" t="n">
        <v>0.5</v>
      </c>
      <c r="W126" s="42">
        <f>J126/R126-1</f>
        <v/>
      </c>
      <c r="X126" s="42">
        <f>J126/S126-1</f>
        <v/>
      </c>
      <c r="Y126" s="41" t="n">
        <v>0.2263</v>
      </c>
      <c r="Z126" s="46">
        <f>Y126/J126</f>
        <v/>
      </c>
      <c r="AA126" s="44">
        <f>(J126-R126)/Y126</f>
        <v/>
      </c>
      <c r="AB126" s="44">
        <f>(J126-S126)/Y126</f>
        <v/>
      </c>
      <c r="AC126" s="38">
        <f>IF(ABS(AA126)&lt;=ABS(AB126),"9EMA","21EMA")</f>
        <v/>
      </c>
      <c r="AD126" s="38" t="inlineStr">
        <is>
          <t>9+21EMA</t>
        </is>
      </c>
      <c r="AE126" s="38" t="inlineStr">
        <is>
          <t>持續在上方</t>
        </is>
      </c>
      <c r="AF126" s="38" t="inlineStr"/>
      <c r="AG126" s="38" t="inlineStr"/>
      <c r="AH126" s="38" t="inlineStr">
        <is>
          <t>✓</t>
        </is>
      </c>
      <c r="AI126" s="38" t="inlineStr">
        <is>
          <t>2026-08-06</t>
        </is>
      </c>
      <c r="AJ126" s="38" t="n">
        <v>40</v>
      </c>
      <c r="AK126" s="47" t="n">
        <v>4</v>
      </c>
      <c r="AL126" s="38" t="inlineStr">
        <is>
          <t>2026-09-15</t>
        </is>
      </c>
      <c r="AM126" s="41" t="n">
        <v>12.65</v>
      </c>
      <c r="AN126" s="41" t="n">
        <v>12.5</v>
      </c>
      <c r="AO126" s="42">
        <f>IF(ISNUMBER(AN126),AM126/AN126-1,"")</f>
        <v/>
      </c>
      <c r="AP126" s="47" t="n">
        <v>13</v>
      </c>
      <c r="AQ126" s="42">
        <f>IF(ISNUMBER(AM126),J126/AM126-1,"")</f>
        <v/>
      </c>
      <c r="AR126" s="41" t="n">
        <v>13.15</v>
      </c>
      <c r="AS126" s="42">
        <f>J126/AR126-1</f>
        <v/>
      </c>
      <c r="AT126" s="48" t="n">
        <v>0.0623</v>
      </c>
      <c r="AU126" s="48" t="n">
        <v>0.0674</v>
      </c>
      <c r="AV126" s="48" t="n">
        <v>0.06859999999999999</v>
      </c>
      <c r="AW126" s="49">
        <f>AU126-AV126</f>
        <v/>
      </c>
      <c r="AX126" s="48" t="n">
        <v>-0.005</v>
      </c>
      <c r="AY126" s="48" t="n">
        <v>-0.0283</v>
      </c>
      <c r="AZ126" s="48" t="n">
        <v>-0.0406</v>
      </c>
      <c r="BA126" s="38" t="inlineStr">
        <is>
          <t>淺紅</t>
        </is>
      </c>
      <c r="BB126" s="38" t="inlineStr">
        <is>
          <t>深紅→淺紅</t>
        </is>
      </c>
      <c r="BC126" s="38" t="n">
        <v>1</v>
      </c>
      <c r="BD126" s="38" t="inlineStr">
        <is>
          <t>深紅 深紅 深紅 深紅 深紅 深紅 淺紅 淺紅</t>
        </is>
      </c>
      <c r="BE126" s="38" t="inlineStr">
        <is>
          <t>上升三角（平頂）</t>
        </is>
      </c>
      <c r="BF126" s="50" t="n">
        <v>-0.0266</v>
      </c>
      <c r="BG126" s="50" t="n">
        <v>0.0612</v>
      </c>
      <c r="BH126" s="50" t="n">
        <v>0.5345</v>
      </c>
      <c r="BI126" s="50" t="n">
        <v>0.5523</v>
      </c>
      <c r="BJ126" s="47" t="n">
        <v>10</v>
      </c>
      <c r="BK126" s="41" t="n">
        <v>13.23</v>
      </c>
      <c r="BL126" s="41" t="n">
        <v>12.51</v>
      </c>
      <c r="BM126" s="41" t="n">
        <v>12.8948</v>
      </c>
      <c r="BN126" s="50" t="n">
        <v>0.7756999999999999</v>
      </c>
      <c r="BO126" s="44">
        <f>IF(M126=N126,0.5,(J126-N126)/(M126-N126))</f>
        <v/>
      </c>
      <c r="BP126" s="51" t="n">
        <v>8.829000000000001</v>
      </c>
      <c r="BQ126" s="51" t="n">
        <v>3.788</v>
      </c>
      <c r="BR126" s="52">
        <f>100*(0.4*MIN(1,MAX(0,((U126*100)-(0.0))/((2.5)-(0.0))))+0.3*MIN(1,MAX(0,((V126)-(0.6))/((1.0)-(0.6))))+0.3*MIN(1,MAX(0,((BP126)-(0.0))/((15.0)-(0.0)))))</f>
        <v/>
      </c>
      <c r="BS126" s="52">
        <f>100*(0.4*MIN(1,MAX(0,((MIN(ABS(AA126),ABS(AB126)))-(0.75))/((0.0)-(0.75))))+0.3*MIN(1,MAX(0,((BN126)-(1.2))/((0.6)-(1.2))))+0.3*BO126)</f>
        <v/>
      </c>
      <c r="BT126" s="52">
        <f>100*(0.5*MIN(1,MAX(0,((AK126)-(1.0))/((4.0)-(1.0))))+0.3*MIN(1,MAX(0,((IF(ISNUMBER(AO126),AO126,0)*100)-(0.0))/((8.0)-(0.0))))+0.2*MIN(1,MAX(0,((IF(ISNUMBER(AP126),AP126,0))-(25.0))/((5.0)-(25.0)))))</f>
        <v/>
      </c>
      <c r="BU126" s="52">
        <f>100*(0.35*MIN(1,MAX(0,((ABS(BF126))-(0.3))/((0.05)-(0.3))))+0.3*MIN(1,MAX(0,((BG126)-(0.0))/((0.3)-(0.0))))+0.25*MIN(1,MAX(0,((BH126)-(0.4))/((0.7)-(0.4))))+0.1*IF(BJ126&gt;=2,1,0.5))</f>
        <v/>
      </c>
      <c r="BV126" s="53">
        <f>0.25*BR126+0.25*BS126+0.2*BT126+0.3*BU126</f>
        <v/>
      </c>
      <c r="BW126" s="38" t="inlineStr">
        <is>
          <t>C5 MACD慢線向上</t>
        </is>
      </c>
      <c r="BX126" s="38" t="inlineStr"/>
    </row>
    <row r="127">
      <c r="A127" s="38" t="n">
        <v>3</v>
      </c>
      <c r="B127" s="38" t="n">
        <v>65</v>
      </c>
      <c r="C127" s="39" t="inlineStr">
        <is>
          <t>PKOH</t>
        </is>
      </c>
      <c r="D127" s="38" t="inlineStr">
        <is>
          <t>Park-Ohio Holdings Corp.</t>
        </is>
      </c>
      <c r="E127" s="38" t="inlineStr">
        <is>
          <t>NASDAQ</t>
        </is>
      </c>
      <c r="F127" s="38" t="inlineStr">
        <is>
          <t>工業</t>
        </is>
      </c>
      <c r="G127" s="38" t="inlineStr">
        <is>
          <t>Industrial Specialties</t>
        </is>
      </c>
      <c r="H127" s="40" t="n">
        <v>0.669</v>
      </c>
      <c r="I127" s="38" t="inlineStr">
        <is>
          <t>小型</t>
        </is>
      </c>
      <c r="J127" s="41" t="n">
        <v>47.37</v>
      </c>
      <c r="K127" s="41" t="n">
        <v>46.54</v>
      </c>
      <c r="L127" s="42">
        <f>J127/K127-1</f>
        <v/>
      </c>
      <c r="M127" s="41" t="n">
        <v>47.9</v>
      </c>
      <c r="N127" s="41" t="n">
        <v>46.9</v>
      </c>
      <c r="O127" s="43" t="n">
        <v>82000</v>
      </c>
      <c r="P127" s="43" t="n">
        <v>69960</v>
      </c>
      <c r="Q127" s="44">
        <f>O127/P127</f>
        <v/>
      </c>
      <c r="R127" s="41" t="n">
        <v>46.8748</v>
      </c>
      <c r="S127" s="41" t="n">
        <v>46.45</v>
      </c>
      <c r="T127" s="41" t="n">
        <v>46.1564</v>
      </c>
      <c r="U127" s="42">
        <f>S127/T127-1</f>
        <v/>
      </c>
      <c r="V127" s="45" t="n">
        <v>0.9</v>
      </c>
      <c r="W127" s="42">
        <f>J127/R127-1</f>
        <v/>
      </c>
      <c r="X127" s="42">
        <f>J127/S127-1</f>
        <v/>
      </c>
      <c r="Y127" s="41" t="n">
        <v>1.6683</v>
      </c>
      <c r="Z127" s="46">
        <f>Y127/J127</f>
        <v/>
      </c>
      <c r="AA127" s="44">
        <f>(J127-R127)/Y127</f>
        <v/>
      </c>
      <c r="AB127" s="44">
        <f>(J127-S127)/Y127</f>
        <v/>
      </c>
      <c r="AC127" s="38">
        <f>IF(ABS(AA127)&lt;=ABS(AB127),"9EMA","21EMA")</f>
        <v/>
      </c>
      <c r="AD127" s="38" t="inlineStr">
        <is>
          <t>9+21EMA</t>
        </is>
      </c>
      <c r="AE127" s="38" t="inlineStr">
        <is>
          <t>持續在上方</t>
        </is>
      </c>
      <c r="AF127" s="38" t="inlineStr"/>
      <c r="AG127" s="38" t="inlineStr"/>
      <c r="AH127" s="38" t="inlineStr">
        <is>
          <t>✓</t>
        </is>
      </c>
      <c r="AI127" s="38" t="inlineStr">
        <is>
          <t>2026-04-09</t>
        </is>
      </c>
      <c r="AJ127" s="38" t="n">
        <v>122</v>
      </c>
      <c r="AK127" s="47" t="n">
        <v>2</v>
      </c>
      <c r="AL127" s="38" t="inlineStr">
        <is>
          <t>2026-09-15</t>
        </is>
      </c>
      <c r="AM127" s="41" t="n">
        <v>44</v>
      </c>
      <c r="AN127" s="41" t="n">
        <v>43.62</v>
      </c>
      <c r="AO127" s="42">
        <f>IF(ISNUMBER(AN127),AM127/AN127-1,"")</f>
        <v/>
      </c>
      <c r="AP127" s="47" t="n">
        <v>13</v>
      </c>
      <c r="AQ127" s="42">
        <f>IF(ISNUMBER(AM127),J127/AM127-1,"")</f>
        <v/>
      </c>
      <c r="AR127" s="41" t="n">
        <v>48.04</v>
      </c>
      <c r="AS127" s="42">
        <f>J127/AR127-1</f>
        <v/>
      </c>
      <c r="AT127" s="48" t="n">
        <v>0.5591</v>
      </c>
      <c r="AU127" s="48" t="n">
        <v>0.6036</v>
      </c>
      <c r="AV127" s="48" t="n">
        <v>0.6147</v>
      </c>
      <c r="AW127" s="49">
        <f>AU127-AV127</f>
        <v/>
      </c>
      <c r="AX127" s="48" t="n">
        <v>-0.0445</v>
      </c>
      <c r="AY127" s="48" t="n">
        <v>-0.07149999999999999</v>
      </c>
      <c r="AZ127" s="48" t="n">
        <v>-0.0329</v>
      </c>
      <c r="BA127" s="38" t="inlineStr">
        <is>
          <t>淺紅</t>
        </is>
      </c>
      <c r="BB127" s="38" t="inlineStr">
        <is>
          <t>深紅→淺紅</t>
        </is>
      </c>
      <c r="BC127" s="38" t="n">
        <v>0</v>
      </c>
      <c r="BD127" s="38" t="inlineStr">
        <is>
          <t>淺紅 深綠 深綠 淺綠 淺綠 深紅 深紅 淺紅</t>
        </is>
      </c>
      <c r="BE127" s="38" t="inlineStr">
        <is>
          <t>上升通道</t>
        </is>
      </c>
      <c r="BF127" s="50" t="n">
        <v>0.1082</v>
      </c>
      <c r="BG127" s="50" t="n">
        <v>0.1146</v>
      </c>
      <c r="BH127" s="50" t="n">
        <v>0.5141</v>
      </c>
      <c r="BI127" s="50" t="n">
        <v>0.5062</v>
      </c>
      <c r="BJ127" s="47" t="n">
        <v>5</v>
      </c>
      <c r="BK127" s="41" t="n">
        <v>48.52</v>
      </c>
      <c r="BL127" s="41" t="n">
        <v>43.62</v>
      </c>
      <c r="BM127" s="41" t="n">
        <v>46.139</v>
      </c>
      <c r="BN127" s="50" t="n">
        <v>1.0239</v>
      </c>
      <c r="BO127" s="44">
        <f>IF(M127=N127,0.5,(J127-N127)/(M127-N127))</f>
        <v/>
      </c>
      <c r="BP127" s="51" t="n">
        <v>11.038</v>
      </c>
      <c r="BQ127" s="51" t="n">
        <v>5.997</v>
      </c>
      <c r="BR127" s="52">
        <f>100*(0.4*MIN(1,MAX(0,((U127*100)-(0.0))/((2.5)-(0.0))))+0.3*MIN(1,MAX(0,((V127)-(0.6))/((1.0)-(0.6))))+0.3*MIN(1,MAX(0,((BP127)-(0.0))/((15.0)-(0.0)))))</f>
        <v/>
      </c>
      <c r="BS127" s="52">
        <f>100*(0.4*MIN(1,MAX(0,((MIN(ABS(AA127),ABS(AB127)))-(0.75))/((0.0)-(0.75))))+0.3*MIN(1,MAX(0,((BN127)-(1.2))/((0.6)-(1.2))))+0.3*BO127)</f>
        <v/>
      </c>
      <c r="BT127" s="52">
        <f>100*(0.5*MIN(1,MAX(0,((AK127)-(1.0))/((4.0)-(1.0))))+0.3*MIN(1,MAX(0,((IF(ISNUMBER(AO127),AO127,0)*100)-(0.0))/((8.0)-(0.0))))+0.2*MIN(1,MAX(0,((IF(ISNUMBER(AP127),AP127,0))-(25.0))/((5.0)-(25.0)))))</f>
        <v/>
      </c>
      <c r="BU127" s="52">
        <f>100*(0.35*MIN(1,MAX(0,((ABS(BF127))-(0.3))/((0.05)-(0.3))))+0.3*MIN(1,MAX(0,((BG127)-(0.0))/((0.3)-(0.0))))+0.25*MIN(1,MAX(0,((BH127)-(0.4))/((0.7)-(0.4))))+0.1*IF(BJ127&gt;=2,1,0.5))</f>
        <v/>
      </c>
      <c r="BV127" s="53">
        <f>0.25*BR127+0.25*BS127+0.2*BT127+0.3*BU127</f>
        <v/>
      </c>
      <c r="BW127" s="38" t="inlineStr">
        <is>
          <t>C5 MACD慢線向上</t>
        </is>
      </c>
      <c r="BX127" s="38" t="inlineStr"/>
    </row>
    <row r="128">
      <c r="A128" s="38" t="n">
        <v>3</v>
      </c>
      <c r="B128" s="38" t="n">
        <v>66</v>
      </c>
      <c r="C128" s="39" t="inlineStr">
        <is>
          <t>TXNM</t>
        </is>
      </c>
      <c r="D128" s="38" t="inlineStr">
        <is>
          <t>TXNM Energy Inc.</t>
        </is>
      </c>
      <c r="E128" s="38" t="inlineStr">
        <is>
          <t>NYSE</t>
        </is>
      </c>
      <c r="F128" s="38" t="inlineStr">
        <is>
          <t>公用事業</t>
        </is>
      </c>
      <c r="G128" s="38" t="inlineStr">
        <is>
          <t>Electric Utilities: Central</t>
        </is>
      </c>
      <c r="H128" s="40" t="n">
        <v>6.423</v>
      </c>
      <c r="I128" s="38" t="inlineStr">
        <is>
          <t>中型</t>
        </is>
      </c>
      <c r="J128" s="41" t="n">
        <v>58.41</v>
      </c>
      <c r="K128" s="41" t="n">
        <v>58.53</v>
      </c>
      <c r="L128" s="42">
        <f>J128/K128-1</f>
        <v/>
      </c>
      <c r="M128" s="41" t="n">
        <v>58.84</v>
      </c>
      <c r="N128" s="41" t="n">
        <v>58.39</v>
      </c>
      <c r="O128" s="43" t="n">
        <v>2412300</v>
      </c>
      <c r="P128" s="43" t="n">
        <v>1848780</v>
      </c>
      <c r="Q128" s="44">
        <f>O128/P128</f>
        <v/>
      </c>
      <c r="R128" s="41" t="n">
        <v>58.3943</v>
      </c>
      <c r="S128" s="41" t="n">
        <v>58.2394</v>
      </c>
      <c r="T128" s="41" t="n">
        <v>58.1343</v>
      </c>
      <c r="U128" s="42">
        <f>S128/T128-1</f>
        <v/>
      </c>
      <c r="V128" s="45" t="n">
        <v>1</v>
      </c>
      <c r="W128" s="42">
        <f>J128/R128-1</f>
        <v/>
      </c>
      <c r="X128" s="42">
        <f>J128/S128-1</f>
        <v/>
      </c>
      <c r="Y128" s="41" t="n">
        <v>0.3828</v>
      </c>
      <c r="Z128" s="46">
        <f>Y128/J128</f>
        <v/>
      </c>
      <c r="AA128" s="44">
        <f>(J128-R128)/Y128</f>
        <v/>
      </c>
      <c r="AB128" s="44">
        <f>(J128-S128)/Y128</f>
        <v/>
      </c>
      <c r="AC128" s="38">
        <f>IF(ABS(AA128)&lt;=ABS(AB128),"9EMA","21EMA")</f>
        <v/>
      </c>
      <c r="AD128" s="38" t="inlineStr">
        <is>
          <t>9+21EMA</t>
        </is>
      </c>
      <c r="AE128" s="38" t="inlineStr">
        <is>
          <t>持續在上方</t>
        </is>
      </c>
      <c r="AF128" s="38" t="inlineStr"/>
      <c r="AG128" s="38" t="inlineStr"/>
      <c r="AH128" s="38" t="inlineStr">
        <is>
          <t>✓</t>
        </is>
      </c>
      <c r="AI128" s="38" t="inlineStr">
        <is>
          <t>2026-09-01</t>
        </is>
      </c>
      <c r="AJ128" s="38" t="n">
        <v>22</v>
      </c>
      <c r="AK128" s="47" t="n">
        <v>3</v>
      </c>
      <c r="AL128" s="38" t="inlineStr">
        <is>
          <t>2026-09-25</t>
        </is>
      </c>
      <c r="AM128" s="41" t="n">
        <v>58.09</v>
      </c>
      <c r="AN128" s="41" t="n">
        <v>57.61</v>
      </c>
      <c r="AO128" s="42">
        <f>IF(ISNUMBER(AN128),AM128/AN128-1,"")</f>
        <v/>
      </c>
      <c r="AP128" s="47" t="n">
        <v>5</v>
      </c>
      <c r="AQ128" s="42">
        <f>IF(ISNUMBER(AM128),J128/AM128-1,"")</f>
        <v/>
      </c>
      <c r="AR128" s="41" t="n">
        <v>58.63</v>
      </c>
      <c r="AS128" s="42">
        <f>J128/AR128-1</f>
        <v/>
      </c>
      <c r="AT128" s="48" t="n">
        <v>0.1823</v>
      </c>
      <c r="AU128" s="48" t="n">
        <v>0.1938</v>
      </c>
      <c r="AV128" s="48" t="n">
        <v>0.1967</v>
      </c>
      <c r="AW128" s="49">
        <f>AU128-AV128</f>
        <v/>
      </c>
      <c r="AX128" s="48" t="n">
        <v>-0.0115</v>
      </c>
      <c r="AY128" s="48" t="n">
        <v>-0.0049</v>
      </c>
      <c r="AZ128" s="48" t="n">
        <v>-0.0089</v>
      </c>
      <c r="BA128" s="38" t="inlineStr">
        <is>
          <t>深紅</t>
        </is>
      </c>
      <c r="BB128" s="38" t="inlineStr">
        <is>
          <t>—</t>
        </is>
      </c>
      <c r="BC128" s="38" t="inlineStr">
        <is>
          <t>—</t>
        </is>
      </c>
      <c r="BD128" s="38" t="inlineStr">
        <is>
          <t>淺綠 淺綠 深綠 淺綠 深綠 深紅 淺紅 深紅</t>
        </is>
      </c>
      <c r="BE128" s="38" t="inlineStr">
        <is>
          <t>上升通道</t>
        </is>
      </c>
      <c r="BF128" s="50" t="n">
        <v>0.1084</v>
      </c>
      <c r="BG128" s="50" t="n">
        <v>0.09130000000000001</v>
      </c>
      <c r="BH128" s="50" t="n">
        <v>0.5217000000000001</v>
      </c>
      <c r="BI128" s="50" t="n">
        <v>0.6048</v>
      </c>
      <c r="BJ128" s="47" t="n">
        <v>19</v>
      </c>
      <c r="BK128" s="41" t="n">
        <v>58.93</v>
      </c>
      <c r="BL128" s="41" t="n">
        <v>57.46</v>
      </c>
      <c r="BM128" s="41" t="n">
        <v>58.2269</v>
      </c>
      <c r="BN128" s="50" t="n">
        <v>1.2567</v>
      </c>
      <c r="BO128" s="44">
        <f>IF(M128=N128,0.5,(J128-N128)/(M128-N128))</f>
        <v/>
      </c>
      <c r="BP128" s="51" t="n">
        <v>5.626</v>
      </c>
      <c r="BQ128" s="51" t="n">
        <v>0.586</v>
      </c>
      <c r="BR128" s="52">
        <f>100*(0.4*MIN(1,MAX(0,((U128*100)-(0.0))/((2.5)-(0.0))))+0.3*MIN(1,MAX(0,((V128)-(0.6))/((1.0)-(0.6))))+0.3*MIN(1,MAX(0,((BP128)-(0.0))/((15.0)-(0.0)))))</f>
        <v/>
      </c>
      <c r="BS128" s="52">
        <f>100*(0.4*MIN(1,MAX(0,((MIN(ABS(AA128),ABS(AB128)))-(0.75))/((0.0)-(0.75))))+0.3*MIN(1,MAX(0,((BN128)-(1.2))/((0.6)-(1.2))))+0.3*BO128)</f>
        <v/>
      </c>
      <c r="BT128" s="52">
        <f>100*(0.5*MIN(1,MAX(0,((AK128)-(1.0))/((4.0)-(1.0))))+0.3*MIN(1,MAX(0,((IF(ISNUMBER(AO128),AO128,0)*100)-(0.0))/((8.0)-(0.0))))+0.2*MIN(1,MAX(0,((IF(ISNUMBER(AP128),AP128,0))-(25.0))/((5.0)-(25.0)))))</f>
        <v/>
      </c>
      <c r="BU128" s="52">
        <f>100*(0.35*MIN(1,MAX(0,((ABS(BF128))-(0.3))/((0.05)-(0.3))))+0.3*MIN(1,MAX(0,((BG128)-(0.0))/((0.3)-(0.0))))+0.25*MIN(1,MAX(0,((BH128)-(0.4))/((0.7)-(0.4))))+0.1*IF(BJ128&gt;=2,1,0.5))</f>
        <v/>
      </c>
      <c r="BV128" s="53">
        <f>0.25*BR128+0.25*BS128+0.2*BT128+0.3*BU128</f>
        <v/>
      </c>
      <c r="BW128" s="38" t="inlineStr">
        <is>
          <t>C5 MACD慢線向上、C6 MACD柱轉勢</t>
        </is>
      </c>
      <c r="BX128" s="38" t="inlineStr"/>
    </row>
    <row r="129">
      <c r="A129" s="38" t="n">
        <v>3</v>
      </c>
      <c r="B129" s="38" t="n">
        <v>67</v>
      </c>
      <c r="C129" s="39" t="inlineStr">
        <is>
          <t>DSGR</t>
        </is>
      </c>
      <c r="D129" s="38" t="inlineStr">
        <is>
          <t>Distribution Solutions Group Inc.</t>
        </is>
      </c>
      <c r="E129" s="38" t="inlineStr">
        <is>
          <t>NASDAQ</t>
        </is>
      </c>
      <c r="F129" s="38" t="inlineStr">
        <is>
          <t>非必需消費</t>
        </is>
      </c>
      <c r="G129" s="38" t="inlineStr">
        <is>
          <t>Industrial Specialties</t>
        </is>
      </c>
      <c r="H129" s="40" t="n">
        <v>1.614</v>
      </c>
      <c r="I129" s="38" t="inlineStr">
        <is>
          <t>小型</t>
        </is>
      </c>
      <c r="J129" s="41" t="n">
        <v>34.98</v>
      </c>
      <c r="K129" s="41" t="n">
        <v>34.94</v>
      </c>
      <c r="L129" s="42">
        <f>J129/K129-1</f>
        <v/>
      </c>
      <c r="M129" s="41" t="n">
        <v>35</v>
      </c>
      <c r="N129" s="41" t="n">
        <v>34.91</v>
      </c>
      <c r="O129" s="43" t="n">
        <v>136200</v>
      </c>
      <c r="P129" s="43" t="n">
        <v>208030</v>
      </c>
      <c r="Q129" s="44">
        <f>O129/P129</f>
        <v/>
      </c>
      <c r="R129" s="41" t="n">
        <v>34.9348</v>
      </c>
      <c r="S129" s="41" t="n">
        <v>34.8477</v>
      </c>
      <c r="T129" s="41" t="n">
        <v>34.7833</v>
      </c>
      <c r="U129" s="42">
        <f>S129/T129-1</f>
        <v/>
      </c>
      <c r="V129" s="45" t="n">
        <v>1</v>
      </c>
      <c r="W129" s="42">
        <f>J129/R129-1</f>
        <v/>
      </c>
      <c r="X129" s="42">
        <f>J129/S129-1</f>
        <v/>
      </c>
      <c r="Y129" s="41" t="n">
        <v>0.1054</v>
      </c>
      <c r="Z129" s="46">
        <f>Y129/J129</f>
        <v/>
      </c>
      <c r="AA129" s="44">
        <f>(J129-R129)/Y129</f>
        <v/>
      </c>
      <c r="AB129" s="44">
        <f>(J129-S129)/Y129</f>
        <v/>
      </c>
      <c r="AC129" s="38">
        <f>IF(ABS(AA129)&lt;=ABS(AB129),"9EMA","21EMA")</f>
        <v/>
      </c>
      <c r="AD129" s="38" t="inlineStr">
        <is>
          <t>9+21EMA</t>
        </is>
      </c>
      <c r="AE129" s="38" t="inlineStr">
        <is>
          <t>持續在上方</t>
        </is>
      </c>
      <c r="AF129" s="38" t="inlineStr"/>
      <c r="AG129" s="38" t="inlineStr"/>
      <c r="AH129" s="38" t="inlineStr">
        <is>
          <t>✓</t>
        </is>
      </c>
      <c r="AI129" s="38" t="inlineStr">
        <is>
          <t>2026-07-15</t>
        </is>
      </c>
      <c r="AJ129" s="38" t="n">
        <v>56</v>
      </c>
      <c r="AK129" s="47" t="n">
        <v>3</v>
      </c>
      <c r="AL129" s="38" t="inlineStr">
        <is>
          <t>2026-09-18</t>
        </is>
      </c>
      <c r="AM129" s="41" t="n">
        <v>34.75</v>
      </c>
      <c r="AN129" s="41" t="n">
        <v>34.63</v>
      </c>
      <c r="AO129" s="42">
        <f>IF(ISNUMBER(AN129),AM129/AN129-1,"")</f>
        <v/>
      </c>
      <c r="AP129" s="47" t="n">
        <v>10</v>
      </c>
      <c r="AQ129" s="42">
        <f>IF(ISNUMBER(AM129),J129/AM129-1,"")</f>
        <v/>
      </c>
      <c r="AR129" s="41" t="n">
        <v>35</v>
      </c>
      <c r="AS129" s="42">
        <f>J129/AR129-1</f>
        <v/>
      </c>
      <c r="AT129" s="48" t="n">
        <v>0.1517</v>
      </c>
      <c r="AU129" s="48" t="n">
        <v>0.1901</v>
      </c>
      <c r="AV129" s="48" t="n">
        <v>0.1997</v>
      </c>
      <c r="AW129" s="49">
        <f>AU129-AV129</f>
        <v/>
      </c>
      <c r="AX129" s="48" t="n">
        <v>-0.0383</v>
      </c>
      <c r="AY129" s="48" t="n">
        <v>-0.0419</v>
      </c>
      <c r="AZ129" s="48" t="n">
        <v>-0.0429</v>
      </c>
      <c r="BA129" s="38" t="inlineStr">
        <is>
          <t>淺紅</t>
        </is>
      </c>
      <c r="BB129" s="38" t="inlineStr">
        <is>
          <t>深紅→淺紅</t>
        </is>
      </c>
      <c r="BC129" s="38" t="n">
        <v>1</v>
      </c>
      <c r="BD129" s="38" t="inlineStr">
        <is>
          <t>淺紅 淺紅 淺紅 淺紅 淺紅 深紅 淺紅 淺紅</t>
        </is>
      </c>
      <c r="BE129" s="38" t="inlineStr">
        <is>
          <t>上升三角（平頂）</t>
        </is>
      </c>
      <c r="BF129" s="50" t="n">
        <v>0.0297</v>
      </c>
      <c r="BG129" s="50" t="n">
        <v>0.0312</v>
      </c>
      <c r="BH129" s="50" t="n">
        <v>0.5057</v>
      </c>
      <c r="BI129" s="50" t="n">
        <v>0.4918</v>
      </c>
      <c r="BJ129" s="47" t="n">
        <v>25</v>
      </c>
      <c r="BK129" s="41" t="n">
        <v>35.02</v>
      </c>
      <c r="BL129" s="41" t="n">
        <v>34.63</v>
      </c>
      <c r="BM129" s="41" t="n">
        <v>34.8272</v>
      </c>
      <c r="BN129" s="50" t="n">
        <v>1.2777</v>
      </c>
      <c r="BO129" s="44">
        <f>IF(M129=N129,0.5,(J129-N129)/(M129-N129))</f>
        <v/>
      </c>
      <c r="BP129" s="51" t="n">
        <v>5.964</v>
      </c>
      <c r="BQ129" s="51" t="n">
        <v>0.923</v>
      </c>
      <c r="BR129" s="52">
        <f>100*(0.4*MIN(1,MAX(0,((U129*100)-(0.0))/((2.5)-(0.0))))+0.3*MIN(1,MAX(0,((V129)-(0.6))/((1.0)-(0.6))))+0.3*MIN(1,MAX(0,((BP129)-(0.0))/((15.0)-(0.0)))))</f>
        <v/>
      </c>
      <c r="BS129" s="52">
        <f>100*(0.4*MIN(1,MAX(0,((MIN(ABS(AA129),ABS(AB129)))-(0.75))/((0.0)-(0.75))))+0.3*MIN(1,MAX(0,((BN129)-(1.2))/((0.6)-(1.2))))+0.3*BO129)</f>
        <v/>
      </c>
      <c r="BT129" s="52">
        <f>100*(0.5*MIN(1,MAX(0,((AK129)-(1.0))/((4.0)-(1.0))))+0.3*MIN(1,MAX(0,((IF(ISNUMBER(AO129),AO129,0)*100)-(0.0))/((8.0)-(0.0))))+0.2*MIN(1,MAX(0,((IF(ISNUMBER(AP129),AP129,0))-(25.0))/((5.0)-(25.0)))))</f>
        <v/>
      </c>
      <c r="BU129" s="52">
        <f>100*(0.35*MIN(1,MAX(0,((ABS(BF129))-(0.3))/((0.05)-(0.3))))+0.3*MIN(1,MAX(0,((BG129)-(0.0))/((0.3)-(0.0))))+0.25*MIN(1,MAX(0,((BH129)-(0.4))/((0.7)-(0.4))))+0.1*IF(BJ129&gt;=2,1,0.5))</f>
        <v/>
      </c>
      <c r="BV129" s="53">
        <f>0.25*BR129+0.25*BS129+0.2*BT129+0.3*BU129</f>
        <v/>
      </c>
      <c r="BW129" s="38" t="inlineStr">
        <is>
          <t>C5 MACD慢線向上</t>
        </is>
      </c>
      <c r="BX129" s="38" t="inlineStr"/>
    </row>
    <row r="130">
      <c r="A130" s="38" t="n">
        <v>3</v>
      </c>
      <c r="B130" s="38" t="n">
        <v>68</v>
      </c>
      <c r="C130" s="39" t="inlineStr">
        <is>
          <t>FSBW</t>
        </is>
      </c>
      <c r="D130" s="38" t="inlineStr">
        <is>
          <t>FS Bancorp Inc.</t>
        </is>
      </c>
      <c r="E130" s="38" t="inlineStr">
        <is>
          <t>NASDAQ</t>
        </is>
      </c>
      <c r="F130" s="38" t="inlineStr">
        <is>
          <t>金融</t>
        </is>
      </c>
      <c r="G130" s="38" t="inlineStr">
        <is>
          <t>Banks</t>
        </is>
      </c>
      <c r="H130" s="40" t="n">
        <v>0.34</v>
      </c>
      <c r="I130" s="38" t="inlineStr">
        <is>
          <t>小型</t>
        </is>
      </c>
      <c r="J130" s="41" t="n">
        <v>44.33</v>
      </c>
      <c r="K130" s="41" t="n">
        <v>44.01</v>
      </c>
      <c r="L130" s="42">
        <f>J130/K130-1</f>
        <v/>
      </c>
      <c r="M130" s="41" t="n">
        <v>44.54</v>
      </c>
      <c r="N130" s="41" t="n">
        <v>43.8</v>
      </c>
      <c r="O130" s="43" t="n">
        <v>18600</v>
      </c>
      <c r="P130" s="43" t="n">
        <v>30300</v>
      </c>
      <c r="Q130" s="44">
        <f>O130/P130</f>
        <v/>
      </c>
      <c r="R130" s="41" t="n">
        <v>43.9731</v>
      </c>
      <c r="S130" s="41" t="n">
        <v>43.7892</v>
      </c>
      <c r="T130" s="41" t="n">
        <v>43.6685</v>
      </c>
      <c r="U130" s="42">
        <f>S130/T130-1</f>
        <v/>
      </c>
      <c r="V130" s="45" t="n">
        <v>0.7</v>
      </c>
      <c r="W130" s="42">
        <f>J130/R130-1</f>
        <v/>
      </c>
      <c r="X130" s="42">
        <f>J130/S130-1</f>
        <v/>
      </c>
      <c r="Y130" s="41" t="n">
        <v>0.892</v>
      </c>
      <c r="Z130" s="46">
        <f>Y130/J130</f>
        <v/>
      </c>
      <c r="AA130" s="44">
        <f>(J130-R130)/Y130</f>
        <v/>
      </c>
      <c r="AB130" s="44">
        <f>(J130-S130)/Y130</f>
        <v/>
      </c>
      <c r="AC130" s="38">
        <f>IF(ABS(AA130)&lt;=ABS(AB130),"9EMA","21EMA")</f>
        <v/>
      </c>
      <c r="AD130" s="38" t="inlineStr">
        <is>
          <t>9+21EMA</t>
        </is>
      </c>
      <c r="AE130" s="38" t="inlineStr">
        <is>
          <t>持續在上方</t>
        </is>
      </c>
      <c r="AF130" s="38" t="inlineStr"/>
      <c r="AG130" s="38" t="inlineStr"/>
      <c r="AH130" s="38" t="inlineStr">
        <is>
          <t>✓</t>
        </is>
      </c>
      <c r="AI130" s="38" t="inlineStr">
        <is>
          <t>2026-09-04</t>
        </is>
      </c>
      <c r="AJ130" s="38" t="n">
        <v>19</v>
      </c>
      <c r="AK130" s="47" t="n">
        <v>3</v>
      </c>
      <c r="AL130" s="38" t="inlineStr">
        <is>
          <t>2026-09-21</t>
        </is>
      </c>
      <c r="AM130" s="41" t="n">
        <v>43.23</v>
      </c>
      <c r="AN130" s="41" t="n">
        <v>42.06</v>
      </c>
      <c r="AO130" s="42">
        <f>IF(ISNUMBER(AN130),AM130/AN130-1,"")</f>
        <v/>
      </c>
      <c r="AP130" s="47" t="n">
        <v>9</v>
      </c>
      <c r="AQ130" s="42">
        <f>IF(ISNUMBER(AM130),J130/AM130-1,"")</f>
        <v/>
      </c>
      <c r="AR130" s="41" t="n">
        <v>44.48</v>
      </c>
      <c r="AS130" s="42">
        <f>J130/AR130-1</f>
        <v/>
      </c>
      <c r="AT130" s="48" t="n">
        <v>0.2143</v>
      </c>
      <c r="AU130" s="48" t="n">
        <v>0.2237</v>
      </c>
      <c r="AV130" s="48" t="n">
        <v>0.2261</v>
      </c>
      <c r="AW130" s="49">
        <f>AU130-AV130</f>
        <v/>
      </c>
      <c r="AX130" s="48" t="n">
        <v>-0.0094</v>
      </c>
      <c r="AY130" s="48" t="n">
        <v>-0.0352</v>
      </c>
      <c r="AZ130" s="48" t="n">
        <v>-0.0442</v>
      </c>
      <c r="BA130" s="38" t="inlineStr">
        <is>
          <t>淺紅</t>
        </is>
      </c>
      <c r="BB130" s="38" t="inlineStr">
        <is>
          <t>深紅→淺紅</t>
        </is>
      </c>
      <c r="BC130" s="38" t="n">
        <v>1</v>
      </c>
      <c r="BD130" s="38" t="inlineStr">
        <is>
          <t>淺綠 深綠 深綠 深綠 淺綠 深紅 淺紅 淺紅</t>
        </is>
      </c>
      <c r="BE130" s="38" t="inlineStr">
        <is>
          <t>上升通道</t>
        </is>
      </c>
      <c r="BF130" s="50" t="n">
        <v>0.1183</v>
      </c>
      <c r="BG130" s="50" t="n">
        <v>0.1047</v>
      </c>
      <c r="BH130" s="50" t="n">
        <v>0.5162</v>
      </c>
      <c r="BI130" s="50" t="n">
        <v>0.6464</v>
      </c>
      <c r="BJ130" s="47" t="n">
        <v>11</v>
      </c>
      <c r="BK130" s="41" t="n">
        <v>45.03</v>
      </c>
      <c r="BL130" s="41" t="n">
        <v>42.3</v>
      </c>
      <c r="BM130" s="41" t="n">
        <v>43.7092</v>
      </c>
      <c r="BN130" s="50" t="n">
        <v>1.1288</v>
      </c>
      <c r="BO130" s="44">
        <f>IF(M130=N130,0.5,(J130-N130)/(M130-N130))</f>
        <v/>
      </c>
      <c r="BP130" s="51" t="n">
        <v>7.871</v>
      </c>
      <c r="BQ130" s="51" t="n">
        <v>2.83</v>
      </c>
      <c r="BR130" s="52">
        <f>100*(0.4*MIN(1,MAX(0,((U130*100)-(0.0))/((2.5)-(0.0))))+0.3*MIN(1,MAX(0,((V130)-(0.6))/((1.0)-(0.6))))+0.3*MIN(1,MAX(0,((BP130)-(0.0))/((15.0)-(0.0)))))</f>
        <v/>
      </c>
      <c r="BS130" s="52">
        <f>100*(0.4*MIN(1,MAX(0,((MIN(ABS(AA130),ABS(AB130)))-(0.75))/((0.0)-(0.75))))+0.3*MIN(1,MAX(0,((BN130)-(1.2))/((0.6)-(1.2))))+0.3*BO130)</f>
        <v/>
      </c>
      <c r="BT130" s="52">
        <f>100*(0.5*MIN(1,MAX(0,((AK130)-(1.0))/((4.0)-(1.0))))+0.3*MIN(1,MAX(0,((IF(ISNUMBER(AO130),AO130,0)*100)-(0.0))/((8.0)-(0.0))))+0.2*MIN(1,MAX(0,((IF(ISNUMBER(AP130),AP130,0))-(25.0))/((5.0)-(25.0)))))</f>
        <v/>
      </c>
      <c r="BU130" s="52">
        <f>100*(0.35*MIN(1,MAX(0,((ABS(BF130))-(0.3))/((0.05)-(0.3))))+0.3*MIN(1,MAX(0,((BG130)-(0.0))/((0.3)-(0.0))))+0.25*MIN(1,MAX(0,((BH130)-(0.4))/((0.7)-(0.4))))+0.1*IF(BJ130&gt;=2,1,0.5))</f>
        <v/>
      </c>
      <c r="BV130" s="53">
        <f>0.25*BR130+0.25*BS130+0.2*BT130+0.3*BU130</f>
        <v/>
      </c>
      <c r="BW130" s="38" t="inlineStr">
        <is>
          <t>C5 MACD慢線向上</t>
        </is>
      </c>
      <c r="BX130" s="38" t="inlineStr"/>
    </row>
    <row r="131">
      <c r="A131" s="38" t="n">
        <v>3</v>
      </c>
      <c r="B131" s="38" t="n">
        <v>69</v>
      </c>
      <c r="C131" s="39" t="inlineStr">
        <is>
          <t>AES</t>
        </is>
      </c>
      <c r="D131" s="38" t="inlineStr">
        <is>
          <t>The AES Corporation</t>
        </is>
      </c>
      <c r="E131" s="38" t="inlineStr">
        <is>
          <t>NYSE</t>
        </is>
      </c>
      <c r="F131" s="38" t="inlineStr">
        <is>
          <t>工業</t>
        </is>
      </c>
      <c r="G131" s="38" t="inlineStr">
        <is>
          <t>Electric Utilities: Central</t>
        </is>
      </c>
      <c r="H131" s="40" t="n">
        <v>10.63</v>
      </c>
      <c r="I131" s="38" t="inlineStr">
        <is>
          <t>大型</t>
        </is>
      </c>
      <c r="J131" s="41" t="n">
        <v>14.91</v>
      </c>
      <c r="K131" s="41" t="n">
        <v>14.92</v>
      </c>
      <c r="L131" s="42">
        <f>J131/K131-1</f>
        <v/>
      </c>
      <c r="M131" s="41" t="n">
        <v>14.94</v>
      </c>
      <c r="N131" s="41" t="n">
        <v>14.89</v>
      </c>
      <c r="O131" s="43" t="n">
        <v>7258500</v>
      </c>
      <c r="P131" s="43" t="n">
        <v>8089030</v>
      </c>
      <c r="Q131" s="44">
        <f>O131/P131</f>
        <v/>
      </c>
      <c r="R131" s="41" t="n">
        <v>14.8763</v>
      </c>
      <c r="S131" s="41" t="n">
        <v>14.8409</v>
      </c>
      <c r="T131" s="41" t="n">
        <v>14.8082</v>
      </c>
      <c r="U131" s="42">
        <f>S131/T131-1</f>
        <v/>
      </c>
      <c r="V131" s="45" t="n">
        <v>1</v>
      </c>
      <c r="W131" s="42">
        <f>J131/R131-1</f>
        <v/>
      </c>
      <c r="X131" s="42">
        <f>J131/S131-1</f>
        <v/>
      </c>
      <c r="Y131" s="41" t="n">
        <v>0.0481</v>
      </c>
      <c r="Z131" s="46">
        <f>Y131/J131</f>
        <v/>
      </c>
      <c r="AA131" s="44">
        <f>(J131-R131)/Y131</f>
        <v/>
      </c>
      <c r="AB131" s="44">
        <f>(J131-S131)/Y131</f>
        <v/>
      </c>
      <c r="AC131" s="38">
        <f>IF(ABS(AA131)&lt;=ABS(AB131),"9EMA","21EMA")</f>
        <v/>
      </c>
      <c r="AD131" s="38" t="inlineStr">
        <is>
          <t>9+21EMA</t>
        </is>
      </c>
      <c r="AE131" s="38" t="inlineStr">
        <is>
          <t>持續在上方</t>
        </is>
      </c>
      <c r="AF131" s="38" t="inlineStr"/>
      <c r="AG131" s="38" t="inlineStr"/>
      <c r="AH131" s="38" t="inlineStr">
        <is>
          <t>✓</t>
        </is>
      </c>
      <c r="AI131" s="38" t="inlineStr">
        <is>
          <t>2026-09-01</t>
        </is>
      </c>
      <c r="AJ131" s="38" t="n">
        <v>22</v>
      </c>
      <c r="AK131" s="47" t="n">
        <v>5</v>
      </c>
      <c r="AL131" s="38" t="inlineStr">
        <is>
          <t>2026-09-23</t>
        </is>
      </c>
      <c r="AM131" s="41" t="n">
        <v>14.8</v>
      </c>
      <c r="AN131" s="41" t="n">
        <v>14.78</v>
      </c>
      <c r="AO131" s="42">
        <f>IF(ISNUMBER(AN131),AM131/AN131-1,"")</f>
        <v/>
      </c>
      <c r="AP131" s="47" t="n">
        <v>7</v>
      </c>
      <c r="AQ131" s="42">
        <f>IF(ISNUMBER(AM131),J131/AM131-1,"")</f>
        <v/>
      </c>
      <c r="AR131" s="41" t="n">
        <v>14.92</v>
      </c>
      <c r="AS131" s="42">
        <f>J131/AR131-1</f>
        <v/>
      </c>
      <c r="AT131" s="48" t="n">
        <v>0.035</v>
      </c>
      <c r="AU131" s="48" t="n">
        <v>0.0277</v>
      </c>
      <c r="AV131" s="48" t="n">
        <v>0.0259</v>
      </c>
      <c r="AW131" s="49">
        <f>AU131-AV131</f>
        <v/>
      </c>
      <c r="AX131" s="48" t="n">
        <v>0.0073</v>
      </c>
      <c r="AY131" s="48" t="n">
        <v>0.0074</v>
      </c>
      <c r="AZ131" s="48" t="n">
        <v>0.0055</v>
      </c>
      <c r="BA131" s="38" t="inlineStr">
        <is>
          <t>淺綠</t>
        </is>
      </c>
      <c r="BB131" s="38" t="inlineStr">
        <is>
          <t>—</t>
        </is>
      </c>
      <c r="BC131" s="38" t="inlineStr">
        <is>
          <t>—</t>
        </is>
      </c>
      <c r="BD131" s="38" t="inlineStr">
        <is>
          <t>淺綠 深綠 深綠 深綠 淺綠 深綠 深綠 淺綠</t>
        </is>
      </c>
      <c r="BE131" s="38" t="inlineStr">
        <is>
          <t>上升三角（平頂）</t>
        </is>
      </c>
      <c r="BF131" s="50" t="n">
        <v>0.0231</v>
      </c>
      <c r="BG131" s="50" t="n">
        <v>0.0168</v>
      </c>
      <c r="BH131" s="50" t="n">
        <v>0.5031</v>
      </c>
      <c r="BI131" s="50" t="n">
        <v>0.5038</v>
      </c>
      <c r="BJ131" s="47" t="n">
        <v>25</v>
      </c>
      <c r="BK131" s="41" t="n">
        <v>14.94</v>
      </c>
      <c r="BL131" s="41" t="n">
        <v>14.71</v>
      </c>
      <c r="BM131" s="41" t="n">
        <v>14.8257</v>
      </c>
      <c r="BN131" s="50" t="n">
        <v>1.4114</v>
      </c>
      <c r="BO131" s="44">
        <f>IF(M131=N131,0.5,(J131-N131)/(M131-N131))</f>
        <v/>
      </c>
      <c r="BP131" s="51" t="n">
        <v>5.784</v>
      </c>
      <c r="BQ131" s="51" t="n">
        <v>0.743</v>
      </c>
      <c r="BR131" s="52">
        <f>100*(0.4*MIN(1,MAX(0,((U131*100)-(0.0))/((2.5)-(0.0))))+0.3*MIN(1,MAX(0,((V131)-(0.6))/((1.0)-(0.6))))+0.3*MIN(1,MAX(0,((BP131)-(0.0))/((15.0)-(0.0)))))</f>
        <v/>
      </c>
      <c r="BS131" s="52">
        <f>100*(0.4*MIN(1,MAX(0,((MIN(ABS(AA131),ABS(AB131)))-(0.75))/((0.0)-(0.75))))+0.3*MIN(1,MAX(0,((BN131)-(1.2))/((0.6)-(1.2))))+0.3*BO131)</f>
        <v/>
      </c>
      <c r="BT131" s="52">
        <f>100*(0.5*MIN(1,MAX(0,((AK131)-(1.0))/((4.0)-(1.0))))+0.3*MIN(1,MAX(0,((IF(ISNUMBER(AO131),AO131,0)*100)-(0.0))/((8.0)-(0.0))))+0.2*MIN(1,MAX(0,((IF(ISNUMBER(AP131),AP131,0))-(25.0))/((5.0)-(25.0)))))</f>
        <v/>
      </c>
      <c r="BU131" s="52">
        <f>100*(0.35*MIN(1,MAX(0,((ABS(BF131))-(0.3))/((0.05)-(0.3))))+0.3*MIN(1,MAX(0,((BG131)-(0.0))/((0.3)-(0.0))))+0.25*MIN(1,MAX(0,((BH131)-(0.4))/((0.7)-(0.4))))+0.1*IF(BJ131&gt;=2,1,0.5))</f>
        <v/>
      </c>
      <c r="BV131" s="53">
        <f>0.25*BR131+0.25*BS131+0.2*BT131+0.3*BU131</f>
        <v/>
      </c>
      <c r="BW131" s="38" t="inlineStr">
        <is>
          <t>C6 MACD柱轉勢</t>
        </is>
      </c>
      <c r="BX131" s="38" t="inlineStr"/>
    </row>
    <row r="132">
      <c r="A132" s="38" t="n">
        <v>3</v>
      </c>
      <c r="B132" s="38" t="n">
        <v>70</v>
      </c>
      <c r="C132" s="39" t="inlineStr">
        <is>
          <t>CON</t>
        </is>
      </c>
      <c r="D132" s="38" t="inlineStr">
        <is>
          <t>Concentra Group Holdings Parent Inc.</t>
        </is>
      </c>
      <c r="E132" s="38" t="inlineStr">
        <is>
          <t>NYSE</t>
        </is>
      </c>
      <c r="F132" s="38" t="inlineStr">
        <is>
          <t>醫療保健</t>
        </is>
      </c>
      <c r="G132" s="38" t="inlineStr">
        <is>
          <t>Medical Specialities</t>
        </is>
      </c>
      <c r="H132" s="40" t="n">
        <v>4.389</v>
      </c>
      <c r="I132" s="38" t="inlineStr">
        <is>
          <t>中型</t>
        </is>
      </c>
      <c r="J132" s="41" t="n">
        <v>35.65</v>
      </c>
      <c r="K132" s="41" t="n">
        <v>34.97</v>
      </c>
      <c r="L132" s="42">
        <f>J132/K132-1</f>
        <v/>
      </c>
      <c r="M132" s="41" t="n">
        <v>36.18</v>
      </c>
      <c r="N132" s="41" t="n">
        <v>34.9</v>
      </c>
      <c r="O132" s="43" t="n">
        <v>1381600</v>
      </c>
      <c r="P132" s="43" t="n">
        <v>1008945</v>
      </c>
      <c r="Q132" s="44">
        <f>O132/P132</f>
        <v/>
      </c>
      <c r="R132" s="41" t="n">
        <v>35.1073</v>
      </c>
      <c r="S132" s="41" t="n">
        <v>34.9179</v>
      </c>
      <c r="T132" s="41" t="n">
        <v>34.7733</v>
      </c>
      <c r="U132" s="42">
        <f>S132/T132-1</f>
        <v/>
      </c>
      <c r="V132" s="45" t="n">
        <v>0.8</v>
      </c>
      <c r="W132" s="42">
        <f>J132/R132-1</f>
        <v/>
      </c>
      <c r="X132" s="42">
        <f>J132/S132-1</f>
        <v/>
      </c>
      <c r="Y132" s="41" t="n">
        <v>0.9679</v>
      </c>
      <c r="Z132" s="46">
        <f>Y132/J132</f>
        <v/>
      </c>
      <c r="AA132" s="44">
        <f>(J132-R132)/Y132</f>
        <v/>
      </c>
      <c r="AB132" s="44">
        <f>(J132-S132)/Y132</f>
        <v/>
      </c>
      <c r="AC132" s="38">
        <f>IF(ABS(AA132)&lt;=ABS(AB132),"9EMA","21EMA")</f>
        <v/>
      </c>
      <c r="AD132" s="38" t="inlineStr">
        <is>
          <t>9+21EMA</t>
        </is>
      </c>
      <c r="AE132" s="38" t="inlineStr">
        <is>
          <t>持續在上方</t>
        </is>
      </c>
      <c r="AF132" s="38" t="inlineStr"/>
      <c r="AG132" s="38" t="inlineStr"/>
      <c r="AH132" s="38" t="inlineStr">
        <is>
          <t>✓</t>
        </is>
      </c>
      <c r="AI132" s="38" t="inlineStr">
        <is>
          <t>2026-04-14</t>
        </is>
      </c>
      <c r="AJ132" s="38" t="n">
        <v>119</v>
      </c>
      <c r="AK132" s="47" t="n">
        <v>2</v>
      </c>
      <c r="AL132" s="38" t="inlineStr">
        <is>
          <t>2026-09-25</t>
        </is>
      </c>
      <c r="AM132" s="41" t="n">
        <v>34.32</v>
      </c>
      <c r="AN132" s="41" t="n">
        <v>33.32</v>
      </c>
      <c r="AO132" s="42">
        <f>IF(ISNUMBER(AN132),AM132/AN132-1,"")</f>
        <v/>
      </c>
      <c r="AP132" s="47" t="n">
        <v>5</v>
      </c>
      <c r="AQ132" s="42">
        <f>IF(ISNUMBER(AM132),J132/AM132-1,"")</f>
        <v/>
      </c>
      <c r="AR132" s="41" t="n">
        <v>36.37</v>
      </c>
      <c r="AS132" s="42">
        <f>J132/AR132-1</f>
        <v/>
      </c>
      <c r="AT132" s="48" t="n">
        <v>0.2891</v>
      </c>
      <c r="AU132" s="48" t="n">
        <v>0.3522</v>
      </c>
      <c r="AV132" s="48" t="n">
        <v>0.368</v>
      </c>
      <c r="AW132" s="49">
        <f>AU132-AV132</f>
        <v/>
      </c>
      <c r="AX132" s="48" t="n">
        <v>-0.0631</v>
      </c>
      <c r="AY132" s="48" t="n">
        <v>-0.1144</v>
      </c>
      <c r="AZ132" s="48" t="n">
        <v>-0.1227</v>
      </c>
      <c r="BA132" s="38" t="inlineStr">
        <is>
          <t>淺紅</t>
        </is>
      </c>
      <c r="BB132" s="38" t="inlineStr">
        <is>
          <t>深紅→淺紅</t>
        </is>
      </c>
      <c r="BC132" s="38" t="n">
        <v>1</v>
      </c>
      <c r="BD132" s="38" t="inlineStr">
        <is>
          <t>深紅 深紅 淺紅 淺紅 淺紅 深紅 淺紅 淺紅</t>
        </is>
      </c>
      <c r="BE132" s="38" t="inlineStr">
        <is>
          <t>上升通道</t>
        </is>
      </c>
      <c r="BF132" s="50" t="n">
        <v>0.155</v>
      </c>
      <c r="BG132" s="50" t="n">
        <v>0.1269</v>
      </c>
      <c r="BH132" s="50" t="n">
        <v>0.5021</v>
      </c>
      <c r="BI132" s="50" t="n">
        <v>0.4875</v>
      </c>
      <c r="BJ132" s="47" t="n">
        <v>3</v>
      </c>
      <c r="BK132" s="41" t="n">
        <v>36.71</v>
      </c>
      <c r="BL132" s="41" t="n">
        <v>33.32</v>
      </c>
      <c r="BM132" s="41" t="n">
        <v>35.0221</v>
      </c>
      <c r="BN132" s="50" t="n">
        <v>0.9945000000000001</v>
      </c>
      <c r="BO132" s="44">
        <f>IF(M132=N132,0.5,(J132-N132)/(M132-N132))</f>
        <v/>
      </c>
      <c r="BP132" s="51" t="n">
        <v>9.801</v>
      </c>
      <c r="BQ132" s="51" t="n">
        <v>4.761</v>
      </c>
      <c r="BR132" s="52">
        <f>100*(0.4*MIN(1,MAX(0,((U132*100)-(0.0))/((2.5)-(0.0))))+0.3*MIN(1,MAX(0,((V132)-(0.6))/((1.0)-(0.6))))+0.3*MIN(1,MAX(0,((BP132)-(0.0))/((15.0)-(0.0)))))</f>
        <v/>
      </c>
      <c r="BS132" s="52">
        <f>100*(0.4*MIN(1,MAX(0,((MIN(ABS(AA132),ABS(AB132)))-(0.75))/((0.0)-(0.75))))+0.3*MIN(1,MAX(0,((BN132)-(1.2))/((0.6)-(1.2))))+0.3*BO132)</f>
        <v/>
      </c>
      <c r="BT132" s="52">
        <f>100*(0.5*MIN(1,MAX(0,((AK132)-(1.0))/((4.0)-(1.0))))+0.3*MIN(1,MAX(0,((IF(ISNUMBER(AO132),AO132,0)*100)-(0.0))/((8.0)-(0.0))))+0.2*MIN(1,MAX(0,((IF(ISNUMBER(AP132),AP132,0))-(25.0))/((5.0)-(25.0)))))</f>
        <v/>
      </c>
      <c r="BU132" s="52">
        <f>100*(0.35*MIN(1,MAX(0,((ABS(BF132))-(0.3))/((0.05)-(0.3))))+0.3*MIN(1,MAX(0,((BG132)-(0.0))/((0.3)-(0.0))))+0.25*MIN(1,MAX(0,((BH132)-(0.4))/((0.7)-(0.4))))+0.1*IF(BJ132&gt;=2,1,0.5))</f>
        <v/>
      </c>
      <c r="BV132" s="53">
        <f>0.25*BR132+0.25*BS132+0.2*BT132+0.3*BU132</f>
        <v/>
      </c>
      <c r="BW132" s="38" t="inlineStr">
        <is>
          <t>C5 MACD慢線向上</t>
        </is>
      </c>
      <c r="BX132" s="38" t="inlineStr"/>
    </row>
    <row r="133">
      <c r="A133" s="38" t="n">
        <v>3</v>
      </c>
      <c r="B133" s="38" t="n">
        <v>71</v>
      </c>
      <c r="C133" s="39" t="inlineStr">
        <is>
          <t>XOM</t>
        </is>
      </c>
      <c r="D133" s="38" t="inlineStr">
        <is>
          <t>ExxonMobil Holdings Corporation</t>
        </is>
      </c>
      <c r="E133" s="38" t="inlineStr">
        <is>
          <t>NYSE</t>
        </is>
      </c>
      <c r="F133" s="38" t="inlineStr">
        <is>
          <t>能源</t>
        </is>
      </c>
      <c r="G133" s="38" t="inlineStr">
        <is>
          <t>Integrated oil Companies</t>
        </is>
      </c>
      <c r="H133" s="40" t="n">
        <v>669.2140000000001</v>
      </c>
      <c r="I133" s="38" t="inlineStr">
        <is>
          <t>大型</t>
        </is>
      </c>
      <c r="J133" s="41" t="n">
        <v>164.01</v>
      </c>
      <c r="K133" s="41" t="n">
        <v>163.82</v>
      </c>
      <c r="L133" s="42">
        <f>J133/K133-1</f>
        <v/>
      </c>
      <c r="M133" s="41" t="n">
        <v>164.61</v>
      </c>
      <c r="N133" s="41" t="n">
        <v>161.55</v>
      </c>
      <c r="O133" s="43" t="n">
        <v>11287000</v>
      </c>
      <c r="P133" s="43" t="n">
        <v>14114740</v>
      </c>
      <c r="Q133" s="44">
        <f>O133/P133</f>
        <v/>
      </c>
      <c r="R133" s="41" t="n">
        <v>162.6594</v>
      </c>
      <c r="S133" s="41" t="n">
        <v>162.2176</v>
      </c>
      <c r="T133" s="41" t="n">
        <v>161.7426</v>
      </c>
      <c r="U133" s="42">
        <f>S133/T133-1</f>
        <v/>
      </c>
      <c r="V133" s="45" t="n">
        <v>0.5</v>
      </c>
      <c r="W133" s="42">
        <f>J133/R133-1</f>
        <v/>
      </c>
      <c r="X133" s="42">
        <f>J133/S133-1</f>
        <v/>
      </c>
      <c r="Y133" s="41" t="n">
        <v>3.5278</v>
      </c>
      <c r="Z133" s="46">
        <f>Y133/J133</f>
        <v/>
      </c>
      <c r="AA133" s="44">
        <f>(J133-R133)/Y133</f>
        <v/>
      </c>
      <c r="AB133" s="44">
        <f>(J133-S133)/Y133</f>
        <v/>
      </c>
      <c r="AC133" s="38">
        <f>IF(ABS(AA133)&lt;=ABS(AB133),"9EMA","21EMA")</f>
        <v/>
      </c>
      <c r="AD133" s="38" t="inlineStr">
        <is>
          <t>9+21EMA</t>
        </is>
      </c>
      <c r="AE133" s="21" t="inlineStr">
        <is>
          <t>剛黃金交叉</t>
        </is>
      </c>
      <c r="AF133" s="38" t="inlineStr">
        <is>
          <t>✓</t>
        </is>
      </c>
      <c r="AG133" s="38" t="inlineStr"/>
      <c r="AH133" s="38" t="inlineStr">
        <is>
          <t>✓</t>
        </is>
      </c>
      <c r="AI133" s="38" t="inlineStr">
        <is>
          <t>2026-09-30</t>
        </is>
      </c>
      <c r="AJ133" s="38" t="n">
        <v>2</v>
      </c>
      <c r="AK133" s="47" t="n">
        <v>2</v>
      </c>
      <c r="AL133" s="38" t="inlineStr">
        <is>
          <t>2026-09-29</t>
        </is>
      </c>
      <c r="AM133" s="41" t="n">
        <v>159.27</v>
      </c>
      <c r="AN133" s="41" t="n">
        <v>155.85</v>
      </c>
      <c r="AO133" s="42">
        <f>IF(ISNUMBER(AN133),AM133/AN133-1,"")</f>
        <v/>
      </c>
      <c r="AP133" s="47" t="n">
        <v>3</v>
      </c>
      <c r="AQ133" s="42">
        <f>IF(ISNUMBER(AM133),J133/AM133-1,"")</f>
        <v/>
      </c>
      <c r="AR133" s="41" t="n">
        <v>169.32</v>
      </c>
      <c r="AS133" s="42">
        <f>J133/AR133-1</f>
        <v/>
      </c>
      <c r="AT133" s="48" t="n">
        <v>0.6903</v>
      </c>
      <c r="AU133" s="48" t="n">
        <v>0.7958</v>
      </c>
      <c r="AV133" s="48" t="n">
        <v>0.8222</v>
      </c>
      <c r="AW133" s="49">
        <f>AU133-AV133</f>
        <v/>
      </c>
      <c r="AX133" s="48" t="n">
        <v>-0.1055</v>
      </c>
      <c r="AY133" s="48" t="n">
        <v>-0.2243</v>
      </c>
      <c r="AZ133" s="48" t="n">
        <v>-0.3878</v>
      </c>
      <c r="BA133" s="38" t="inlineStr">
        <is>
          <t>淺紅</t>
        </is>
      </c>
      <c r="BB133" s="38" t="inlineStr">
        <is>
          <t>深紅→淺紅</t>
        </is>
      </c>
      <c r="BC133" s="38" t="n">
        <v>7</v>
      </c>
      <c r="BD133" s="38" t="inlineStr">
        <is>
          <t>淺紅 淺紅 淺紅 淺紅 淺紅 淺紅 淺紅 淺紅</t>
        </is>
      </c>
      <c r="BE133" s="38" t="inlineStr">
        <is>
          <t>上升三角（平頂）</t>
        </is>
      </c>
      <c r="BF133" s="50" t="n">
        <v>-0.0322</v>
      </c>
      <c r="BG133" s="50" t="n">
        <v>0.0608</v>
      </c>
      <c r="BH133" s="50" t="n">
        <v>0.5058</v>
      </c>
      <c r="BI133" s="50" t="n">
        <v>0.4642</v>
      </c>
      <c r="BJ133" s="47" t="n">
        <v>4</v>
      </c>
      <c r="BK133" s="41" t="n">
        <v>169.64</v>
      </c>
      <c r="BL133" s="41" t="n">
        <v>155.32</v>
      </c>
      <c r="BM133" s="41" t="n">
        <v>162.563</v>
      </c>
      <c r="BN133" s="50" t="n">
        <v>0.9506</v>
      </c>
      <c r="BO133" s="44">
        <f>IF(M133=N133,0.5,(J133-N133)/(M133-N133))</f>
        <v/>
      </c>
      <c r="BP133" s="51" t="n">
        <v>4.956</v>
      </c>
      <c r="BQ133" s="51" t="n">
        <v>-0.08500000000000001</v>
      </c>
      <c r="BR133" s="52">
        <f>100*(0.4*MIN(1,MAX(0,((U133*100)-(0.0))/((2.5)-(0.0))))+0.3*MIN(1,MAX(0,((V133)-(0.6))/((1.0)-(0.6))))+0.3*MIN(1,MAX(0,((BP133)-(0.0))/((15.0)-(0.0)))))</f>
        <v/>
      </c>
      <c r="BS133" s="52">
        <f>100*(0.4*MIN(1,MAX(0,((MIN(ABS(AA133),ABS(AB133)))-(0.75))/((0.0)-(0.75))))+0.3*MIN(1,MAX(0,((BN133)-(1.2))/((0.6)-(1.2))))+0.3*BO133)</f>
        <v/>
      </c>
      <c r="BT133" s="52">
        <f>100*(0.5*MIN(1,MAX(0,((AK133)-(1.0))/((4.0)-(1.0))))+0.3*MIN(1,MAX(0,((IF(ISNUMBER(AO133),AO133,0)*100)-(0.0))/((8.0)-(0.0))))+0.2*MIN(1,MAX(0,((IF(ISNUMBER(AP133),AP133,0))-(25.0))/((5.0)-(25.0)))))</f>
        <v/>
      </c>
      <c r="BU133" s="52">
        <f>100*(0.35*MIN(1,MAX(0,((ABS(BF133))-(0.3))/((0.05)-(0.3))))+0.3*MIN(1,MAX(0,((BG133)-(0.0))/((0.3)-(0.0))))+0.25*MIN(1,MAX(0,((BH133)-(0.4))/((0.7)-(0.4))))+0.1*IF(BJ133&gt;=2,1,0.5))</f>
        <v/>
      </c>
      <c r="BV133" s="53">
        <f>0.25*BR133+0.25*BS133+0.2*BT133+0.3*BU133</f>
        <v/>
      </c>
      <c r="BW133" s="38" t="inlineStr">
        <is>
          <t>C5 MACD慢線向上、C6 MACD柱轉勢</t>
        </is>
      </c>
      <c r="BX133" s="38" t="inlineStr"/>
    </row>
    <row r="135" ht="28" customHeight="1">
      <c r="A135" s="54" t="inlineStr">
        <is>
          <t>全表統計</t>
        </is>
      </c>
      <c r="B135" s="55" t="inlineStr">
        <is>
          <t>第一梯隊</t>
        </is>
      </c>
      <c r="C135" s="55" t="inlineStr">
        <is>
          <t>第二梯隊</t>
        </is>
      </c>
      <c r="D135" s="55" t="inlineStr">
        <is>
          <t>第三梯隊（只差MACD）</t>
        </is>
      </c>
      <c r="E135" s="55" t="inlineStr">
        <is>
          <t>剛黃金交叉</t>
        </is>
      </c>
      <c r="F135" s="55" t="inlineStr">
        <is>
          <t>b 回到21EMA</t>
        </is>
      </c>
      <c r="G135" s="55" t="inlineStr">
        <is>
          <t>c 回到9EMA</t>
        </is>
      </c>
      <c r="H135" s="55" t="inlineStr">
        <is>
          <t>上升三角（平頂）</t>
        </is>
      </c>
      <c r="I135" s="55" t="inlineStr">
        <is>
          <t>當日中位%</t>
        </is>
      </c>
      <c r="J135" s="55" t="inlineStr">
        <is>
          <t>距EMA9 中位%</t>
        </is>
      </c>
      <c r="K135" s="55" t="inlineStr">
        <is>
          <t>距EMA21 中位%</t>
        </is>
      </c>
      <c r="L135" s="55" t="inlineStr">
        <is>
          <t>低過EMA9 行數</t>
        </is>
      </c>
      <c r="M135" s="55" t="inlineStr">
        <is>
          <t>綜合分數 中位</t>
        </is>
      </c>
      <c r="N135" s="55" t="inlineStr">
        <is>
          <t>RS21 中位%</t>
        </is>
      </c>
      <c r="O135" s="55" t="inlineStr">
        <is>
          <t>大型股</t>
        </is>
      </c>
      <c r="P135" s="55" t="inlineStr">
        <is>
          <t>中型股</t>
        </is>
      </c>
      <c r="Q135" s="55" t="inlineStr">
        <is>
          <t>小型股</t>
        </is>
      </c>
    </row>
    <row r="136">
      <c r="B136" s="56">
        <f>COUNTIF(A2:A133,1)</f>
        <v/>
      </c>
      <c r="C136" s="56">
        <f>COUNTIF(A2:A133,2)</f>
        <v/>
      </c>
      <c r="D136" s="56">
        <f>COUNTIF(A2:A133,3)</f>
        <v/>
      </c>
      <c r="E136" s="56">
        <f>COUNTIF(AE2:AE133,"剛黃金交叉")</f>
        <v/>
      </c>
      <c r="F136" s="56">
        <f>COUNTIFS(A2:A133,1,AG2:AG133,"✓")</f>
        <v/>
      </c>
      <c r="G136" s="56">
        <f>COUNTIFS(A2:A133,1,AH2:AH133,"✓")</f>
        <v/>
      </c>
      <c r="H136" s="56">
        <f>COUNTIF(BE2:BE133,"上升三角（平頂）")</f>
        <v/>
      </c>
      <c r="I136" s="57">
        <f>MEDIAN(L2:L27)</f>
        <v/>
      </c>
      <c r="J136" s="57">
        <f>MEDIAN(W2:W27)</f>
        <v/>
      </c>
      <c r="K136" s="57">
        <f>MEDIAN(X2:X27)</f>
        <v/>
      </c>
      <c r="L136" s="56">
        <f>COUNTIF(W2:W27,"&lt;0")</f>
        <v/>
      </c>
      <c r="M136" s="58">
        <f>MEDIAN(BV2:BV27)</f>
        <v/>
      </c>
      <c r="N136" s="58">
        <f>MEDIAN(BP2:BP27)</f>
        <v/>
      </c>
      <c r="O136" s="56">
        <f>COUNTIFS(A2:A133,1,I2:I133,"大型")</f>
        <v/>
      </c>
      <c r="P136" s="56">
        <f>COUNTIFS(A2:A133,1,I2:I133,"中型")</f>
        <v/>
      </c>
      <c r="Q136" s="56">
        <f>COUNTIFS(A2:A133,1,I2:I133,"小型")</f>
        <v/>
      </c>
    </row>
    <row r="138">
      <c r="A138" s="59" t="inlineStr">
        <is>
          <t>口徑：以 2026-10-02 收市嘅 Yahoo 日線計；EMA 用標準指數平滑（α=2/(N+1)），ATR14 用 Wilder 平滑。藍字＝量度值（輸入），黑字＝公式；當日%、量比、EMA21 斜率、距 EMA／底／15 日高、ATR 倍數、收市區間位置、四個分數同綜合分數全部係公式，改動輸入會自動重算。灰底＝第二梯隊（只差一項，「唔過嘅條件」格嘅註解列明量度值同門檻）；綠底狀態＝9EMA 喺 5 日內剛黃金交叉 21EMA。a／b／c 三欄 ✓ ＝ 該股喺對應分頁（b 同 c 互斥：離兩條 EMA 都近就歸較近嗰條）。橙底＝第三梯隊：價格四項全過、只差 MACD 慢線／柱轉勢（候補，等第一根淺紅／深綠）。RS21 同全池中位數 21 日回報（-5.04%）比較。</t>
        </is>
      </c>
    </row>
  </sheetData>
  <autoFilter ref="A1:BX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6" customWidth="1" min="28" max="28"/>
    <col width="9" customWidth="1" min="29" max="29"/>
    <col width="6" customWidth="1" min="30" max="30"/>
    <col width="8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5" customWidth="1" min="37" max="37"/>
    <col width="6" customWidth="1" min="38" max="38"/>
    <col width="14" customWidth="1" min="39" max="39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柱顏色</t>
        </is>
      </c>
      <c r="AC1" s="4" t="inlineStr">
        <is>
          <t>柱轉勢</t>
        </is>
      </c>
      <c r="AD1" s="4" t="inlineStr">
        <is>
          <t>轉勢幾日前</t>
        </is>
      </c>
      <c r="AE1" s="4" t="inlineStr">
        <is>
          <t>慢線斜率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梯隊</t>
        </is>
      </c>
      <c r="AL1" s="4" t="inlineStr">
        <is>
          <t>總表排名</t>
        </is>
      </c>
      <c r="AM1" s="4" t="inlineStr">
        <is>
          <t>唔過嘅條件</t>
        </is>
      </c>
    </row>
    <row r="2">
      <c r="A2" s="5" t="n">
        <v>1</v>
      </c>
      <c r="B2" s="6" t="inlineStr">
        <is>
          <t>NEU</t>
        </is>
      </c>
      <c r="C2" s="5">
        <f>'總表'!D9</f>
        <v/>
      </c>
      <c r="D2" s="5">
        <f>'總表'!F9</f>
        <v/>
      </c>
      <c r="E2" s="5">
        <f>'總表'!G9</f>
        <v/>
      </c>
      <c r="F2" s="5">
        <f>'總表'!I9</f>
        <v/>
      </c>
      <c r="G2" s="60">
        <f>'總表'!H9</f>
        <v/>
      </c>
      <c r="H2" s="61">
        <f>'總表'!J9</f>
        <v/>
      </c>
      <c r="I2" s="9">
        <f>'總表'!L9</f>
        <v/>
      </c>
      <c r="J2" s="61">
        <f>'總表'!R9</f>
        <v/>
      </c>
      <c r="K2" s="61">
        <f>'總表'!S9</f>
        <v/>
      </c>
      <c r="L2" s="9">
        <f>'總表'!W9</f>
        <v/>
      </c>
      <c r="M2" s="9">
        <f>'總表'!X9</f>
        <v/>
      </c>
      <c r="N2" s="11">
        <f>'總表'!AA9</f>
        <v/>
      </c>
      <c r="O2" s="11">
        <f>'總表'!AB9</f>
        <v/>
      </c>
      <c r="P2" s="5">
        <f>'總表'!AD9</f>
        <v/>
      </c>
      <c r="Q2" s="9">
        <f>'總表'!U9</f>
        <v/>
      </c>
      <c r="R2" s="21">
        <f>'總表'!AE9</f>
        <v/>
      </c>
      <c r="S2" s="5">
        <f>'總表'!AI9</f>
        <v/>
      </c>
      <c r="T2" s="5">
        <f>'總表'!AJ9</f>
        <v/>
      </c>
      <c r="U2" s="5">
        <f>'總表'!AK9</f>
        <v/>
      </c>
      <c r="V2" s="5">
        <f>'總表'!AL9</f>
        <v/>
      </c>
      <c r="W2" s="9">
        <f>'總表'!AQ9</f>
        <v/>
      </c>
      <c r="X2" s="9">
        <f>'總表'!AS9</f>
        <v/>
      </c>
      <c r="Y2" s="5">
        <f>'總表'!BE9</f>
        <v/>
      </c>
      <c r="Z2" s="11">
        <f>'總表'!BH9</f>
        <v/>
      </c>
      <c r="AA2" s="19">
        <f>'總表'!BP9</f>
        <v/>
      </c>
      <c r="AB2" s="5">
        <f>'總表'!BA9</f>
        <v/>
      </c>
      <c r="AC2" s="5">
        <f>'總表'!BB9</f>
        <v/>
      </c>
      <c r="AD2" s="5">
        <f>'總表'!BC9</f>
        <v/>
      </c>
      <c r="AE2" s="16">
        <f>'總表'!AW9</f>
        <v/>
      </c>
      <c r="AF2" s="19">
        <f>'總表'!BR9</f>
        <v/>
      </c>
      <c r="AG2" s="19">
        <f>'總表'!BS9</f>
        <v/>
      </c>
      <c r="AH2" s="19">
        <f>'總表'!BT9</f>
        <v/>
      </c>
      <c r="AI2" s="19">
        <f>'總表'!BU9</f>
        <v/>
      </c>
      <c r="AJ2" s="20">
        <f>'總表'!BV9</f>
        <v/>
      </c>
      <c r="AK2" s="5">
        <f>'總表'!A9</f>
        <v/>
      </c>
      <c r="AL2" s="5">
        <f>'總表'!B9</f>
        <v/>
      </c>
      <c r="AM2" s="5">
        <f>'總表'!BW9</f>
        <v/>
      </c>
    </row>
    <row r="3">
      <c r="A3" s="5" t="n">
        <v>2</v>
      </c>
      <c r="B3" s="6" t="inlineStr">
        <is>
          <t>TENB</t>
        </is>
      </c>
      <c r="C3" s="5">
        <f>'總表'!D16</f>
        <v/>
      </c>
      <c r="D3" s="5">
        <f>'總表'!F16</f>
        <v/>
      </c>
      <c r="E3" s="5">
        <f>'總表'!G16</f>
        <v/>
      </c>
      <c r="F3" s="5">
        <f>'總表'!I16</f>
        <v/>
      </c>
      <c r="G3" s="60">
        <f>'總表'!H16</f>
        <v/>
      </c>
      <c r="H3" s="61">
        <f>'總表'!J16</f>
        <v/>
      </c>
      <c r="I3" s="9">
        <f>'總表'!L16</f>
        <v/>
      </c>
      <c r="J3" s="61">
        <f>'總表'!R16</f>
        <v/>
      </c>
      <c r="K3" s="61">
        <f>'總表'!S16</f>
        <v/>
      </c>
      <c r="L3" s="9">
        <f>'總表'!W16</f>
        <v/>
      </c>
      <c r="M3" s="9">
        <f>'總表'!X16</f>
        <v/>
      </c>
      <c r="N3" s="11">
        <f>'總表'!AA16</f>
        <v/>
      </c>
      <c r="O3" s="11">
        <f>'總表'!AB16</f>
        <v/>
      </c>
      <c r="P3" s="5">
        <f>'總表'!AD16</f>
        <v/>
      </c>
      <c r="Q3" s="9">
        <f>'總表'!U16</f>
        <v/>
      </c>
      <c r="R3" s="21">
        <f>'總表'!AE16</f>
        <v/>
      </c>
      <c r="S3" s="5">
        <f>'總表'!AI16</f>
        <v/>
      </c>
      <c r="T3" s="5">
        <f>'總表'!AJ16</f>
        <v/>
      </c>
      <c r="U3" s="5">
        <f>'總表'!AK16</f>
        <v/>
      </c>
      <c r="V3" s="5">
        <f>'總表'!AL16</f>
        <v/>
      </c>
      <c r="W3" s="9">
        <f>'總表'!AQ16</f>
        <v/>
      </c>
      <c r="X3" s="9">
        <f>'總表'!AS16</f>
        <v/>
      </c>
      <c r="Y3" s="5">
        <f>'總表'!BE16</f>
        <v/>
      </c>
      <c r="Z3" s="11">
        <f>'總表'!BH16</f>
        <v/>
      </c>
      <c r="AA3" s="19">
        <f>'總表'!BP16</f>
        <v/>
      </c>
      <c r="AB3" s="5">
        <f>'總表'!BA16</f>
        <v/>
      </c>
      <c r="AC3" s="5">
        <f>'總表'!BB16</f>
        <v/>
      </c>
      <c r="AD3" s="5">
        <f>'總表'!BC16</f>
        <v/>
      </c>
      <c r="AE3" s="16">
        <f>'總表'!AW16</f>
        <v/>
      </c>
      <c r="AF3" s="19">
        <f>'總表'!BR16</f>
        <v/>
      </c>
      <c r="AG3" s="19">
        <f>'總表'!BS16</f>
        <v/>
      </c>
      <c r="AH3" s="19">
        <f>'總表'!BT16</f>
        <v/>
      </c>
      <c r="AI3" s="19">
        <f>'總表'!BU16</f>
        <v/>
      </c>
      <c r="AJ3" s="20">
        <f>'總表'!BV16</f>
        <v/>
      </c>
      <c r="AK3" s="5">
        <f>'總表'!A16</f>
        <v/>
      </c>
      <c r="AL3" s="5">
        <f>'總表'!B16</f>
        <v/>
      </c>
      <c r="AM3" s="5">
        <f>'總表'!BW16</f>
        <v/>
      </c>
    </row>
    <row r="4">
      <c r="A4" s="5" t="n">
        <v>3</v>
      </c>
      <c r="B4" s="6" t="inlineStr">
        <is>
          <t>NHC</t>
        </is>
      </c>
      <c r="C4" s="5">
        <f>'總表'!D17</f>
        <v/>
      </c>
      <c r="D4" s="5">
        <f>'總表'!F17</f>
        <v/>
      </c>
      <c r="E4" s="5">
        <f>'總表'!G17</f>
        <v/>
      </c>
      <c r="F4" s="5">
        <f>'總表'!I17</f>
        <v/>
      </c>
      <c r="G4" s="60">
        <f>'總表'!H17</f>
        <v/>
      </c>
      <c r="H4" s="61">
        <f>'總表'!J17</f>
        <v/>
      </c>
      <c r="I4" s="9">
        <f>'總表'!L17</f>
        <v/>
      </c>
      <c r="J4" s="61">
        <f>'總表'!R17</f>
        <v/>
      </c>
      <c r="K4" s="61">
        <f>'總表'!S17</f>
        <v/>
      </c>
      <c r="L4" s="9">
        <f>'總表'!W17</f>
        <v/>
      </c>
      <c r="M4" s="9">
        <f>'總表'!X17</f>
        <v/>
      </c>
      <c r="N4" s="11">
        <f>'總表'!AA17</f>
        <v/>
      </c>
      <c r="O4" s="11">
        <f>'總表'!AB17</f>
        <v/>
      </c>
      <c r="P4" s="5">
        <f>'總表'!AD17</f>
        <v/>
      </c>
      <c r="Q4" s="9">
        <f>'總表'!U17</f>
        <v/>
      </c>
      <c r="R4" s="21">
        <f>'總表'!AE17</f>
        <v/>
      </c>
      <c r="S4" s="5">
        <f>'總表'!AI17</f>
        <v/>
      </c>
      <c r="T4" s="5">
        <f>'總表'!AJ17</f>
        <v/>
      </c>
      <c r="U4" s="5">
        <f>'總表'!AK17</f>
        <v/>
      </c>
      <c r="V4" s="5">
        <f>'總表'!AL17</f>
        <v/>
      </c>
      <c r="W4" s="9">
        <f>'總表'!AQ17</f>
        <v/>
      </c>
      <c r="X4" s="9">
        <f>'總表'!AS17</f>
        <v/>
      </c>
      <c r="Y4" s="5">
        <f>'總表'!BE17</f>
        <v/>
      </c>
      <c r="Z4" s="11">
        <f>'總表'!BH17</f>
        <v/>
      </c>
      <c r="AA4" s="19">
        <f>'總表'!BP17</f>
        <v/>
      </c>
      <c r="AB4" s="5">
        <f>'總表'!BA17</f>
        <v/>
      </c>
      <c r="AC4" s="5">
        <f>'總表'!BB17</f>
        <v/>
      </c>
      <c r="AD4" s="5">
        <f>'總表'!BC17</f>
        <v/>
      </c>
      <c r="AE4" s="16">
        <f>'總表'!AW17</f>
        <v/>
      </c>
      <c r="AF4" s="19">
        <f>'總表'!BR17</f>
        <v/>
      </c>
      <c r="AG4" s="19">
        <f>'總表'!BS17</f>
        <v/>
      </c>
      <c r="AH4" s="19">
        <f>'總表'!BT17</f>
        <v/>
      </c>
      <c r="AI4" s="19">
        <f>'總表'!BU17</f>
        <v/>
      </c>
      <c r="AJ4" s="20">
        <f>'總表'!BV17</f>
        <v/>
      </c>
      <c r="AK4" s="5">
        <f>'總表'!A17</f>
        <v/>
      </c>
      <c r="AL4" s="5">
        <f>'總表'!B17</f>
        <v/>
      </c>
      <c r="AM4" s="5">
        <f>'總表'!BW17</f>
        <v/>
      </c>
    </row>
    <row r="5">
      <c r="A5" s="5" t="n">
        <v>4</v>
      </c>
      <c r="B5" s="6" t="inlineStr">
        <is>
          <t>STRL</t>
        </is>
      </c>
      <c r="C5" s="5">
        <f>'總表'!D20</f>
        <v/>
      </c>
      <c r="D5" s="5">
        <f>'總表'!F20</f>
        <v/>
      </c>
      <c r="E5" s="5">
        <f>'總表'!G20</f>
        <v/>
      </c>
      <c r="F5" s="5">
        <f>'總表'!I20</f>
        <v/>
      </c>
      <c r="G5" s="60">
        <f>'總表'!H20</f>
        <v/>
      </c>
      <c r="H5" s="61">
        <f>'總表'!J20</f>
        <v/>
      </c>
      <c r="I5" s="9">
        <f>'總表'!L20</f>
        <v/>
      </c>
      <c r="J5" s="61">
        <f>'總表'!R20</f>
        <v/>
      </c>
      <c r="K5" s="61">
        <f>'總表'!S20</f>
        <v/>
      </c>
      <c r="L5" s="9">
        <f>'總表'!W20</f>
        <v/>
      </c>
      <c r="M5" s="9">
        <f>'總表'!X20</f>
        <v/>
      </c>
      <c r="N5" s="11">
        <f>'總表'!AA20</f>
        <v/>
      </c>
      <c r="O5" s="11">
        <f>'總表'!AB20</f>
        <v/>
      </c>
      <c r="P5" s="5">
        <f>'總表'!AD20</f>
        <v/>
      </c>
      <c r="Q5" s="9">
        <f>'總表'!U20</f>
        <v/>
      </c>
      <c r="R5" s="21">
        <f>'總表'!AE20</f>
        <v/>
      </c>
      <c r="S5" s="5">
        <f>'總表'!AI20</f>
        <v/>
      </c>
      <c r="T5" s="5">
        <f>'總表'!AJ20</f>
        <v/>
      </c>
      <c r="U5" s="5">
        <f>'總表'!AK20</f>
        <v/>
      </c>
      <c r="V5" s="5">
        <f>'總表'!AL20</f>
        <v/>
      </c>
      <c r="W5" s="9">
        <f>'總表'!AQ20</f>
        <v/>
      </c>
      <c r="X5" s="9">
        <f>'總表'!AS20</f>
        <v/>
      </c>
      <c r="Y5" s="5">
        <f>'總表'!BE20</f>
        <v/>
      </c>
      <c r="Z5" s="11">
        <f>'總表'!BH20</f>
        <v/>
      </c>
      <c r="AA5" s="19">
        <f>'總表'!BP20</f>
        <v/>
      </c>
      <c r="AB5" s="5">
        <f>'總表'!BA20</f>
        <v/>
      </c>
      <c r="AC5" s="5">
        <f>'總表'!BB20</f>
        <v/>
      </c>
      <c r="AD5" s="5">
        <f>'總表'!BC20</f>
        <v/>
      </c>
      <c r="AE5" s="16">
        <f>'總表'!AW20</f>
        <v/>
      </c>
      <c r="AF5" s="19">
        <f>'總表'!BR20</f>
        <v/>
      </c>
      <c r="AG5" s="19">
        <f>'總表'!BS20</f>
        <v/>
      </c>
      <c r="AH5" s="19">
        <f>'總表'!BT20</f>
        <v/>
      </c>
      <c r="AI5" s="19">
        <f>'總表'!BU20</f>
        <v/>
      </c>
      <c r="AJ5" s="20">
        <f>'總表'!BV20</f>
        <v/>
      </c>
      <c r="AK5" s="5">
        <f>'總表'!A20</f>
        <v/>
      </c>
      <c r="AL5" s="5">
        <f>'總表'!B20</f>
        <v/>
      </c>
      <c r="AM5" s="5">
        <f>'總表'!BW20</f>
        <v/>
      </c>
    </row>
    <row r="6">
      <c r="A6" s="5" t="n">
        <v>5</v>
      </c>
      <c r="B6" s="6" t="inlineStr">
        <is>
          <t>OPY</t>
        </is>
      </c>
      <c r="C6" s="5">
        <f>'總表'!D25</f>
        <v/>
      </c>
      <c r="D6" s="5">
        <f>'總表'!F25</f>
        <v/>
      </c>
      <c r="E6" s="5">
        <f>'總表'!G25</f>
        <v/>
      </c>
      <c r="F6" s="5">
        <f>'總表'!I25</f>
        <v/>
      </c>
      <c r="G6" s="60">
        <f>'總表'!H25</f>
        <v/>
      </c>
      <c r="H6" s="61">
        <f>'總表'!J25</f>
        <v/>
      </c>
      <c r="I6" s="9">
        <f>'總表'!L25</f>
        <v/>
      </c>
      <c r="J6" s="61">
        <f>'總表'!R25</f>
        <v/>
      </c>
      <c r="K6" s="61">
        <f>'總表'!S25</f>
        <v/>
      </c>
      <c r="L6" s="9">
        <f>'總表'!W25</f>
        <v/>
      </c>
      <c r="M6" s="9">
        <f>'總表'!X25</f>
        <v/>
      </c>
      <c r="N6" s="11">
        <f>'總表'!AA25</f>
        <v/>
      </c>
      <c r="O6" s="11">
        <f>'總表'!AB25</f>
        <v/>
      </c>
      <c r="P6" s="5">
        <f>'總表'!AD25</f>
        <v/>
      </c>
      <c r="Q6" s="9">
        <f>'總表'!U25</f>
        <v/>
      </c>
      <c r="R6" s="21">
        <f>'總表'!AE25</f>
        <v/>
      </c>
      <c r="S6" s="5">
        <f>'總表'!AI25</f>
        <v/>
      </c>
      <c r="T6" s="5">
        <f>'總表'!AJ25</f>
        <v/>
      </c>
      <c r="U6" s="5">
        <f>'總表'!AK25</f>
        <v/>
      </c>
      <c r="V6" s="5">
        <f>'總表'!AL25</f>
        <v/>
      </c>
      <c r="W6" s="9">
        <f>'總表'!AQ25</f>
        <v/>
      </c>
      <c r="X6" s="9">
        <f>'總表'!AS25</f>
        <v/>
      </c>
      <c r="Y6" s="5">
        <f>'總表'!BE25</f>
        <v/>
      </c>
      <c r="Z6" s="11">
        <f>'總表'!BH25</f>
        <v/>
      </c>
      <c r="AA6" s="19">
        <f>'總表'!BP25</f>
        <v/>
      </c>
      <c r="AB6" s="5">
        <f>'總表'!BA25</f>
        <v/>
      </c>
      <c r="AC6" s="5">
        <f>'總表'!BB25</f>
        <v/>
      </c>
      <c r="AD6" s="5">
        <f>'總表'!BC25</f>
        <v/>
      </c>
      <c r="AE6" s="16">
        <f>'總表'!AW25</f>
        <v/>
      </c>
      <c r="AF6" s="19">
        <f>'總表'!BR25</f>
        <v/>
      </c>
      <c r="AG6" s="19">
        <f>'總表'!BS25</f>
        <v/>
      </c>
      <c r="AH6" s="19">
        <f>'總表'!BT25</f>
        <v/>
      </c>
      <c r="AI6" s="19">
        <f>'總表'!BU25</f>
        <v/>
      </c>
      <c r="AJ6" s="20">
        <f>'總表'!BV25</f>
        <v/>
      </c>
      <c r="AK6" s="5">
        <f>'總表'!A25</f>
        <v/>
      </c>
      <c r="AL6" s="5">
        <f>'總表'!B25</f>
        <v/>
      </c>
      <c r="AM6" s="5">
        <f>'總表'!BW25</f>
        <v/>
      </c>
    </row>
    <row r="7">
      <c r="A7" s="5" t="n">
        <v>6</v>
      </c>
      <c r="B7" s="6" t="inlineStr">
        <is>
          <t>BJ</t>
        </is>
      </c>
      <c r="C7" s="5">
        <f>'總表'!D27</f>
        <v/>
      </c>
      <c r="D7" s="5">
        <f>'總表'!F27</f>
        <v/>
      </c>
      <c r="E7" s="5">
        <f>'總表'!G27</f>
        <v/>
      </c>
      <c r="F7" s="5">
        <f>'總表'!I27</f>
        <v/>
      </c>
      <c r="G7" s="60">
        <f>'總表'!H27</f>
        <v/>
      </c>
      <c r="H7" s="61">
        <f>'總表'!J27</f>
        <v/>
      </c>
      <c r="I7" s="9">
        <f>'總表'!L27</f>
        <v/>
      </c>
      <c r="J7" s="61">
        <f>'總表'!R27</f>
        <v/>
      </c>
      <c r="K7" s="61">
        <f>'總表'!S27</f>
        <v/>
      </c>
      <c r="L7" s="9">
        <f>'總表'!W27</f>
        <v/>
      </c>
      <c r="M7" s="9">
        <f>'總表'!X27</f>
        <v/>
      </c>
      <c r="N7" s="11">
        <f>'總表'!AA27</f>
        <v/>
      </c>
      <c r="O7" s="11">
        <f>'總表'!AB27</f>
        <v/>
      </c>
      <c r="P7" s="5">
        <f>'總表'!AD27</f>
        <v/>
      </c>
      <c r="Q7" s="9">
        <f>'總表'!U27</f>
        <v/>
      </c>
      <c r="R7" s="21">
        <f>'總表'!AE27</f>
        <v/>
      </c>
      <c r="S7" s="5">
        <f>'總表'!AI27</f>
        <v/>
      </c>
      <c r="T7" s="5">
        <f>'總表'!AJ27</f>
        <v/>
      </c>
      <c r="U7" s="5">
        <f>'總表'!AK27</f>
        <v/>
      </c>
      <c r="V7" s="5">
        <f>'總表'!AL27</f>
        <v/>
      </c>
      <c r="W7" s="9">
        <f>'總表'!AQ27</f>
        <v/>
      </c>
      <c r="X7" s="9">
        <f>'總表'!AS27</f>
        <v/>
      </c>
      <c r="Y7" s="5">
        <f>'總表'!BE27</f>
        <v/>
      </c>
      <c r="Z7" s="11">
        <f>'總表'!BH27</f>
        <v/>
      </c>
      <c r="AA7" s="19">
        <f>'總表'!BP27</f>
        <v/>
      </c>
      <c r="AB7" s="5">
        <f>'總表'!BA27</f>
        <v/>
      </c>
      <c r="AC7" s="5">
        <f>'總表'!BB27</f>
        <v/>
      </c>
      <c r="AD7" s="5">
        <f>'總表'!BC27</f>
        <v/>
      </c>
      <c r="AE7" s="16">
        <f>'總表'!AW27</f>
        <v/>
      </c>
      <c r="AF7" s="19">
        <f>'總表'!BR27</f>
        <v/>
      </c>
      <c r="AG7" s="19">
        <f>'總表'!BS27</f>
        <v/>
      </c>
      <c r="AH7" s="19">
        <f>'總表'!BT27</f>
        <v/>
      </c>
      <c r="AI7" s="19">
        <f>'總表'!BU27</f>
        <v/>
      </c>
      <c r="AJ7" s="20">
        <f>'總表'!BV27</f>
        <v/>
      </c>
      <c r="AK7" s="5">
        <f>'總表'!A27</f>
        <v/>
      </c>
      <c r="AL7" s="5">
        <f>'總表'!B27</f>
        <v/>
      </c>
      <c r="AM7" s="5">
        <f>'總表'!BW27</f>
        <v/>
      </c>
    </row>
    <row r="8">
      <c r="A8" s="22" t="n">
        <v>7</v>
      </c>
      <c r="B8" s="23" t="inlineStr">
        <is>
          <t>AIP</t>
        </is>
      </c>
      <c r="C8" s="22">
        <f>'總表'!D52</f>
        <v/>
      </c>
      <c r="D8" s="22">
        <f>'總表'!F52</f>
        <v/>
      </c>
      <c r="E8" s="22">
        <f>'總表'!G52</f>
        <v/>
      </c>
      <c r="F8" s="22">
        <f>'總表'!I52</f>
        <v/>
      </c>
      <c r="G8" s="62">
        <f>'總表'!H52</f>
        <v/>
      </c>
      <c r="H8" s="63">
        <f>'總表'!J52</f>
        <v/>
      </c>
      <c r="I8" s="26">
        <f>'總表'!L52</f>
        <v/>
      </c>
      <c r="J8" s="63">
        <f>'總表'!R52</f>
        <v/>
      </c>
      <c r="K8" s="63">
        <f>'總表'!S52</f>
        <v/>
      </c>
      <c r="L8" s="26">
        <f>'總表'!W52</f>
        <v/>
      </c>
      <c r="M8" s="26">
        <f>'總表'!X52</f>
        <v/>
      </c>
      <c r="N8" s="28">
        <f>'總表'!AA52</f>
        <v/>
      </c>
      <c r="O8" s="28">
        <f>'總表'!AB52</f>
        <v/>
      </c>
      <c r="P8" s="22">
        <f>'總表'!AD52</f>
        <v/>
      </c>
      <c r="Q8" s="26">
        <f>'總表'!U52</f>
        <v/>
      </c>
      <c r="R8" s="22">
        <f>'總表'!AE52</f>
        <v/>
      </c>
      <c r="S8" s="22">
        <f>'總表'!AI52</f>
        <v/>
      </c>
      <c r="T8" s="22">
        <f>'總表'!AJ52</f>
        <v/>
      </c>
      <c r="U8" s="22">
        <f>'總表'!AK52</f>
        <v/>
      </c>
      <c r="V8" s="22">
        <f>'總表'!AL52</f>
        <v/>
      </c>
      <c r="W8" s="26">
        <f>'總表'!AQ52</f>
        <v/>
      </c>
      <c r="X8" s="26">
        <f>'總表'!AS52</f>
        <v/>
      </c>
      <c r="Y8" s="22">
        <f>'總表'!BE52</f>
        <v/>
      </c>
      <c r="Z8" s="28">
        <f>'總表'!BH52</f>
        <v/>
      </c>
      <c r="AA8" s="36">
        <f>'總表'!BP52</f>
        <v/>
      </c>
      <c r="AB8" s="22">
        <f>'總表'!BA52</f>
        <v/>
      </c>
      <c r="AC8" s="22">
        <f>'總表'!BB52</f>
        <v/>
      </c>
      <c r="AD8" s="22">
        <f>'總表'!BC52</f>
        <v/>
      </c>
      <c r="AE8" s="33">
        <f>'總表'!AW52</f>
        <v/>
      </c>
      <c r="AF8" s="36">
        <f>'總表'!BR52</f>
        <v/>
      </c>
      <c r="AG8" s="36">
        <f>'總表'!BS52</f>
        <v/>
      </c>
      <c r="AH8" s="36">
        <f>'總表'!BT52</f>
        <v/>
      </c>
      <c r="AI8" s="36">
        <f>'總表'!BU52</f>
        <v/>
      </c>
      <c r="AJ8" s="37">
        <f>'總表'!BV52</f>
        <v/>
      </c>
      <c r="AK8" s="22">
        <f>'總表'!A52</f>
        <v/>
      </c>
      <c r="AL8" s="22">
        <f>'總表'!B52</f>
        <v/>
      </c>
      <c r="AM8" s="22">
        <f>'總表'!BW52</f>
        <v/>
      </c>
    </row>
    <row r="9">
      <c r="A9" s="22" t="n">
        <v>8</v>
      </c>
      <c r="B9" s="23" t="inlineStr">
        <is>
          <t>HWKN</t>
        </is>
      </c>
      <c r="C9" s="22">
        <f>'總表'!D54</f>
        <v/>
      </c>
      <c r="D9" s="22">
        <f>'總表'!F54</f>
        <v/>
      </c>
      <c r="E9" s="22">
        <f>'總表'!G54</f>
        <v/>
      </c>
      <c r="F9" s="22">
        <f>'總表'!I54</f>
        <v/>
      </c>
      <c r="G9" s="62">
        <f>'總表'!H54</f>
        <v/>
      </c>
      <c r="H9" s="63">
        <f>'總表'!J54</f>
        <v/>
      </c>
      <c r="I9" s="26">
        <f>'總表'!L54</f>
        <v/>
      </c>
      <c r="J9" s="63">
        <f>'總表'!R54</f>
        <v/>
      </c>
      <c r="K9" s="63">
        <f>'總表'!S54</f>
        <v/>
      </c>
      <c r="L9" s="26">
        <f>'總表'!W54</f>
        <v/>
      </c>
      <c r="M9" s="26">
        <f>'總表'!X54</f>
        <v/>
      </c>
      <c r="N9" s="28">
        <f>'總表'!AA54</f>
        <v/>
      </c>
      <c r="O9" s="28">
        <f>'總表'!AB54</f>
        <v/>
      </c>
      <c r="P9" s="22">
        <f>'總表'!AD54</f>
        <v/>
      </c>
      <c r="Q9" s="26">
        <f>'總表'!U54</f>
        <v/>
      </c>
      <c r="R9" s="22">
        <f>'總表'!AE54</f>
        <v/>
      </c>
      <c r="S9" s="22">
        <f>'總表'!AI54</f>
        <v/>
      </c>
      <c r="T9" s="22">
        <f>'總表'!AJ54</f>
        <v/>
      </c>
      <c r="U9" s="22">
        <f>'總表'!AK54</f>
        <v/>
      </c>
      <c r="V9" s="22">
        <f>'總表'!AL54</f>
        <v/>
      </c>
      <c r="W9" s="26">
        <f>'總表'!AQ54</f>
        <v/>
      </c>
      <c r="X9" s="26">
        <f>'總表'!AS54</f>
        <v/>
      </c>
      <c r="Y9" s="22">
        <f>'總表'!BE54</f>
        <v/>
      </c>
      <c r="Z9" s="28">
        <f>'總表'!BH54</f>
        <v/>
      </c>
      <c r="AA9" s="36">
        <f>'總表'!BP54</f>
        <v/>
      </c>
      <c r="AB9" s="22">
        <f>'總表'!BA54</f>
        <v/>
      </c>
      <c r="AC9" s="22">
        <f>'總表'!BB54</f>
        <v/>
      </c>
      <c r="AD9" s="22">
        <f>'總表'!BC54</f>
        <v/>
      </c>
      <c r="AE9" s="33">
        <f>'總表'!AW54</f>
        <v/>
      </c>
      <c r="AF9" s="36">
        <f>'總表'!BR54</f>
        <v/>
      </c>
      <c r="AG9" s="36">
        <f>'總表'!BS54</f>
        <v/>
      </c>
      <c r="AH9" s="36">
        <f>'總表'!BT54</f>
        <v/>
      </c>
      <c r="AI9" s="36">
        <f>'總表'!BU54</f>
        <v/>
      </c>
      <c r="AJ9" s="37">
        <f>'總表'!BV54</f>
        <v/>
      </c>
      <c r="AK9" s="22">
        <f>'總表'!A54</f>
        <v/>
      </c>
      <c r="AL9" s="22">
        <f>'總表'!B54</f>
        <v/>
      </c>
      <c r="AM9" s="22">
        <f>'總表'!BW54</f>
        <v/>
      </c>
    </row>
    <row r="10">
      <c r="A10" s="22" t="n">
        <v>9</v>
      </c>
      <c r="B10" s="23" t="inlineStr">
        <is>
          <t>FIX</t>
        </is>
      </c>
      <c r="C10" s="22">
        <f>'總表'!D55</f>
        <v/>
      </c>
      <c r="D10" s="22">
        <f>'總表'!F55</f>
        <v/>
      </c>
      <c r="E10" s="22">
        <f>'總表'!G55</f>
        <v/>
      </c>
      <c r="F10" s="22">
        <f>'總表'!I55</f>
        <v/>
      </c>
      <c r="G10" s="62">
        <f>'總表'!H55</f>
        <v/>
      </c>
      <c r="H10" s="63">
        <f>'總表'!J55</f>
        <v/>
      </c>
      <c r="I10" s="26">
        <f>'總表'!L55</f>
        <v/>
      </c>
      <c r="J10" s="63">
        <f>'總表'!R55</f>
        <v/>
      </c>
      <c r="K10" s="63">
        <f>'總表'!S55</f>
        <v/>
      </c>
      <c r="L10" s="26">
        <f>'總表'!W55</f>
        <v/>
      </c>
      <c r="M10" s="26">
        <f>'總表'!X55</f>
        <v/>
      </c>
      <c r="N10" s="28">
        <f>'總表'!AA55</f>
        <v/>
      </c>
      <c r="O10" s="28">
        <f>'總表'!AB55</f>
        <v/>
      </c>
      <c r="P10" s="22">
        <f>'總表'!AD55</f>
        <v/>
      </c>
      <c r="Q10" s="26">
        <f>'總表'!U55</f>
        <v/>
      </c>
      <c r="R10" s="22">
        <f>'總表'!AE55</f>
        <v/>
      </c>
      <c r="S10" s="22">
        <f>'總表'!AI55</f>
        <v/>
      </c>
      <c r="T10" s="22">
        <f>'總表'!AJ55</f>
        <v/>
      </c>
      <c r="U10" s="22">
        <f>'總表'!AK55</f>
        <v/>
      </c>
      <c r="V10" s="22">
        <f>'總表'!AL55</f>
        <v/>
      </c>
      <c r="W10" s="26">
        <f>'總表'!AQ55</f>
        <v/>
      </c>
      <c r="X10" s="26">
        <f>'總表'!AS55</f>
        <v/>
      </c>
      <c r="Y10" s="22">
        <f>'總表'!BE55</f>
        <v/>
      </c>
      <c r="Z10" s="28">
        <f>'總表'!BH55</f>
        <v/>
      </c>
      <c r="AA10" s="36">
        <f>'總表'!BP55</f>
        <v/>
      </c>
      <c r="AB10" s="22">
        <f>'總表'!BA55</f>
        <v/>
      </c>
      <c r="AC10" s="22">
        <f>'總表'!BB55</f>
        <v/>
      </c>
      <c r="AD10" s="22">
        <f>'總表'!BC55</f>
        <v/>
      </c>
      <c r="AE10" s="33">
        <f>'總表'!AW55</f>
        <v/>
      </c>
      <c r="AF10" s="36">
        <f>'總表'!BR55</f>
        <v/>
      </c>
      <c r="AG10" s="36">
        <f>'總表'!BS55</f>
        <v/>
      </c>
      <c r="AH10" s="36">
        <f>'總表'!BT55</f>
        <v/>
      </c>
      <c r="AI10" s="36">
        <f>'總表'!BU55</f>
        <v/>
      </c>
      <c r="AJ10" s="37">
        <f>'總表'!BV55</f>
        <v/>
      </c>
      <c r="AK10" s="22">
        <f>'總表'!A55</f>
        <v/>
      </c>
      <c r="AL10" s="22">
        <f>'總表'!B55</f>
        <v/>
      </c>
      <c r="AM10" s="22">
        <f>'總表'!BW55</f>
        <v/>
      </c>
    </row>
    <row r="11">
      <c r="A11" s="22" t="n">
        <v>10</v>
      </c>
      <c r="B11" s="23" t="inlineStr">
        <is>
          <t>NVTS</t>
        </is>
      </c>
      <c r="C11" s="22">
        <f>'總表'!D56</f>
        <v/>
      </c>
      <c r="D11" s="22">
        <f>'總表'!F56</f>
        <v/>
      </c>
      <c r="E11" s="22">
        <f>'總表'!G56</f>
        <v/>
      </c>
      <c r="F11" s="22">
        <f>'總表'!I56</f>
        <v/>
      </c>
      <c r="G11" s="62">
        <f>'總表'!H56</f>
        <v/>
      </c>
      <c r="H11" s="63">
        <f>'總表'!J56</f>
        <v/>
      </c>
      <c r="I11" s="26">
        <f>'總表'!L56</f>
        <v/>
      </c>
      <c r="J11" s="63">
        <f>'總表'!R56</f>
        <v/>
      </c>
      <c r="K11" s="63">
        <f>'總表'!S56</f>
        <v/>
      </c>
      <c r="L11" s="26">
        <f>'總表'!W56</f>
        <v/>
      </c>
      <c r="M11" s="26">
        <f>'總表'!X56</f>
        <v/>
      </c>
      <c r="N11" s="28">
        <f>'總表'!AA56</f>
        <v/>
      </c>
      <c r="O11" s="28">
        <f>'總表'!AB56</f>
        <v/>
      </c>
      <c r="P11" s="22">
        <f>'總表'!AD56</f>
        <v/>
      </c>
      <c r="Q11" s="26">
        <f>'總表'!U56</f>
        <v/>
      </c>
      <c r="R11" s="22">
        <f>'總表'!AE56</f>
        <v/>
      </c>
      <c r="S11" s="22">
        <f>'總表'!AI56</f>
        <v/>
      </c>
      <c r="T11" s="22">
        <f>'總表'!AJ56</f>
        <v/>
      </c>
      <c r="U11" s="22">
        <f>'總表'!AK56</f>
        <v/>
      </c>
      <c r="V11" s="22">
        <f>'總表'!AL56</f>
        <v/>
      </c>
      <c r="W11" s="26">
        <f>'總表'!AQ56</f>
        <v/>
      </c>
      <c r="X11" s="26">
        <f>'總表'!AS56</f>
        <v/>
      </c>
      <c r="Y11" s="22">
        <f>'總表'!BE56</f>
        <v/>
      </c>
      <c r="Z11" s="28">
        <f>'總表'!BH56</f>
        <v/>
      </c>
      <c r="AA11" s="36">
        <f>'總表'!BP56</f>
        <v/>
      </c>
      <c r="AB11" s="22">
        <f>'總表'!BA56</f>
        <v/>
      </c>
      <c r="AC11" s="22">
        <f>'總表'!BB56</f>
        <v/>
      </c>
      <c r="AD11" s="22">
        <f>'總表'!BC56</f>
        <v/>
      </c>
      <c r="AE11" s="33">
        <f>'總表'!AW56</f>
        <v/>
      </c>
      <c r="AF11" s="36">
        <f>'總表'!BR56</f>
        <v/>
      </c>
      <c r="AG11" s="36">
        <f>'總表'!BS56</f>
        <v/>
      </c>
      <c r="AH11" s="36">
        <f>'總表'!BT56</f>
        <v/>
      </c>
      <c r="AI11" s="36">
        <f>'總表'!BU56</f>
        <v/>
      </c>
      <c r="AJ11" s="37">
        <f>'總表'!BV56</f>
        <v/>
      </c>
      <c r="AK11" s="22">
        <f>'總表'!A56</f>
        <v/>
      </c>
      <c r="AL11" s="22">
        <f>'總表'!B56</f>
        <v/>
      </c>
      <c r="AM11" s="22">
        <f>'總表'!BW56</f>
        <v/>
      </c>
    </row>
    <row r="12">
      <c r="A12" s="22" t="n">
        <v>11</v>
      </c>
      <c r="B12" s="23" t="inlineStr">
        <is>
          <t>PCRX</t>
        </is>
      </c>
      <c r="C12" s="22">
        <f>'總表'!D57</f>
        <v/>
      </c>
      <c r="D12" s="22">
        <f>'總表'!F57</f>
        <v/>
      </c>
      <c r="E12" s="22">
        <f>'總表'!G57</f>
        <v/>
      </c>
      <c r="F12" s="22">
        <f>'總表'!I57</f>
        <v/>
      </c>
      <c r="G12" s="62">
        <f>'總表'!H57</f>
        <v/>
      </c>
      <c r="H12" s="63">
        <f>'總表'!J57</f>
        <v/>
      </c>
      <c r="I12" s="26">
        <f>'總表'!L57</f>
        <v/>
      </c>
      <c r="J12" s="63">
        <f>'總表'!R57</f>
        <v/>
      </c>
      <c r="K12" s="63">
        <f>'總表'!S57</f>
        <v/>
      </c>
      <c r="L12" s="26">
        <f>'總表'!W57</f>
        <v/>
      </c>
      <c r="M12" s="26">
        <f>'總表'!X57</f>
        <v/>
      </c>
      <c r="N12" s="28">
        <f>'總表'!AA57</f>
        <v/>
      </c>
      <c r="O12" s="28">
        <f>'總表'!AB57</f>
        <v/>
      </c>
      <c r="P12" s="22">
        <f>'總表'!AD57</f>
        <v/>
      </c>
      <c r="Q12" s="26">
        <f>'總表'!U57</f>
        <v/>
      </c>
      <c r="R12" s="22">
        <f>'總表'!AE57</f>
        <v/>
      </c>
      <c r="S12" s="22">
        <f>'總表'!AI57</f>
        <v/>
      </c>
      <c r="T12" s="22">
        <f>'總表'!AJ57</f>
        <v/>
      </c>
      <c r="U12" s="22">
        <f>'總表'!AK57</f>
        <v/>
      </c>
      <c r="V12" s="22">
        <f>'總表'!AL57</f>
        <v/>
      </c>
      <c r="W12" s="26">
        <f>'總表'!AQ57</f>
        <v/>
      </c>
      <c r="X12" s="26">
        <f>'總表'!AS57</f>
        <v/>
      </c>
      <c r="Y12" s="22">
        <f>'總表'!BE57</f>
        <v/>
      </c>
      <c r="Z12" s="28">
        <f>'總表'!BH57</f>
        <v/>
      </c>
      <c r="AA12" s="36">
        <f>'總表'!BP57</f>
        <v/>
      </c>
      <c r="AB12" s="22">
        <f>'總表'!BA57</f>
        <v/>
      </c>
      <c r="AC12" s="22">
        <f>'總表'!BB57</f>
        <v/>
      </c>
      <c r="AD12" s="22">
        <f>'總表'!BC57</f>
        <v/>
      </c>
      <c r="AE12" s="33">
        <f>'總表'!AW57</f>
        <v/>
      </c>
      <c r="AF12" s="36">
        <f>'總表'!BR57</f>
        <v/>
      </c>
      <c r="AG12" s="36">
        <f>'總表'!BS57</f>
        <v/>
      </c>
      <c r="AH12" s="36">
        <f>'總表'!BT57</f>
        <v/>
      </c>
      <c r="AI12" s="36">
        <f>'總表'!BU57</f>
        <v/>
      </c>
      <c r="AJ12" s="37">
        <f>'總表'!BV57</f>
        <v/>
      </c>
      <c r="AK12" s="22">
        <f>'總表'!A57</f>
        <v/>
      </c>
      <c r="AL12" s="22">
        <f>'總表'!B57</f>
        <v/>
      </c>
      <c r="AM12" s="22">
        <f>'總表'!BW57</f>
        <v/>
      </c>
    </row>
    <row r="13">
      <c r="A13" s="22" t="n">
        <v>12</v>
      </c>
      <c r="B13" s="23" t="inlineStr">
        <is>
          <t>GFS</t>
        </is>
      </c>
      <c r="C13" s="22">
        <f>'總表'!D59</f>
        <v/>
      </c>
      <c r="D13" s="22">
        <f>'總表'!F59</f>
        <v/>
      </c>
      <c r="E13" s="22">
        <f>'總表'!G59</f>
        <v/>
      </c>
      <c r="F13" s="22">
        <f>'總表'!I59</f>
        <v/>
      </c>
      <c r="G13" s="62">
        <f>'總表'!H59</f>
        <v/>
      </c>
      <c r="H13" s="63">
        <f>'總表'!J59</f>
        <v/>
      </c>
      <c r="I13" s="26">
        <f>'總表'!L59</f>
        <v/>
      </c>
      <c r="J13" s="63">
        <f>'總表'!R59</f>
        <v/>
      </c>
      <c r="K13" s="63">
        <f>'總表'!S59</f>
        <v/>
      </c>
      <c r="L13" s="26">
        <f>'總表'!W59</f>
        <v/>
      </c>
      <c r="M13" s="26">
        <f>'總表'!X59</f>
        <v/>
      </c>
      <c r="N13" s="28">
        <f>'總表'!AA59</f>
        <v/>
      </c>
      <c r="O13" s="28">
        <f>'總表'!AB59</f>
        <v/>
      </c>
      <c r="P13" s="22">
        <f>'總表'!AD59</f>
        <v/>
      </c>
      <c r="Q13" s="26">
        <f>'總表'!U59</f>
        <v/>
      </c>
      <c r="R13" s="22">
        <f>'總表'!AE59</f>
        <v/>
      </c>
      <c r="S13" s="22">
        <f>'總表'!AI59</f>
        <v/>
      </c>
      <c r="T13" s="22">
        <f>'總表'!AJ59</f>
        <v/>
      </c>
      <c r="U13" s="22">
        <f>'總表'!AK59</f>
        <v/>
      </c>
      <c r="V13" s="22">
        <f>'總表'!AL59</f>
        <v/>
      </c>
      <c r="W13" s="26">
        <f>'總表'!AQ59</f>
        <v/>
      </c>
      <c r="X13" s="26">
        <f>'總表'!AS59</f>
        <v/>
      </c>
      <c r="Y13" s="22">
        <f>'總表'!BE59</f>
        <v/>
      </c>
      <c r="Z13" s="28">
        <f>'總表'!BH59</f>
        <v/>
      </c>
      <c r="AA13" s="36">
        <f>'總表'!BP59</f>
        <v/>
      </c>
      <c r="AB13" s="22">
        <f>'總表'!BA59</f>
        <v/>
      </c>
      <c r="AC13" s="22">
        <f>'總表'!BB59</f>
        <v/>
      </c>
      <c r="AD13" s="22">
        <f>'總表'!BC59</f>
        <v/>
      </c>
      <c r="AE13" s="33">
        <f>'總表'!AW59</f>
        <v/>
      </c>
      <c r="AF13" s="36">
        <f>'總表'!BR59</f>
        <v/>
      </c>
      <c r="AG13" s="36">
        <f>'總表'!BS59</f>
        <v/>
      </c>
      <c r="AH13" s="36">
        <f>'總表'!BT59</f>
        <v/>
      </c>
      <c r="AI13" s="36">
        <f>'總表'!BU59</f>
        <v/>
      </c>
      <c r="AJ13" s="37">
        <f>'總表'!BV59</f>
        <v/>
      </c>
      <c r="AK13" s="22">
        <f>'總表'!A59</f>
        <v/>
      </c>
      <c r="AL13" s="22">
        <f>'總表'!B59</f>
        <v/>
      </c>
      <c r="AM13" s="22">
        <f>'總表'!BW59</f>
        <v/>
      </c>
    </row>
    <row r="14">
      <c r="A14" s="22" t="n">
        <v>13</v>
      </c>
      <c r="B14" s="23" t="inlineStr">
        <is>
          <t>LYTS</t>
        </is>
      </c>
      <c r="C14" s="22">
        <f>'總表'!D61</f>
        <v/>
      </c>
      <c r="D14" s="22">
        <f>'總表'!F61</f>
        <v/>
      </c>
      <c r="E14" s="22">
        <f>'總表'!G61</f>
        <v/>
      </c>
      <c r="F14" s="22">
        <f>'總表'!I61</f>
        <v/>
      </c>
      <c r="G14" s="62">
        <f>'總表'!H61</f>
        <v/>
      </c>
      <c r="H14" s="63">
        <f>'總表'!J61</f>
        <v/>
      </c>
      <c r="I14" s="26">
        <f>'總表'!L61</f>
        <v/>
      </c>
      <c r="J14" s="63">
        <f>'總表'!R61</f>
        <v/>
      </c>
      <c r="K14" s="63">
        <f>'總表'!S61</f>
        <v/>
      </c>
      <c r="L14" s="26">
        <f>'總表'!W61</f>
        <v/>
      </c>
      <c r="M14" s="26">
        <f>'總表'!X61</f>
        <v/>
      </c>
      <c r="N14" s="28">
        <f>'總表'!AA61</f>
        <v/>
      </c>
      <c r="O14" s="28">
        <f>'總表'!AB61</f>
        <v/>
      </c>
      <c r="P14" s="22">
        <f>'總表'!AD61</f>
        <v/>
      </c>
      <c r="Q14" s="26">
        <f>'總表'!U61</f>
        <v/>
      </c>
      <c r="R14" s="22">
        <f>'總表'!AE61</f>
        <v/>
      </c>
      <c r="S14" s="22">
        <f>'總表'!AI61</f>
        <v/>
      </c>
      <c r="T14" s="22">
        <f>'總表'!AJ61</f>
        <v/>
      </c>
      <c r="U14" s="22">
        <f>'總表'!AK61</f>
        <v/>
      </c>
      <c r="V14" s="22">
        <f>'總表'!AL61</f>
        <v/>
      </c>
      <c r="W14" s="26">
        <f>'總表'!AQ61</f>
        <v/>
      </c>
      <c r="X14" s="26">
        <f>'總表'!AS61</f>
        <v/>
      </c>
      <c r="Y14" s="22">
        <f>'總表'!BE61</f>
        <v/>
      </c>
      <c r="Z14" s="28">
        <f>'總表'!BH61</f>
        <v/>
      </c>
      <c r="AA14" s="36">
        <f>'總表'!BP61</f>
        <v/>
      </c>
      <c r="AB14" s="22">
        <f>'總表'!BA61</f>
        <v/>
      </c>
      <c r="AC14" s="22">
        <f>'總表'!BB61</f>
        <v/>
      </c>
      <c r="AD14" s="22">
        <f>'總表'!BC61</f>
        <v/>
      </c>
      <c r="AE14" s="33">
        <f>'總表'!AW61</f>
        <v/>
      </c>
      <c r="AF14" s="36">
        <f>'總表'!BR61</f>
        <v/>
      </c>
      <c r="AG14" s="36">
        <f>'總表'!BS61</f>
        <v/>
      </c>
      <c r="AH14" s="36">
        <f>'總表'!BT61</f>
        <v/>
      </c>
      <c r="AI14" s="36">
        <f>'總表'!BU61</f>
        <v/>
      </c>
      <c r="AJ14" s="37">
        <f>'總表'!BV61</f>
        <v/>
      </c>
      <c r="AK14" s="22">
        <f>'總表'!A61</f>
        <v/>
      </c>
      <c r="AL14" s="22">
        <f>'總表'!B61</f>
        <v/>
      </c>
      <c r="AM14" s="22">
        <f>'總表'!BW61</f>
        <v/>
      </c>
    </row>
    <row r="15">
      <c r="A15" s="22" t="n">
        <v>14</v>
      </c>
      <c r="B15" s="23" t="inlineStr">
        <is>
          <t>FLEX</t>
        </is>
      </c>
      <c r="C15" s="22">
        <f>'總表'!D62</f>
        <v/>
      </c>
      <c r="D15" s="22">
        <f>'總表'!F62</f>
        <v/>
      </c>
      <c r="E15" s="22">
        <f>'總表'!G62</f>
        <v/>
      </c>
      <c r="F15" s="22">
        <f>'總表'!I62</f>
        <v/>
      </c>
      <c r="G15" s="62">
        <f>'總表'!H62</f>
        <v/>
      </c>
      <c r="H15" s="63">
        <f>'總表'!J62</f>
        <v/>
      </c>
      <c r="I15" s="26">
        <f>'總表'!L62</f>
        <v/>
      </c>
      <c r="J15" s="63">
        <f>'總表'!R62</f>
        <v/>
      </c>
      <c r="K15" s="63">
        <f>'總表'!S62</f>
        <v/>
      </c>
      <c r="L15" s="26">
        <f>'總表'!W62</f>
        <v/>
      </c>
      <c r="M15" s="26">
        <f>'總表'!X62</f>
        <v/>
      </c>
      <c r="N15" s="28">
        <f>'總表'!AA62</f>
        <v/>
      </c>
      <c r="O15" s="28">
        <f>'總表'!AB62</f>
        <v/>
      </c>
      <c r="P15" s="22">
        <f>'總表'!AD62</f>
        <v/>
      </c>
      <c r="Q15" s="26">
        <f>'總表'!U62</f>
        <v/>
      </c>
      <c r="R15" s="22">
        <f>'總表'!AE62</f>
        <v/>
      </c>
      <c r="S15" s="22">
        <f>'總表'!AI62</f>
        <v/>
      </c>
      <c r="T15" s="22">
        <f>'總表'!AJ62</f>
        <v/>
      </c>
      <c r="U15" s="22">
        <f>'總表'!AK62</f>
        <v/>
      </c>
      <c r="V15" s="22">
        <f>'總表'!AL62</f>
        <v/>
      </c>
      <c r="W15" s="26">
        <f>'總表'!AQ62</f>
        <v/>
      </c>
      <c r="X15" s="26">
        <f>'總表'!AS62</f>
        <v/>
      </c>
      <c r="Y15" s="22">
        <f>'總表'!BE62</f>
        <v/>
      </c>
      <c r="Z15" s="28">
        <f>'總表'!BH62</f>
        <v/>
      </c>
      <c r="AA15" s="36">
        <f>'總表'!BP62</f>
        <v/>
      </c>
      <c r="AB15" s="22">
        <f>'總表'!BA62</f>
        <v/>
      </c>
      <c r="AC15" s="22">
        <f>'總表'!BB62</f>
        <v/>
      </c>
      <c r="AD15" s="22">
        <f>'總表'!BC62</f>
        <v/>
      </c>
      <c r="AE15" s="33">
        <f>'總表'!AW62</f>
        <v/>
      </c>
      <c r="AF15" s="36">
        <f>'總表'!BR62</f>
        <v/>
      </c>
      <c r="AG15" s="36">
        <f>'總表'!BS62</f>
        <v/>
      </c>
      <c r="AH15" s="36">
        <f>'總表'!BT62</f>
        <v/>
      </c>
      <c r="AI15" s="36">
        <f>'總表'!BU62</f>
        <v/>
      </c>
      <c r="AJ15" s="37">
        <f>'總表'!BV62</f>
        <v/>
      </c>
      <c r="AK15" s="22">
        <f>'總表'!A62</f>
        <v/>
      </c>
      <c r="AL15" s="22">
        <f>'總表'!B62</f>
        <v/>
      </c>
      <c r="AM15" s="22">
        <f>'總表'!BW62</f>
        <v/>
      </c>
    </row>
    <row r="16">
      <c r="A16" s="38" t="n">
        <v>15</v>
      </c>
      <c r="B16" s="39" t="inlineStr">
        <is>
          <t>MAZE</t>
        </is>
      </c>
      <c r="C16" s="38">
        <f>'總表'!D100</f>
        <v/>
      </c>
      <c r="D16" s="38">
        <f>'總表'!F100</f>
        <v/>
      </c>
      <c r="E16" s="38">
        <f>'總表'!G100</f>
        <v/>
      </c>
      <c r="F16" s="38">
        <f>'總表'!I100</f>
        <v/>
      </c>
      <c r="G16" s="64">
        <f>'總表'!H100</f>
        <v/>
      </c>
      <c r="H16" s="65">
        <f>'總表'!J100</f>
        <v/>
      </c>
      <c r="I16" s="42">
        <f>'總表'!L100</f>
        <v/>
      </c>
      <c r="J16" s="65">
        <f>'總表'!R100</f>
        <v/>
      </c>
      <c r="K16" s="65">
        <f>'總表'!S100</f>
        <v/>
      </c>
      <c r="L16" s="42">
        <f>'總表'!W100</f>
        <v/>
      </c>
      <c r="M16" s="42">
        <f>'總表'!X100</f>
        <v/>
      </c>
      <c r="N16" s="44">
        <f>'總表'!AA100</f>
        <v/>
      </c>
      <c r="O16" s="44">
        <f>'總表'!AB100</f>
        <v/>
      </c>
      <c r="P16" s="38">
        <f>'總表'!AD100</f>
        <v/>
      </c>
      <c r="Q16" s="42">
        <f>'總表'!U100</f>
        <v/>
      </c>
      <c r="R16" s="38">
        <f>'總表'!AE100</f>
        <v/>
      </c>
      <c r="S16" s="38">
        <f>'總表'!AI100</f>
        <v/>
      </c>
      <c r="T16" s="38">
        <f>'總表'!AJ100</f>
        <v/>
      </c>
      <c r="U16" s="38">
        <f>'總表'!AK100</f>
        <v/>
      </c>
      <c r="V16" s="38">
        <f>'總表'!AL100</f>
        <v/>
      </c>
      <c r="W16" s="42">
        <f>'總表'!AQ100</f>
        <v/>
      </c>
      <c r="X16" s="42">
        <f>'總表'!AS100</f>
        <v/>
      </c>
      <c r="Y16" s="38">
        <f>'總表'!BE100</f>
        <v/>
      </c>
      <c r="Z16" s="44">
        <f>'總表'!BH100</f>
        <v/>
      </c>
      <c r="AA16" s="52">
        <f>'總表'!BP100</f>
        <v/>
      </c>
      <c r="AB16" s="38">
        <f>'總表'!BA100</f>
        <v/>
      </c>
      <c r="AC16" s="38">
        <f>'總表'!BB100</f>
        <v/>
      </c>
      <c r="AD16" s="38">
        <f>'總表'!BC100</f>
        <v/>
      </c>
      <c r="AE16" s="49">
        <f>'總表'!AW100</f>
        <v/>
      </c>
      <c r="AF16" s="52">
        <f>'總表'!BR100</f>
        <v/>
      </c>
      <c r="AG16" s="52">
        <f>'總表'!BS100</f>
        <v/>
      </c>
      <c r="AH16" s="52">
        <f>'總表'!BT100</f>
        <v/>
      </c>
      <c r="AI16" s="52">
        <f>'總表'!BU100</f>
        <v/>
      </c>
      <c r="AJ16" s="53">
        <f>'總表'!BV100</f>
        <v/>
      </c>
      <c r="AK16" s="38">
        <f>'總表'!A100</f>
        <v/>
      </c>
      <c r="AL16" s="38">
        <f>'總表'!B100</f>
        <v/>
      </c>
      <c r="AM16" s="38">
        <f>'總表'!BW100</f>
        <v/>
      </c>
    </row>
    <row r="17">
      <c r="A17" s="38" t="n">
        <v>16</v>
      </c>
      <c r="B17" s="39" t="inlineStr">
        <is>
          <t>M</t>
        </is>
      </c>
      <c r="C17" s="38">
        <f>'總表'!D107</f>
        <v/>
      </c>
      <c r="D17" s="38">
        <f>'總表'!F107</f>
        <v/>
      </c>
      <c r="E17" s="38">
        <f>'總表'!G107</f>
        <v/>
      </c>
      <c r="F17" s="38">
        <f>'總表'!I107</f>
        <v/>
      </c>
      <c r="G17" s="64">
        <f>'總表'!H107</f>
        <v/>
      </c>
      <c r="H17" s="65">
        <f>'總表'!J107</f>
        <v/>
      </c>
      <c r="I17" s="42">
        <f>'總表'!L107</f>
        <v/>
      </c>
      <c r="J17" s="65">
        <f>'總表'!R107</f>
        <v/>
      </c>
      <c r="K17" s="65">
        <f>'總表'!S107</f>
        <v/>
      </c>
      <c r="L17" s="42">
        <f>'總表'!W107</f>
        <v/>
      </c>
      <c r="M17" s="42">
        <f>'總表'!X107</f>
        <v/>
      </c>
      <c r="N17" s="44">
        <f>'總表'!AA107</f>
        <v/>
      </c>
      <c r="O17" s="44">
        <f>'總表'!AB107</f>
        <v/>
      </c>
      <c r="P17" s="38">
        <f>'總表'!AD107</f>
        <v/>
      </c>
      <c r="Q17" s="42">
        <f>'總表'!U107</f>
        <v/>
      </c>
      <c r="R17" s="38">
        <f>'總表'!AE107</f>
        <v/>
      </c>
      <c r="S17" s="38">
        <f>'總表'!AI107</f>
        <v/>
      </c>
      <c r="T17" s="38">
        <f>'總表'!AJ107</f>
        <v/>
      </c>
      <c r="U17" s="38">
        <f>'總表'!AK107</f>
        <v/>
      </c>
      <c r="V17" s="38">
        <f>'總表'!AL107</f>
        <v/>
      </c>
      <c r="W17" s="42">
        <f>'總表'!AQ107</f>
        <v/>
      </c>
      <c r="X17" s="42">
        <f>'總表'!AS107</f>
        <v/>
      </c>
      <c r="Y17" s="38">
        <f>'總表'!BE107</f>
        <v/>
      </c>
      <c r="Z17" s="44">
        <f>'總表'!BH107</f>
        <v/>
      </c>
      <c r="AA17" s="52">
        <f>'總表'!BP107</f>
        <v/>
      </c>
      <c r="AB17" s="38">
        <f>'總表'!BA107</f>
        <v/>
      </c>
      <c r="AC17" s="38">
        <f>'總表'!BB107</f>
        <v/>
      </c>
      <c r="AD17" s="38">
        <f>'總表'!BC107</f>
        <v/>
      </c>
      <c r="AE17" s="49">
        <f>'總表'!AW107</f>
        <v/>
      </c>
      <c r="AF17" s="52">
        <f>'總表'!BR107</f>
        <v/>
      </c>
      <c r="AG17" s="52">
        <f>'總表'!BS107</f>
        <v/>
      </c>
      <c r="AH17" s="52">
        <f>'總表'!BT107</f>
        <v/>
      </c>
      <c r="AI17" s="52">
        <f>'總表'!BU107</f>
        <v/>
      </c>
      <c r="AJ17" s="53">
        <f>'總表'!BV107</f>
        <v/>
      </c>
      <c r="AK17" s="38">
        <f>'總表'!A107</f>
        <v/>
      </c>
      <c r="AL17" s="38">
        <f>'總表'!B107</f>
        <v/>
      </c>
      <c r="AM17" s="38">
        <f>'總表'!BW107</f>
        <v/>
      </c>
    </row>
    <row r="18">
      <c r="A18" s="38" t="n">
        <v>17</v>
      </c>
      <c r="B18" s="39" t="inlineStr">
        <is>
          <t>XOM</t>
        </is>
      </c>
      <c r="C18" s="38">
        <f>'總表'!D133</f>
        <v/>
      </c>
      <c r="D18" s="38">
        <f>'總表'!F133</f>
        <v/>
      </c>
      <c r="E18" s="38">
        <f>'總表'!G133</f>
        <v/>
      </c>
      <c r="F18" s="38">
        <f>'總表'!I133</f>
        <v/>
      </c>
      <c r="G18" s="64">
        <f>'總表'!H133</f>
        <v/>
      </c>
      <c r="H18" s="65">
        <f>'總表'!J133</f>
        <v/>
      </c>
      <c r="I18" s="42">
        <f>'總表'!L133</f>
        <v/>
      </c>
      <c r="J18" s="65">
        <f>'總表'!R133</f>
        <v/>
      </c>
      <c r="K18" s="65">
        <f>'總表'!S133</f>
        <v/>
      </c>
      <c r="L18" s="42">
        <f>'總表'!W133</f>
        <v/>
      </c>
      <c r="M18" s="42">
        <f>'總表'!X133</f>
        <v/>
      </c>
      <c r="N18" s="44">
        <f>'總表'!AA133</f>
        <v/>
      </c>
      <c r="O18" s="44">
        <f>'總表'!AB133</f>
        <v/>
      </c>
      <c r="P18" s="38">
        <f>'總表'!AD133</f>
        <v/>
      </c>
      <c r="Q18" s="42">
        <f>'總表'!U133</f>
        <v/>
      </c>
      <c r="R18" s="38">
        <f>'總表'!AE133</f>
        <v/>
      </c>
      <c r="S18" s="38">
        <f>'總表'!AI133</f>
        <v/>
      </c>
      <c r="T18" s="38">
        <f>'總表'!AJ133</f>
        <v/>
      </c>
      <c r="U18" s="38">
        <f>'總表'!AK133</f>
        <v/>
      </c>
      <c r="V18" s="38">
        <f>'總表'!AL133</f>
        <v/>
      </c>
      <c r="W18" s="42">
        <f>'總表'!AQ133</f>
        <v/>
      </c>
      <c r="X18" s="42">
        <f>'總表'!AS133</f>
        <v/>
      </c>
      <c r="Y18" s="38">
        <f>'總表'!BE133</f>
        <v/>
      </c>
      <c r="Z18" s="44">
        <f>'總表'!BH133</f>
        <v/>
      </c>
      <c r="AA18" s="52">
        <f>'總表'!BP133</f>
        <v/>
      </c>
      <c r="AB18" s="38">
        <f>'總表'!BA133</f>
        <v/>
      </c>
      <c r="AC18" s="38">
        <f>'總表'!BB133</f>
        <v/>
      </c>
      <c r="AD18" s="38">
        <f>'總表'!BC133</f>
        <v/>
      </c>
      <c r="AE18" s="49">
        <f>'總表'!AW133</f>
        <v/>
      </c>
      <c r="AF18" s="52">
        <f>'總表'!BR133</f>
        <v/>
      </c>
      <c r="AG18" s="52">
        <f>'總表'!BS133</f>
        <v/>
      </c>
      <c r="AH18" s="52">
        <f>'總表'!BT133</f>
        <v/>
      </c>
      <c r="AI18" s="52">
        <f>'總表'!BU133</f>
        <v/>
      </c>
      <c r="AJ18" s="53">
        <f>'總表'!BV133</f>
        <v/>
      </c>
      <c r="AK18" s="38">
        <f>'總表'!A133</f>
        <v/>
      </c>
      <c r="AL18" s="38">
        <f>'總表'!B133</f>
        <v/>
      </c>
      <c r="AM18" s="38">
        <f>'總表'!BW133</f>
        <v/>
      </c>
    </row>
    <row r="20">
      <c r="A20" s="66" t="inlineStr">
        <is>
          <t>核心六條件全過，而且 9EMA 喺最近 5 個交易日內剛升穿 21EMA（金叉日期欄）。 第一梯隊 6 隻；灰底＝第二梯隊（只差一項）8 隻；橙底＝第三梯隊（價格四項過、只差 MACD 慢線／柱轉勢，候補）3 隻；「唔過嘅條件」欄列明。每格引用總表同一行，改總表會跟住變。</t>
        </is>
      </c>
    </row>
  </sheetData>
  <autoFilter ref="A1:AM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6" customWidth="1" min="28" max="28"/>
    <col width="9" customWidth="1" min="29" max="29"/>
    <col width="6" customWidth="1" min="30" max="30"/>
    <col width="8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5" customWidth="1" min="37" max="37"/>
    <col width="6" customWidth="1" min="38" max="38"/>
    <col width="14" customWidth="1" min="39" max="39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柱顏色</t>
        </is>
      </c>
      <c r="AC1" s="4" t="inlineStr">
        <is>
          <t>柱轉勢</t>
        </is>
      </c>
      <c r="AD1" s="4" t="inlineStr">
        <is>
          <t>轉勢幾日前</t>
        </is>
      </c>
      <c r="AE1" s="4" t="inlineStr">
        <is>
          <t>慢線斜率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梯隊</t>
        </is>
      </c>
      <c r="AL1" s="4" t="inlineStr">
        <is>
          <t>總表排名</t>
        </is>
      </c>
      <c r="AM1" s="4" t="inlineStr">
        <is>
          <t>唔過嘅條件</t>
        </is>
      </c>
    </row>
    <row r="2">
      <c r="A2" s="38" t="n">
        <v>1</v>
      </c>
      <c r="B2" s="39" t="inlineStr">
        <is>
          <t>HYPD</t>
        </is>
      </c>
      <c r="C2" s="38">
        <f>'總表'!D97</f>
        <v/>
      </c>
      <c r="D2" s="38">
        <f>'總表'!F97</f>
        <v/>
      </c>
      <c r="E2" s="38">
        <f>'總表'!G97</f>
        <v/>
      </c>
      <c r="F2" s="38">
        <f>'總表'!I97</f>
        <v/>
      </c>
      <c r="G2" s="64">
        <f>'總表'!H97</f>
        <v/>
      </c>
      <c r="H2" s="65">
        <f>'總表'!J97</f>
        <v/>
      </c>
      <c r="I2" s="42">
        <f>'總表'!L97</f>
        <v/>
      </c>
      <c r="J2" s="65">
        <f>'總表'!R97</f>
        <v/>
      </c>
      <c r="K2" s="65">
        <f>'總表'!S97</f>
        <v/>
      </c>
      <c r="L2" s="42">
        <f>'總表'!W97</f>
        <v/>
      </c>
      <c r="M2" s="42">
        <f>'總表'!X97</f>
        <v/>
      </c>
      <c r="N2" s="44">
        <f>'總表'!AA97</f>
        <v/>
      </c>
      <c r="O2" s="44">
        <f>'總表'!AB97</f>
        <v/>
      </c>
      <c r="P2" s="38">
        <f>'總表'!AD97</f>
        <v/>
      </c>
      <c r="Q2" s="42">
        <f>'總表'!U97</f>
        <v/>
      </c>
      <c r="R2" s="38">
        <f>'總表'!AE97</f>
        <v/>
      </c>
      <c r="S2" s="38">
        <f>'總表'!AI97</f>
        <v/>
      </c>
      <c r="T2" s="38">
        <f>'總表'!AJ97</f>
        <v/>
      </c>
      <c r="U2" s="38">
        <f>'總表'!AK97</f>
        <v/>
      </c>
      <c r="V2" s="38">
        <f>'總表'!AL97</f>
        <v/>
      </c>
      <c r="W2" s="42">
        <f>'總表'!AQ97</f>
        <v/>
      </c>
      <c r="X2" s="42">
        <f>'總表'!AS97</f>
        <v/>
      </c>
      <c r="Y2" s="38">
        <f>'總表'!BE97</f>
        <v/>
      </c>
      <c r="Z2" s="44">
        <f>'總表'!BH97</f>
        <v/>
      </c>
      <c r="AA2" s="52">
        <f>'總表'!BP97</f>
        <v/>
      </c>
      <c r="AB2" s="38">
        <f>'總表'!BA97</f>
        <v/>
      </c>
      <c r="AC2" s="38">
        <f>'總表'!BB97</f>
        <v/>
      </c>
      <c r="AD2" s="38">
        <f>'總表'!BC97</f>
        <v/>
      </c>
      <c r="AE2" s="49">
        <f>'總表'!AW97</f>
        <v/>
      </c>
      <c r="AF2" s="52">
        <f>'總表'!BR97</f>
        <v/>
      </c>
      <c r="AG2" s="52">
        <f>'總表'!BS97</f>
        <v/>
      </c>
      <c r="AH2" s="52">
        <f>'總表'!BT97</f>
        <v/>
      </c>
      <c r="AI2" s="52">
        <f>'總表'!BU97</f>
        <v/>
      </c>
      <c r="AJ2" s="53">
        <f>'總表'!BV97</f>
        <v/>
      </c>
      <c r="AK2" s="38">
        <f>'總表'!A97</f>
        <v/>
      </c>
      <c r="AL2" s="38">
        <f>'總表'!B97</f>
        <v/>
      </c>
      <c r="AM2" s="38">
        <f>'總表'!BW97</f>
        <v/>
      </c>
    </row>
    <row r="3">
      <c r="A3" s="38" t="n">
        <v>2</v>
      </c>
      <c r="B3" s="39" t="inlineStr">
        <is>
          <t>SMTI</t>
        </is>
      </c>
      <c r="C3" s="38">
        <f>'總表'!D99</f>
        <v/>
      </c>
      <c r="D3" s="38">
        <f>'總表'!F99</f>
        <v/>
      </c>
      <c r="E3" s="38">
        <f>'總表'!G99</f>
        <v/>
      </c>
      <c r="F3" s="38">
        <f>'總表'!I99</f>
        <v/>
      </c>
      <c r="G3" s="64">
        <f>'總表'!H99</f>
        <v/>
      </c>
      <c r="H3" s="65">
        <f>'總表'!J99</f>
        <v/>
      </c>
      <c r="I3" s="42">
        <f>'總表'!L99</f>
        <v/>
      </c>
      <c r="J3" s="65">
        <f>'總表'!R99</f>
        <v/>
      </c>
      <c r="K3" s="65">
        <f>'總表'!S99</f>
        <v/>
      </c>
      <c r="L3" s="42">
        <f>'總表'!W99</f>
        <v/>
      </c>
      <c r="M3" s="42">
        <f>'總表'!X99</f>
        <v/>
      </c>
      <c r="N3" s="44">
        <f>'總表'!AA99</f>
        <v/>
      </c>
      <c r="O3" s="44">
        <f>'總表'!AB99</f>
        <v/>
      </c>
      <c r="P3" s="38">
        <f>'總表'!AD99</f>
        <v/>
      </c>
      <c r="Q3" s="42">
        <f>'總表'!U99</f>
        <v/>
      </c>
      <c r="R3" s="38">
        <f>'總表'!AE99</f>
        <v/>
      </c>
      <c r="S3" s="38">
        <f>'總表'!AI99</f>
        <v/>
      </c>
      <c r="T3" s="38">
        <f>'總表'!AJ99</f>
        <v/>
      </c>
      <c r="U3" s="38">
        <f>'總表'!AK99</f>
        <v/>
      </c>
      <c r="V3" s="38">
        <f>'總表'!AL99</f>
        <v/>
      </c>
      <c r="W3" s="42">
        <f>'總表'!AQ99</f>
        <v/>
      </c>
      <c r="X3" s="42">
        <f>'總表'!AS99</f>
        <v/>
      </c>
      <c r="Y3" s="38">
        <f>'總表'!BE99</f>
        <v/>
      </c>
      <c r="Z3" s="44">
        <f>'總表'!BH99</f>
        <v/>
      </c>
      <c r="AA3" s="52">
        <f>'總表'!BP99</f>
        <v/>
      </c>
      <c r="AB3" s="38">
        <f>'總表'!BA99</f>
        <v/>
      </c>
      <c r="AC3" s="38">
        <f>'總表'!BB99</f>
        <v/>
      </c>
      <c r="AD3" s="38">
        <f>'總表'!BC99</f>
        <v/>
      </c>
      <c r="AE3" s="49">
        <f>'總表'!AW99</f>
        <v/>
      </c>
      <c r="AF3" s="52">
        <f>'總表'!BR99</f>
        <v/>
      </c>
      <c r="AG3" s="52">
        <f>'總表'!BS99</f>
        <v/>
      </c>
      <c r="AH3" s="52">
        <f>'總表'!BT99</f>
        <v/>
      </c>
      <c r="AI3" s="52">
        <f>'總表'!BU99</f>
        <v/>
      </c>
      <c r="AJ3" s="53">
        <f>'總表'!BV99</f>
        <v/>
      </c>
      <c r="AK3" s="38">
        <f>'總表'!A99</f>
        <v/>
      </c>
      <c r="AL3" s="38">
        <f>'總表'!B99</f>
        <v/>
      </c>
      <c r="AM3" s="38">
        <f>'總表'!BW99</f>
        <v/>
      </c>
    </row>
    <row r="4">
      <c r="A4" s="38" t="n">
        <v>3</v>
      </c>
      <c r="B4" s="39" t="inlineStr">
        <is>
          <t>GYRE</t>
        </is>
      </c>
      <c r="C4" s="38">
        <f>'總表'!D102</f>
        <v/>
      </c>
      <c r="D4" s="38">
        <f>'總表'!F102</f>
        <v/>
      </c>
      <c r="E4" s="38">
        <f>'總表'!G102</f>
        <v/>
      </c>
      <c r="F4" s="38">
        <f>'總表'!I102</f>
        <v/>
      </c>
      <c r="G4" s="64">
        <f>'總表'!H102</f>
        <v/>
      </c>
      <c r="H4" s="65">
        <f>'總表'!J102</f>
        <v/>
      </c>
      <c r="I4" s="42">
        <f>'總表'!L102</f>
        <v/>
      </c>
      <c r="J4" s="65">
        <f>'總表'!R102</f>
        <v/>
      </c>
      <c r="K4" s="65">
        <f>'總表'!S102</f>
        <v/>
      </c>
      <c r="L4" s="42">
        <f>'總表'!W102</f>
        <v/>
      </c>
      <c r="M4" s="42">
        <f>'總表'!X102</f>
        <v/>
      </c>
      <c r="N4" s="44">
        <f>'總表'!AA102</f>
        <v/>
      </c>
      <c r="O4" s="44">
        <f>'總表'!AB102</f>
        <v/>
      </c>
      <c r="P4" s="38">
        <f>'總表'!AD102</f>
        <v/>
      </c>
      <c r="Q4" s="42">
        <f>'總表'!U102</f>
        <v/>
      </c>
      <c r="R4" s="38">
        <f>'總表'!AE102</f>
        <v/>
      </c>
      <c r="S4" s="38">
        <f>'總表'!AI102</f>
        <v/>
      </c>
      <c r="T4" s="38">
        <f>'總表'!AJ102</f>
        <v/>
      </c>
      <c r="U4" s="38">
        <f>'總表'!AK102</f>
        <v/>
      </c>
      <c r="V4" s="38">
        <f>'總表'!AL102</f>
        <v/>
      </c>
      <c r="W4" s="42">
        <f>'總表'!AQ102</f>
        <v/>
      </c>
      <c r="X4" s="42">
        <f>'總表'!AS102</f>
        <v/>
      </c>
      <c r="Y4" s="38">
        <f>'總表'!BE102</f>
        <v/>
      </c>
      <c r="Z4" s="44">
        <f>'總表'!BH102</f>
        <v/>
      </c>
      <c r="AA4" s="52">
        <f>'總表'!BP102</f>
        <v/>
      </c>
      <c r="AB4" s="38">
        <f>'總表'!BA102</f>
        <v/>
      </c>
      <c r="AC4" s="38">
        <f>'總表'!BB102</f>
        <v/>
      </c>
      <c r="AD4" s="38">
        <f>'總表'!BC102</f>
        <v/>
      </c>
      <c r="AE4" s="49">
        <f>'總表'!AW102</f>
        <v/>
      </c>
      <c r="AF4" s="52">
        <f>'總表'!BR102</f>
        <v/>
      </c>
      <c r="AG4" s="52">
        <f>'總表'!BS102</f>
        <v/>
      </c>
      <c r="AH4" s="52">
        <f>'總表'!BT102</f>
        <v/>
      </c>
      <c r="AI4" s="52">
        <f>'總表'!BU102</f>
        <v/>
      </c>
      <c r="AJ4" s="53">
        <f>'總表'!BV102</f>
        <v/>
      </c>
      <c r="AK4" s="38">
        <f>'總表'!A102</f>
        <v/>
      </c>
      <c r="AL4" s="38">
        <f>'總表'!B102</f>
        <v/>
      </c>
      <c r="AM4" s="38">
        <f>'總表'!BW102</f>
        <v/>
      </c>
    </row>
    <row r="5">
      <c r="A5" s="38" t="n">
        <v>4</v>
      </c>
      <c r="B5" s="39" t="inlineStr">
        <is>
          <t>ULTA</t>
        </is>
      </c>
      <c r="C5" s="38">
        <f>'總表'!D104</f>
        <v/>
      </c>
      <c r="D5" s="38">
        <f>'總表'!F104</f>
        <v/>
      </c>
      <c r="E5" s="38">
        <f>'總表'!G104</f>
        <v/>
      </c>
      <c r="F5" s="38">
        <f>'總表'!I104</f>
        <v/>
      </c>
      <c r="G5" s="64">
        <f>'總表'!H104</f>
        <v/>
      </c>
      <c r="H5" s="65">
        <f>'總表'!J104</f>
        <v/>
      </c>
      <c r="I5" s="42">
        <f>'總表'!L104</f>
        <v/>
      </c>
      <c r="J5" s="65">
        <f>'總表'!R104</f>
        <v/>
      </c>
      <c r="K5" s="65">
        <f>'總表'!S104</f>
        <v/>
      </c>
      <c r="L5" s="42">
        <f>'總表'!W104</f>
        <v/>
      </c>
      <c r="M5" s="42">
        <f>'總表'!X104</f>
        <v/>
      </c>
      <c r="N5" s="44">
        <f>'總表'!AA104</f>
        <v/>
      </c>
      <c r="O5" s="44">
        <f>'總表'!AB104</f>
        <v/>
      </c>
      <c r="P5" s="38">
        <f>'總表'!AD104</f>
        <v/>
      </c>
      <c r="Q5" s="42">
        <f>'總表'!U104</f>
        <v/>
      </c>
      <c r="R5" s="38">
        <f>'總表'!AE104</f>
        <v/>
      </c>
      <c r="S5" s="38">
        <f>'總表'!AI104</f>
        <v/>
      </c>
      <c r="T5" s="38">
        <f>'總表'!AJ104</f>
        <v/>
      </c>
      <c r="U5" s="38">
        <f>'總表'!AK104</f>
        <v/>
      </c>
      <c r="V5" s="38">
        <f>'總表'!AL104</f>
        <v/>
      </c>
      <c r="W5" s="42">
        <f>'總表'!AQ104</f>
        <v/>
      </c>
      <c r="X5" s="42">
        <f>'總表'!AS104</f>
        <v/>
      </c>
      <c r="Y5" s="38">
        <f>'總表'!BE104</f>
        <v/>
      </c>
      <c r="Z5" s="44">
        <f>'總表'!BH104</f>
        <v/>
      </c>
      <c r="AA5" s="52">
        <f>'總表'!BP104</f>
        <v/>
      </c>
      <c r="AB5" s="38">
        <f>'總表'!BA104</f>
        <v/>
      </c>
      <c r="AC5" s="38">
        <f>'總表'!BB104</f>
        <v/>
      </c>
      <c r="AD5" s="38">
        <f>'總表'!BC104</f>
        <v/>
      </c>
      <c r="AE5" s="49">
        <f>'總表'!AW104</f>
        <v/>
      </c>
      <c r="AF5" s="52">
        <f>'總表'!BR104</f>
        <v/>
      </c>
      <c r="AG5" s="52">
        <f>'總表'!BS104</f>
        <v/>
      </c>
      <c r="AH5" s="52">
        <f>'總表'!BT104</f>
        <v/>
      </c>
      <c r="AI5" s="52">
        <f>'總表'!BU104</f>
        <v/>
      </c>
      <c r="AJ5" s="53">
        <f>'總表'!BV104</f>
        <v/>
      </c>
      <c r="AK5" s="38">
        <f>'總表'!A104</f>
        <v/>
      </c>
      <c r="AL5" s="38">
        <f>'總表'!B104</f>
        <v/>
      </c>
      <c r="AM5" s="38">
        <f>'總表'!BW104</f>
        <v/>
      </c>
    </row>
    <row r="6">
      <c r="A6" s="38" t="n">
        <v>5</v>
      </c>
      <c r="B6" s="39" t="inlineStr">
        <is>
          <t>WAT</t>
        </is>
      </c>
      <c r="C6" s="38">
        <f>'總表'!D108</f>
        <v/>
      </c>
      <c r="D6" s="38">
        <f>'總表'!F108</f>
        <v/>
      </c>
      <c r="E6" s="38">
        <f>'總表'!G108</f>
        <v/>
      </c>
      <c r="F6" s="38">
        <f>'總表'!I108</f>
        <v/>
      </c>
      <c r="G6" s="64">
        <f>'總表'!H108</f>
        <v/>
      </c>
      <c r="H6" s="65">
        <f>'總表'!J108</f>
        <v/>
      </c>
      <c r="I6" s="42">
        <f>'總表'!L108</f>
        <v/>
      </c>
      <c r="J6" s="65">
        <f>'總表'!R108</f>
        <v/>
      </c>
      <c r="K6" s="65">
        <f>'總表'!S108</f>
        <v/>
      </c>
      <c r="L6" s="42">
        <f>'總表'!W108</f>
        <v/>
      </c>
      <c r="M6" s="42">
        <f>'總表'!X108</f>
        <v/>
      </c>
      <c r="N6" s="44">
        <f>'總表'!AA108</f>
        <v/>
      </c>
      <c r="O6" s="44">
        <f>'總表'!AB108</f>
        <v/>
      </c>
      <c r="P6" s="38">
        <f>'總表'!AD108</f>
        <v/>
      </c>
      <c r="Q6" s="42">
        <f>'總表'!U108</f>
        <v/>
      </c>
      <c r="R6" s="38">
        <f>'總表'!AE108</f>
        <v/>
      </c>
      <c r="S6" s="38">
        <f>'總表'!AI108</f>
        <v/>
      </c>
      <c r="T6" s="38">
        <f>'總表'!AJ108</f>
        <v/>
      </c>
      <c r="U6" s="38">
        <f>'總表'!AK108</f>
        <v/>
      </c>
      <c r="V6" s="38">
        <f>'總表'!AL108</f>
        <v/>
      </c>
      <c r="W6" s="42">
        <f>'總表'!AQ108</f>
        <v/>
      </c>
      <c r="X6" s="42">
        <f>'總表'!AS108</f>
        <v/>
      </c>
      <c r="Y6" s="38">
        <f>'總表'!BE108</f>
        <v/>
      </c>
      <c r="Z6" s="44">
        <f>'總表'!BH108</f>
        <v/>
      </c>
      <c r="AA6" s="52">
        <f>'總表'!BP108</f>
        <v/>
      </c>
      <c r="AB6" s="38">
        <f>'總表'!BA108</f>
        <v/>
      </c>
      <c r="AC6" s="38">
        <f>'總表'!BB108</f>
        <v/>
      </c>
      <c r="AD6" s="38">
        <f>'總表'!BC108</f>
        <v/>
      </c>
      <c r="AE6" s="49">
        <f>'總表'!AW108</f>
        <v/>
      </c>
      <c r="AF6" s="52">
        <f>'總表'!BR108</f>
        <v/>
      </c>
      <c r="AG6" s="52">
        <f>'總表'!BS108</f>
        <v/>
      </c>
      <c r="AH6" s="52">
        <f>'總表'!BT108</f>
        <v/>
      </c>
      <c r="AI6" s="52">
        <f>'總表'!BU108</f>
        <v/>
      </c>
      <c r="AJ6" s="53">
        <f>'總表'!BV108</f>
        <v/>
      </c>
      <c r="AK6" s="38">
        <f>'總表'!A108</f>
        <v/>
      </c>
      <c r="AL6" s="38">
        <f>'總表'!B108</f>
        <v/>
      </c>
      <c r="AM6" s="38">
        <f>'總表'!BW108</f>
        <v/>
      </c>
    </row>
    <row r="7">
      <c r="A7" s="38" t="n">
        <v>6</v>
      </c>
      <c r="B7" s="39" t="inlineStr">
        <is>
          <t>HALO</t>
        </is>
      </c>
      <c r="C7" s="38">
        <f>'總表'!D114</f>
        <v/>
      </c>
      <c r="D7" s="38">
        <f>'總表'!F114</f>
        <v/>
      </c>
      <c r="E7" s="38">
        <f>'總表'!G114</f>
        <v/>
      </c>
      <c r="F7" s="38">
        <f>'總表'!I114</f>
        <v/>
      </c>
      <c r="G7" s="64">
        <f>'總表'!H114</f>
        <v/>
      </c>
      <c r="H7" s="65">
        <f>'總表'!J114</f>
        <v/>
      </c>
      <c r="I7" s="42">
        <f>'總表'!L114</f>
        <v/>
      </c>
      <c r="J7" s="65">
        <f>'總表'!R114</f>
        <v/>
      </c>
      <c r="K7" s="65">
        <f>'總表'!S114</f>
        <v/>
      </c>
      <c r="L7" s="42">
        <f>'總表'!W114</f>
        <v/>
      </c>
      <c r="M7" s="42">
        <f>'總表'!X114</f>
        <v/>
      </c>
      <c r="N7" s="44">
        <f>'總表'!AA114</f>
        <v/>
      </c>
      <c r="O7" s="44">
        <f>'總表'!AB114</f>
        <v/>
      </c>
      <c r="P7" s="38">
        <f>'總表'!AD114</f>
        <v/>
      </c>
      <c r="Q7" s="42">
        <f>'總表'!U114</f>
        <v/>
      </c>
      <c r="R7" s="38">
        <f>'總表'!AE114</f>
        <v/>
      </c>
      <c r="S7" s="38">
        <f>'總表'!AI114</f>
        <v/>
      </c>
      <c r="T7" s="38">
        <f>'總表'!AJ114</f>
        <v/>
      </c>
      <c r="U7" s="38">
        <f>'總表'!AK114</f>
        <v/>
      </c>
      <c r="V7" s="38">
        <f>'總表'!AL114</f>
        <v/>
      </c>
      <c r="W7" s="42">
        <f>'總表'!AQ114</f>
        <v/>
      </c>
      <c r="X7" s="42">
        <f>'總表'!AS114</f>
        <v/>
      </c>
      <c r="Y7" s="38">
        <f>'總表'!BE114</f>
        <v/>
      </c>
      <c r="Z7" s="44">
        <f>'總表'!BH114</f>
        <v/>
      </c>
      <c r="AA7" s="52">
        <f>'總表'!BP114</f>
        <v/>
      </c>
      <c r="AB7" s="38">
        <f>'總表'!BA114</f>
        <v/>
      </c>
      <c r="AC7" s="38">
        <f>'總表'!BB114</f>
        <v/>
      </c>
      <c r="AD7" s="38">
        <f>'總表'!BC114</f>
        <v/>
      </c>
      <c r="AE7" s="49">
        <f>'總表'!AW114</f>
        <v/>
      </c>
      <c r="AF7" s="52">
        <f>'總表'!BR114</f>
        <v/>
      </c>
      <c r="AG7" s="52">
        <f>'總表'!BS114</f>
        <v/>
      </c>
      <c r="AH7" s="52">
        <f>'總表'!BT114</f>
        <v/>
      </c>
      <c r="AI7" s="52">
        <f>'總表'!BU114</f>
        <v/>
      </c>
      <c r="AJ7" s="53">
        <f>'總表'!BV114</f>
        <v/>
      </c>
      <c r="AK7" s="38">
        <f>'總表'!A114</f>
        <v/>
      </c>
      <c r="AL7" s="38">
        <f>'總表'!B114</f>
        <v/>
      </c>
      <c r="AM7" s="38">
        <f>'總表'!BW114</f>
        <v/>
      </c>
    </row>
    <row r="8">
      <c r="A8" s="38" t="n">
        <v>7</v>
      </c>
      <c r="B8" s="39" t="inlineStr">
        <is>
          <t>BTGO</t>
        </is>
      </c>
      <c r="C8" s="38">
        <f>'總表'!D117</f>
        <v/>
      </c>
      <c r="D8" s="38">
        <f>'總表'!F117</f>
        <v/>
      </c>
      <c r="E8" s="38">
        <f>'總表'!G117</f>
        <v/>
      </c>
      <c r="F8" s="38">
        <f>'總表'!I117</f>
        <v/>
      </c>
      <c r="G8" s="64">
        <f>'總表'!H117</f>
        <v/>
      </c>
      <c r="H8" s="65">
        <f>'總表'!J117</f>
        <v/>
      </c>
      <c r="I8" s="42">
        <f>'總表'!L117</f>
        <v/>
      </c>
      <c r="J8" s="65">
        <f>'總表'!R117</f>
        <v/>
      </c>
      <c r="K8" s="65">
        <f>'總表'!S117</f>
        <v/>
      </c>
      <c r="L8" s="42">
        <f>'總表'!W117</f>
        <v/>
      </c>
      <c r="M8" s="42">
        <f>'總表'!X117</f>
        <v/>
      </c>
      <c r="N8" s="44">
        <f>'總表'!AA117</f>
        <v/>
      </c>
      <c r="O8" s="44">
        <f>'總表'!AB117</f>
        <v/>
      </c>
      <c r="P8" s="38">
        <f>'總表'!AD117</f>
        <v/>
      </c>
      <c r="Q8" s="42">
        <f>'總表'!U117</f>
        <v/>
      </c>
      <c r="R8" s="38">
        <f>'總表'!AE117</f>
        <v/>
      </c>
      <c r="S8" s="38">
        <f>'總表'!AI117</f>
        <v/>
      </c>
      <c r="T8" s="38">
        <f>'總表'!AJ117</f>
        <v/>
      </c>
      <c r="U8" s="38">
        <f>'總表'!AK117</f>
        <v/>
      </c>
      <c r="V8" s="38">
        <f>'總表'!AL117</f>
        <v/>
      </c>
      <c r="W8" s="42">
        <f>'總表'!AQ117</f>
        <v/>
      </c>
      <c r="X8" s="42">
        <f>'總表'!AS117</f>
        <v/>
      </c>
      <c r="Y8" s="38">
        <f>'總表'!BE117</f>
        <v/>
      </c>
      <c r="Z8" s="44">
        <f>'總表'!BH117</f>
        <v/>
      </c>
      <c r="AA8" s="52">
        <f>'總表'!BP117</f>
        <v/>
      </c>
      <c r="AB8" s="38">
        <f>'總表'!BA117</f>
        <v/>
      </c>
      <c r="AC8" s="38">
        <f>'總表'!BB117</f>
        <v/>
      </c>
      <c r="AD8" s="38">
        <f>'總表'!BC117</f>
        <v/>
      </c>
      <c r="AE8" s="49">
        <f>'總表'!AW117</f>
        <v/>
      </c>
      <c r="AF8" s="52">
        <f>'總表'!BR117</f>
        <v/>
      </c>
      <c r="AG8" s="52">
        <f>'總表'!BS117</f>
        <v/>
      </c>
      <c r="AH8" s="52">
        <f>'總表'!BT117</f>
        <v/>
      </c>
      <c r="AI8" s="52">
        <f>'總表'!BU117</f>
        <v/>
      </c>
      <c r="AJ8" s="53">
        <f>'總表'!BV117</f>
        <v/>
      </c>
      <c r="AK8" s="38">
        <f>'總表'!A117</f>
        <v/>
      </c>
      <c r="AL8" s="38">
        <f>'總表'!B117</f>
        <v/>
      </c>
      <c r="AM8" s="38">
        <f>'總表'!BW117</f>
        <v/>
      </c>
    </row>
    <row r="9">
      <c r="A9" s="38" t="n">
        <v>8</v>
      </c>
      <c r="B9" s="39" t="inlineStr">
        <is>
          <t>HCA</t>
        </is>
      </c>
      <c r="C9" s="38">
        <f>'總表'!D119</f>
        <v/>
      </c>
      <c r="D9" s="38">
        <f>'總表'!F119</f>
        <v/>
      </c>
      <c r="E9" s="38">
        <f>'總表'!G119</f>
        <v/>
      </c>
      <c r="F9" s="38">
        <f>'總表'!I119</f>
        <v/>
      </c>
      <c r="G9" s="64">
        <f>'總表'!H119</f>
        <v/>
      </c>
      <c r="H9" s="65">
        <f>'總表'!J119</f>
        <v/>
      </c>
      <c r="I9" s="42">
        <f>'總表'!L119</f>
        <v/>
      </c>
      <c r="J9" s="65">
        <f>'總表'!R119</f>
        <v/>
      </c>
      <c r="K9" s="65">
        <f>'總表'!S119</f>
        <v/>
      </c>
      <c r="L9" s="42">
        <f>'總表'!W119</f>
        <v/>
      </c>
      <c r="M9" s="42">
        <f>'總表'!X119</f>
        <v/>
      </c>
      <c r="N9" s="44">
        <f>'總表'!AA119</f>
        <v/>
      </c>
      <c r="O9" s="44">
        <f>'總表'!AB119</f>
        <v/>
      </c>
      <c r="P9" s="38">
        <f>'總表'!AD119</f>
        <v/>
      </c>
      <c r="Q9" s="42">
        <f>'總表'!U119</f>
        <v/>
      </c>
      <c r="R9" s="38">
        <f>'總表'!AE119</f>
        <v/>
      </c>
      <c r="S9" s="38">
        <f>'總表'!AI119</f>
        <v/>
      </c>
      <c r="T9" s="38">
        <f>'總表'!AJ119</f>
        <v/>
      </c>
      <c r="U9" s="38">
        <f>'總表'!AK119</f>
        <v/>
      </c>
      <c r="V9" s="38">
        <f>'總表'!AL119</f>
        <v/>
      </c>
      <c r="W9" s="42">
        <f>'總表'!AQ119</f>
        <v/>
      </c>
      <c r="X9" s="42">
        <f>'總表'!AS119</f>
        <v/>
      </c>
      <c r="Y9" s="38">
        <f>'總表'!BE119</f>
        <v/>
      </c>
      <c r="Z9" s="44">
        <f>'總表'!BH119</f>
        <v/>
      </c>
      <c r="AA9" s="52">
        <f>'總表'!BP119</f>
        <v/>
      </c>
      <c r="AB9" s="38">
        <f>'總表'!BA119</f>
        <v/>
      </c>
      <c r="AC9" s="38">
        <f>'總表'!BB119</f>
        <v/>
      </c>
      <c r="AD9" s="38">
        <f>'總表'!BC119</f>
        <v/>
      </c>
      <c r="AE9" s="49">
        <f>'總表'!AW119</f>
        <v/>
      </c>
      <c r="AF9" s="52">
        <f>'總表'!BR119</f>
        <v/>
      </c>
      <c r="AG9" s="52">
        <f>'總表'!BS119</f>
        <v/>
      </c>
      <c r="AH9" s="52">
        <f>'總表'!BT119</f>
        <v/>
      </c>
      <c r="AI9" s="52">
        <f>'總表'!BU119</f>
        <v/>
      </c>
      <c r="AJ9" s="53">
        <f>'總表'!BV119</f>
        <v/>
      </c>
      <c r="AK9" s="38">
        <f>'總表'!A119</f>
        <v/>
      </c>
      <c r="AL9" s="38">
        <f>'總表'!B119</f>
        <v/>
      </c>
      <c r="AM9" s="38">
        <f>'總表'!BW119</f>
        <v/>
      </c>
    </row>
    <row r="11">
      <c r="A11" s="66" t="inlineStr">
        <is>
          <t>核心六條件全過，而且收市離 EMA21 ≤3% 兼（≤0.75 ATR14 或近 3 日最低價觸及 EMA21）、收市唔低過 EMA21 3%；離兩條 EMA 都近嘅股票歸較近嗰條（呢頁係較深嘅回調）。 第一梯隊 0 隻；灰底＝第二梯隊（只差一項）0 隻；橙底＝第三梯隊（價格四項過、只差 MACD 慢線／柱轉勢，候補）8 隻；「唔過嘅條件」欄列明。每格引用總表同一行，改總表會跟住變。</t>
        </is>
      </c>
    </row>
  </sheetData>
  <autoFilter ref="A1:AM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6" customWidth="1" min="6" max="6"/>
    <col width="9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9" customWidth="1" min="18" max="18"/>
    <col width="10" customWidth="1" min="19" max="19"/>
    <col width="6" customWidth="1" min="20" max="20"/>
    <col width="6" customWidth="1" min="21" max="21"/>
    <col width="10" customWidth="1" min="22" max="22"/>
    <col width="7" customWidth="1" min="23" max="23"/>
    <col width="7" customWidth="1" min="24" max="24"/>
    <col width="13" customWidth="1" min="25" max="25"/>
    <col width="7" customWidth="1" min="26" max="26"/>
    <col width="7" customWidth="1" min="27" max="27"/>
    <col width="6" customWidth="1" min="28" max="28"/>
    <col width="9" customWidth="1" min="29" max="29"/>
    <col width="6" customWidth="1" min="30" max="30"/>
    <col width="8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5" customWidth="1" min="37" max="37"/>
    <col width="6" customWidth="1" min="38" max="38"/>
    <col width="14" customWidth="1" min="39" max="39"/>
  </cols>
  <sheetData>
    <row r="1" ht="42" customHeight="1">
      <c r="A1" s="4" t="inlineStr">
        <is>
          <t>頁內排名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市值組</t>
        </is>
      </c>
      <c r="G1" s="4" t="inlineStr">
        <is>
          <t>市值(十億美元)</t>
        </is>
      </c>
      <c r="H1" s="4" t="inlineStr">
        <is>
          <t>收市價</t>
        </is>
      </c>
      <c r="I1" s="4" t="inlineStr">
        <is>
          <t>當日%</t>
        </is>
      </c>
      <c r="J1" s="4" t="inlineStr">
        <is>
          <t>EMA9</t>
        </is>
      </c>
      <c r="K1" s="4" t="inlineStr">
        <is>
          <t>EMA21</t>
        </is>
      </c>
      <c r="L1" s="4" t="inlineStr">
        <is>
          <t>距EMA9%</t>
        </is>
      </c>
      <c r="M1" s="4" t="inlineStr">
        <is>
          <t>距EMA21%</t>
        </is>
      </c>
      <c r="N1" s="4" t="inlineStr">
        <is>
          <t>距EMA9（ATR倍）</t>
        </is>
      </c>
      <c r="O1" s="4" t="inlineStr">
        <is>
          <t>距EMA21（ATR倍）</t>
        </is>
      </c>
      <c r="P1" s="4" t="inlineStr">
        <is>
          <t>近3日低位觸及</t>
        </is>
      </c>
      <c r="Q1" s="4" t="inlineStr">
        <is>
          <t>EMA21 5日斜率%</t>
        </is>
      </c>
      <c r="R1" s="4" t="inlineStr">
        <is>
          <t>9/21狀態</t>
        </is>
      </c>
      <c r="S1" s="4" t="inlineStr">
        <is>
          <t>金叉日期</t>
        </is>
      </c>
      <c r="T1" s="4" t="inlineStr">
        <is>
          <t>金叉後日數</t>
        </is>
      </c>
      <c r="U1" s="4" t="inlineStr">
        <is>
          <t>連續上升底數目</t>
        </is>
      </c>
      <c r="V1" s="4" t="inlineStr">
        <is>
          <t>最後一底日期</t>
        </is>
      </c>
      <c r="W1" s="4" t="inlineStr">
        <is>
          <t>距最後一底%</t>
        </is>
      </c>
      <c r="X1" s="4" t="inlineStr">
        <is>
          <t>距15日高%</t>
        </is>
      </c>
      <c r="Y1" s="4" t="inlineStr">
        <is>
          <t>形態（25日）</t>
        </is>
      </c>
      <c r="Z1" s="4" t="inlineStr">
        <is>
          <t>重心</t>
        </is>
      </c>
      <c r="AA1" s="4" t="inlineStr">
        <is>
          <t>RS21%</t>
        </is>
      </c>
      <c r="AB1" s="4" t="inlineStr">
        <is>
          <t>柱顏色</t>
        </is>
      </c>
      <c r="AC1" s="4" t="inlineStr">
        <is>
          <t>柱轉勢</t>
        </is>
      </c>
      <c r="AD1" s="4" t="inlineStr">
        <is>
          <t>轉勢幾日前</t>
        </is>
      </c>
      <c r="AE1" s="4" t="inlineStr">
        <is>
          <t>慢線斜率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梯隊</t>
        </is>
      </c>
      <c r="AL1" s="4" t="inlineStr">
        <is>
          <t>總表排名</t>
        </is>
      </c>
      <c r="AM1" s="4" t="inlineStr">
        <is>
          <t>唔過嘅條件</t>
        </is>
      </c>
    </row>
    <row r="2">
      <c r="A2" s="5" t="n">
        <v>1</v>
      </c>
      <c r="B2" s="6" t="inlineStr">
        <is>
          <t>FFIV</t>
        </is>
      </c>
      <c r="C2" s="5">
        <f>'總表'!D5</f>
        <v/>
      </c>
      <c r="D2" s="5">
        <f>'總表'!F5</f>
        <v/>
      </c>
      <c r="E2" s="5">
        <f>'總表'!G5</f>
        <v/>
      </c>
      <c r="F2" s="5">
        <f>'總表'!I5</f>
        <v/>
      </c>
      <c r="G2" s="60">
        <f>'總表'!H5</f>
        <v/>
      </c>
      <c r="H2" s="61">
        <f>'總表'!J5</f>
        <v/>
      </c>
      <c r="I2" s="9">
        <f>'總表'!L5</f>
        <v/>
      </c>
      <c r="J2" s="61">
        <f>'總表'!R5</f>
        <v/>
      </c>
      <c r="K2" s="61">
        <f>'總表'!S5</f>
        <v/>
      </c>
      <c r="L2" s="9">
        <f>'總表'!W5</f>
        <v/>
      </c>
      <c r="M2" s="9">
        <f>'總表'!X5</f>
        <v/>
      </c>
      <c r="N2" s="11">
        <f>'總表'!AA5</f>
        <v/>
      </c>
      <c r="O2" s="11">
        <f>'總表'!AB5</f>
        <v/>
      </c>
      <c r="P2" s="5">
        <f>'總表'!AD5</f>
        <v/>
      </c>
      <c r="Q2" s="9">
        <f>'總表'!U5</f>
        <v/>
      </c>
      <c r="R2" s="5">
        <f>'總表'!AE5</f>
        <v/>
      </c>
      <c r="S2" s="5">
        <f>'總表'!AI5</f>
        <v/>
      </c>
      <c r="T2" s="5">
        <f>'總表'!AJ5</f>
        <v/>
      </c>
      <c r="U2" s="5">
        <f>'總表'!AK5</f>
        <v/>
      </c>
      <c r="V2" s="5">
        <f>'總表'!AL5</f>
        <v/>
      </c>
      <c r="W2" s="9">
        <f>'總表'!AQ5</f>
        <v/>
      </c>
      <c r="X2" s="9">
        <f>'總表'!AS5</f>
        <v/>
      </c>
      <c r="Y2" s="5">
        <f>'總表'!BE5</f>
        <v/>
      </c>
      <c r="Z2" s="11">
        <f>'總表'!BH5</f>
        <v/>
      </c>
      <c r="AA2" s="19">
        <f>'總表'!BP5</f>
        <v/>
      </c>
      <c r="AB2" s="5">
        <f>'總表'!BA5</f>
        <v/>
      </c>
      <c r="AC2" s="5">
        <f>'總表'!BB5</f>
        <v/>
      </c>
      <c r="AD2" s="5">
        <f>'總表'!BC5</f>
        <v/>
      </c>
      <c r="AE2" s="16">
        <f>'總表'!AW5</f>
        <v/>
      </c>
      <c r="AF2" s="19">
        <f>'總表'!BR5</f>
        <v/>
      </c>
      <c r="AG2" s="19">
        <f>'總表'!BS5</f>
        <v/>
      </c>
      <c r="AH2" s="19">
        <f>'總表'!BT5</f>
        <v/>
      </c>
      <c r="AI2" s="19">
        <f>'總表'!BU5</f>
        <v/>
      </c>
      <c r="AJ2" s="20">
        <f>'總表'!BV5</f>
        <v/>
      </c>
      <c r="AK2" s="5">
        <f>'總表'!A5</f>
        <v/>
      </c>
      <c r="AL2" s="5">
        <f>'總表'!B5</f>
        <v/>
      </c>
      <c r="AM2" s="5">
        <f>'總表'!BW5</f>
        <v/>
      </c>
    </row>
    <row r="3">
      <c r="A3" s="5" t="n">
        <v>2</v>
      </c>
      <c r="B3" s="6" t="inlineStr">
        <is>
          <t>ANET</t>
        </is>
      </c>
      <c r="C3" s="5">
        <f>'總表'!D6</f>
        <v/>
      </c>
      <c r="D3" s="5">
        <f>'總表'!F6</f>
        <v/>
      </c>
      <c r="E3" s="5">
        <f>'總表'!G6</f>
        <v/>
      </c>
      <c r="F3" s="5">
        <f>'總表'!I6</f>
        <v/>
      </c>
      <c r="G3" s="60">
        <f>'總表'!H6</f>
        <v/>
      </c>
      <c r="H3" s="61">
        <f>'總表'!J6</f>
        <v/>
      </c>
      <c r="I3" s="9">
        <f>'總表'!L6</f>
        <v/>
      </c>
      <c r="J3" s="61">
        <f>'總表'!R6</f>
        <v/>
      </c>
      <c r="K3" s="61">
        <f>'總表'!S6</f>
        <v/>
      </c>
      <c r="L3" s="9">
        <f>'總表'!W6</f>
        <v/>
      </c>
      <c r="M3" s="9">
        <f>'總表'!X6</f>
        <v/>
      </c>
      <c r="N3" s="11">
        <f>'總表'!AA6</f>
        <v/>
      </c>
      <c r="O3" s="11">
        <f>'總表'!AB6</f>
        <v/>
      </c>
      <c r="P3" s="5">
        <f>'總表'!AD6</f>
        <v/>
      </c>
      <c r="Q3" s="9">
        <f>'總表'!U6</f>
        <v/>
      </c>
      <c r="R3" s="5">
        <f>'總表'!AE6</f>
        <v/>
      </c>
      <c r="S3" s="5">
        <f>'總表'!AI6</f>
        <v/>
      </c>
      <c r="T3" s="5">
        <f>'總表'!AJ6</f>
        <v/>
      </c>
      <c r="U3" s="5">
        <f>'總表'!AK6</f>
        <v/>
      </c>
      <c r="V3" s="5">
        <f>'總表'!AL6</f>
        <v/>
      </c>
      <c r="W3" s="9">
        <f>'總表'!AQ6</f>
        <v/>
      </c>
      <c r="X3" s="9">
        <f>'總表'!AS6</f>
        <v/>
      </c>
      <c r="Y3" s="5">
        <f>'總表'!BE6</f>
        <v/>
      </c>
      <c r="Z3" s="11">
        <f>'總表'!BH6</f>
        <v/>
      </c>
      <c r="AA3" s="19">
        <f>'總表'!BP6</f>
        <v/>
      </c>
      <c r="AB3" s="5">
        <f>'總表'!BA6</f>
        <v/>
      </c>
      <c r="AC3" s="5">
        <f>'總表'!BB6</f>
        <v/>
      </c>
      <c r="AD3" s="5">
        <f>'總表'!BC6</f>
        <v/>
      </c>
      <c r="AE3" s="16">
        <f>'總表'!AW6</f>
        <v/>
      </c>
      <c r="AF3" s="19">
        <f>'總表'!BR6</f>
        <v/>
      </c>
      <c r="AG3" s="19">
        <f>'總表'!BS6</f>
        <v/>
      </c>
      <c r="AH3" s="19">
        <f>'總表'!BT6</f>
        <v/>
      </c>
      <c r="AI3" s="19">
        <f>'總表'!BU6</f>
        <v/>
      </c>
      <c r="AJ3" s="20">
        <f>'總表'!BV6</f>
        <v/>
      </c>
      <c r="AK3" s="5">
        <f>'總表'!A6</f>
        <v/>
      </c>
      <c r="AL3" s="5">
        <f>'總表'!B6</f>
        <v/>
      </c>
      <c r="AM3" s="5">
        <f>'總表'!BW6</f>
        <v/>
      </c>
    </row>
    <row r="4">
      <c r="A4" s="5" t="n">
        <v>3</v>
      </c>
      <c r="B4" s="6" t="inlineStr">
        <is>
          <t>FTNT</t>
        </is>
      </c>
      <c r="C4" s="5">
        <f>'總表'!D7</f>
        <v/>
      </c>
      <c r="D4" s="5">
        <f>'總表'!F7</f>
        <v/>
      </c>
      <c r="E4" s="5">
        <f>'總表'!G7</f>
        <v/>
      </c>
      <c r="F4" s="5">
        <f>'總表'!I7</f>
        <v/>
      </c>
      <c r="G4" s="60">
        <f>'總表'!H7</f>
        <v/>
      </c>
      <c r="H4" s="61">
        <f>'總表'!J7</f>
        <v/>
      </c>
      <c r="I4" s="9">
        <f>'總表'!L7</f>
        <v/>
      </c>
      <c r="J4" s="61">
        <f>'總表'!R7</f>
        <v/>
      </c>
      <c r="K4" s="61">
        <f>'總表'!S7</f>
        <v/>
      </c>
      <c r="L4" s="9">
        <f>'總表'!W7</f>
        <v/>
      </c>
      <c r="M4" s="9">
        <f>'總表'!X7</f>
        <v/>
      </c>
      <c r="N4" s="11">
        <f>'總表'!AA7</f>
        <v/>
      </c>
      <c r="O4" s="11">
        <f>'總表'!AB7</f>
        <v/>
      </c>
      <c r="P4" s="5">
        <f>'總表'!AD7</f>
        <v/>
      </c>
      <c r="Q4" s="9">
        <f>'總表'!U7</f>
        <v/>
      </c>
      <c r="R4" s="5">
        <f>'總表'!AE7</f>
        <v/>
      </c>
      <c r="S4" s="5">
        <f>'總表'!AI7</f>
        <v/>
      </c>
      <c r="T4" s="5">
        <f>'總表'!AJ7</f>
        <v/>
      </c>
      <c r="U4" s="5">
        <f>'總表'!AK7</f>
        <v/>
      </c>
      <c r="V4" s="5">
        <f>'總表'!AL7</f>
        <v/>
      </c>
      <c r="W4" s="9">
        <f>'總表'!AQ7</f>
        <v/>
      </c>
      <c r="X4" s="9">
        <f>'總表'!AS7</f>
        <v/>
      </c>
      <c r="Y4" s="5">
        <f>'總表'!BE7</f>
        <v/>
      </c>
      <c r="Z4" s="11">
        <f>'總表'!BH7</f>
        <v/>
      </c>
      <c r="AA4" s="19">
        <f>'總表'!BP7</f>
        <v/>
      </c>
      <c r="AB4" s="5">
        <f>'總表'!BA7</f>
        <v/>
      </c>
      <c r="AC4" s="5">
        <f>'總表'!BB7</f>
        <v/>
      </c>
      <c r="AD4" s="5">
        <f>'總表'!BC7</f>
        <v/>
      </c>
      <c r="AE4" s="16">
        <f>'總表'!AW7</f>
        <v/>
      </c>
      <c r="AF4" s="19">
        <f>'總表'!BR7</f>
        <v/>
      </c>
      <c r="AG4" s="19">
        <f>'總表'!BS7</f>
        <v/>
      </c>
      <c r="AH4" s="19">
        <f>'總表'!BT7</f>
        <v/>
      </c>
      <c r="AI4" s="19">
        <f>'總表'!BU7</f>
        <v/>
      </c>
      <c r="AJ4" s="20">
        <f>'總表'!BV7</f>
        <v/>
      </c>
      <c r="AK4" s="5">
        <f>'總表'!A7</f>
        <v/>
      </c>
      <c r="AL4" s="5">
        <f>'總表'!B7</f>
        <v/>
      </c>
      <c r="AM4" s="5">
        <f>'總表'!BW7</f>
        <v/>
      </c>
    </row>
    <row r="5">
      <c r="A5" s="5" t="n">
        <v>4</v>
      </c>
      <c r="B5" s="6" t="inlineStr">
        <is>
          <t>NEU</t>
        </is>
      </c>
      <c r="C5" s="5">
        <f>'總表'!D9</f>
        <v/>
      </c>
      <c r="D5" s="5">
        <f>'總表'!F9</f>
        <v/>
      </c>
      <c r="E5" s="5">
        <f>'總表'!G9</f>
        <v/>
      </c>
      <c r="F5" s="5">
        <f>'總表'!I9</f>
        <v/>
      </c>
      <c r="G5" s="60">
        <f>'總表'!H9</f>
        <v/>
      </c>
      <c r="H5" s="61">
        <f>'總表'!J9</f>
        <v/>
      </c>
      <c r="I5" s="9">
        <f>'總表'!L9</f>
        <v/>
      </c>
      <c r="J5" s="61">
        <f>'總表'!R9</f>
        <v/>
      </c>
      <c r="K5" s="61">
        <f>'總表'!S9</f>
        <v/>
      </c>
      <c r="L5" s="9">
        <f>'總表'!W9</f>
        <v/>
      </c>
      <c r="M5" s="9">
        <f>'總表'!X9</f>
        <v/>
      </c>
      <c r="N5" s="11">
        <f>'總表'!AA9</f>
        <v/>
      </c>
      <c r="O5" s="11">
        <f>'總表'!AB9</f>
        <v/>
      </c>
      <c r="P5" s="5">
        <f>'總表'!AD9</f>
        <v/>
      </c>
      <c r="Q5" s="9">
        <f>'總表'!U9</f>
        <v/>
      </c>
      <c r="R5" s="21">
        <f>'總表'!AE9</f>
        <v/>
      </c>
      <c r="S5" s="5">
        <f>'總表'!AI9</f>
        <v/>
      </c>
      <c r="T5" s="5">
        <f>'總表'!AJ9</f>
        <v/>
      </c>
      <c r="U5" s="5">
        <f>'總表'!AK9</f>
        <v/>
      </c>
      <c r="V5" s="5">
        <f>'總表'!AL9</f>
        <v/>
      </c>
      <c r="W5" s="9">
        <f>'總表'!AQ9</f>
        <v/>
      </c>
      <c r="X5" s="9">
        <f>'總表'!AS9</f>
        <v/>
      </c>
      <c r="Y5" s="5">
        <f>'總表'!BE9</f>
        <v/>
      </c>
      <c r="Z5" s="11">
        <f>'總表'!BH9</f>
        <v/>
      </c>
      <c r="AA5" s="19">
        <f>'總表'!BP9</f>
        <v/>
      </c>
      <c r="AB5" s="5">
        <f>'總表'!BA9</f>
        <v/>
      </c>
      <c r="AC5" s="5">
        <f>'總表'!BB9</f>
        <v/>
      </c>
      <c r="AD5" s="5">
        <f>'總表'!BC9</f>
        <v/>
      </c>
      <c r="AE5" s="16">
        <f>'總表'!AW9</f>
        <v/>
      </c>
      <c r="AF5" s="19">
        <f>'總表'!BR9</f>
        <v/>
      </c>
      <c r="AG5" s="19">
        <f>'總表'!BS9</f>
        <v/>
      </c>
      <c r="AH5" s="19">
        <f>'總表'!BT9</f>
        <v/>
      </c>
      <c r="AI5" s="19">
        <f>'總表'!BU9</f>
        <v/>
      </c>
      <c r="AJ5" s="20">
        <f>'總表'!BV9</f>
        <v/>
      </c>
      <c r="AK5" s="5">
        <f>'總表'!A9</f>
        <v/>
      </c>
      <c r="AL5" s="5">
        <f>'總表'!B9</f>
        <v/>
      </c>
      <c r="AM5" s="5">
        <f>'總表'!BW9</f>
        <v/>
      </c>
    </row>
    <row r="6">
      <c r="A6" s="5" t="n">
        <v>5</v>
      </c>
      <c r="B6" s="6" t="inlineStr">
        <is>
          <t>HNGE</t>
        </is>
      </c>
      <c r="C6" s="5">
        <f>'總表'!D10</f>
        <v/>
      </c>
      <c r="D6" s="5">
        <f>'總表'!F10</f>
        <v/>
      </c>
      <c r="E6" s="5">
        <f>'總表'!G10</f>
        <v/>
      </c>
      <c r="F6" s="5">
        <f>'總表'!I10</f>
        <v/>
      </c>
      <c r="G6" s="60">
        <f>'總表'!H10</f>
        <v/>
      </c>
      <c r="H6" s="61">
        <f>'總表'!J10</f>
        <v/>
      </c>
      <c r="I6" s="9">
        <f>'總表'!L10</f>
        <v/>
      </c>
      <c r="J6" s="61">
        <f>'總表'!R10</f>
        <v/>
      </c>
      <c r="K6" s="61">
        <f>'總表'!S10</f>
        <v/>
      </c>
      <c r="L6" s="9">
        <f>'總表'!W10</f>
        <v/>
      </c>
      <c r="M6" s="9">
        <f>'總表'!X10</f>
        <v/>
      </c>
      <c r="N6" s="11">
        <f>'總表'!AA10</f>
        <v/>
      </c>
      <c r="O6" s="11">
        <f>'總表'!AB10</f>
        <v/>
      </c>
      <c r="P6" s="5">
        <f>'總表'!AD10</f>
        <v/>
      </c>
      <c r="Q6" s="9">
        <f>'總表'!U10</f>
        <v/>
      </c>
      <c r="R6" s="5">
        <f>'總表'!AE10</f>
        <v/>
      </c>
      <c r="S6" s="5">
        <f>'總表'!AI10</f>
        <v/>
      </c>
      <c r="T6" s="5">
        <f>'總表'!AJ10</f>
        <v/>
      </c>
      <c r="U6" s="5">
        <f>'總表'!AK10</f>
        <v/>
      </c>
      <c r="V6" s="5">
        <f>'總表'!AL10</f>
        <v/>
      </c>
      <c r="W6" s="9">
        <f>'總表'!AQ10</f>
        <v/>
      </c>
      <c r="X6" s="9">
        <f>'總表'!AS10</f>
        <v/>
      </c>
      <c r="Y6" s="5">
        <f>'總表'!BE10</f>
        <v/>
      </c>
      <c r="Z6" s="11">
        <f>'總表'!BH10</f>
        <v/>
      </c>
      <c r="AA6" s="19">
        <f>'總表'!BP10</f>
        <v/>
      </c>
      <c r="AB6" s="5">
        <f>'總表'!BA10</f>
        <v/>
      </c>
      <c r="AC6" s="5">
        <f>'總表'!BB10</f>
        <v/>
      </c>
      <c r="AD6" s="5">
        <f>'總表'!BC10</f>
        <v/>
      </c>
      <c r="AE6" s="16">
        <f>'總表'!AW10</f>
        <v/>
      </c>
      <c r="AF6" s="19">
        <f>'總表'!BR10</f>
        <v/>
      </c>
      <c r="AG6" s="19">
        <f>'總表'!BS10</f>
        <v/>
      </c>
      <c r="AH6" s="19">
        <f>'總表'!BT10</f>
        <v/>
      </c>
      <c r="AI6" s="19">
        <f>'總表'!BU10</f>
        <v/>
      </c>
      <c r="AJ6" s="20">
        <f>'總表'!BV10</f>
        <v/>
      </c>
      <c r="AK6" s="5">
        <f>'總表'!A10</f>
        <v/>
      </c>
      <c r="AL6" s="5">
        <f>'總表'!B10</f>
        <v/>
      </c>
      <c r="AM6" s="5">
        <f>'總表'!BW10</f>
        <v/>
      </c>
    </row>
    <row r="7">
      <c r="A7" s="5" t="n">
        <v>6</v>
      </c>
      <c r="B7" s="6" t="inlineStr">
        <is>
          <t>CNXN</t>
        </is>
      </c>
      <c r="C7" s="5">
        <f>'總表'!D12</f>
        <v/>
      </c>
      <c r="D7" s="5">
        <f>'總表'!F12</f>
        <v/>
      </c>
      <c r="E7" s="5">
        <f>'總表'!G12</f>
        <v/>
      </c>
      <c r="F7" s="5">
        <f>'總表'!I12</f>
        <v/>
      </c>
      <c r="G7" s="60">
        <f>'總表'!H12</f>
        <v/>
      </c>
      <c r="H7" s="61">
        <f>'總表'!J12</f>
        <v/>
      </c>
      <c r="I7" s="9">
        <f>'總表'!L12</f>
        <v/>
      </c>
      <c r="J7" s="61">
        <f>'總表'!R12</f>
        <v/>
      </c>
      <c r="K7" s="61">
        <f>'總表'!S12</f>
        <v/>
      </c>
      <c r="L7" s="9">
        <f>'總表'!W12</f>
        <v/>
      </c>
      <c r="M7" s="9">
        <f>'總表'!X12</f>
        <v/>
      </c>
      <c r="N7" s="11">
        <f>'總表'!AA12</f>
        <v/>
      </c>
      <c r="O7" s="11">
        <f>'總表'!AB12</f>
        <v/>
      </c>
      <c r="P7" s="5">
        <f>'總表'!AD12</f>
        <v/>
      </c>
      <c r="Q7" s="9">
        <f>'總表'!U12</f>
        <v/>
      </c>
      <c r="R7" s="5">
        <f>'總表'!AE12</f>
        <v/>
      </c>
      <c r="S7" s="5">
        <f>'總表'!AI12</f>
        <v/>
      </c>
      <c r="T7" s="5">
        <f>'總表'!AJ12</f>
        <v/>
      </c>
      <c r="U7" s="5">
        <f>'總表'!AK12</f>
        <v/>
      </c>
      <c r="V7" s="5">
        <f>'總表'!AL12</f>
        <v/>
      </c>
      <c r="W7" s="9">
        <f>'總表'!AQ12</f>
        <v/>
      </c>
      <c r="X7" s="9">
        <f>'總表'!AS12</f>
        <v/>
      </c>
      <c r="Y7" s="5">
        <f>'總表'!BE12</f>
        <v/>
      </c>
      <c r="Z7" s="11">
        <f>'總表'!BH12</f>
        <v/>
      </c>
      <c r="AA7" s="19">
        <f>'總表'!BP12</f>
        <v/>
      </c>
      <c r="AB7" s="5">
        <f>'總表'!BA12</f>
        <v/>
      </c>
      <c r="AC7" s="5">
        <f>'總表'!BB12</f>
        <v/>
      </c>
      <c r="AD7" s="5">
        <f>'總表'!BC12</f>
        <v/>
      </c>
      <c r="AE7" s="16">
        <f>'總表'!AW12</f>
        <v/>
      </c>
      <c r="AF7" s="19">
        <f>'總表'!BR12</f>
        <v/>
      </c>
      <c r="AG7" s="19">
        <f>'總表'!BS12</f>
        <v/>
      </c>
      <c r="AH7" s="19">
        <f>'總表'!BT12</f>
        <v/>
      </c>
      <c r="AI7" s="19">
        <f>'總表'!BU12</f>
        <v/>
      </c>
      <c r="AJ7" s="20">
        <f>'總表'!BV12</f>
        <v/>
      </c>
      <c r="AK7" s="5">
        <f>'總表'!A12</f>
        <v/>
      </c>
      <c r="AL7" s="5">
        <f>'總表'!B12</f>
        <v/>
      </c>
      <c r="AM7" s="5">
        <f>'總表'!BW12</f>
        <v/>
      </c>
    </row>
    <row r="8">
      <c r="A8" s="5" t="n">
        <v>7</v>
      </c>
      <c r="B8" s="6" t="inlineStr">
        <is>
          <t>CRVL</t>
        </is>
      </c>
      <c r="C8" s="5">
        <f>'總表'!D13</f>
        <v/>
      </c>
      <c r="D8" s="5">
        <f>'總表'!F13</f>
        <v/>
      </c>
      <c r="E8" s="5">
        <f>'總表'!G13</f>
        <v/>
      </c>
      <c r="F8" s="5">
        <f>'總表'!I13</f>
        <v/>
      </c>
      <c r="G8" s="60">
        <f>'總表'!H13</f>
        <v/>
      </c>
      <c r="H8" s="61">
        <f>'總表'!J13</f>
        <v/>
      </c>
      <c r="I8" s="9">
        <f>'總表'!L13</f>
        <v/>
      </c>
      <c r="J8" s="61">
        <f>'總表'!R13</f>
        <v/>
      </c>
      <c r="K8" s="61">
        <f>'總表'!S13</f>
        <v/>
      </c>
      <c r="L8" s="9">
        <f>'總表'!W13</f>
        <v/>
      </c>
      <c r="M8" s="9">
        <f>'總表'!X13</f>
        <v/>
      </c>
      <c r="N8" s="11">
        <f>'總表'!AA13</f>
        <v/>
      </c>
      <c r="O8" s="11">
        <f>'總表'!AB13</f>
        <v/>
      </c>
      <c r="P8" s="5">
        <f>'總表'!AD13</f>
        <v/>
      </c>
      <c r="Q8" s="9">
        <f>'總表'!U13</f>
        <v/>
      </c>
      <c r="R8" s="5">
        <f>'總表'!AE13</f>
        <v/>
      </c>
      <c r="S8" s="5">
        <f>'總表'!AI13</f>
        <v/>
      </c>
      <c r="T8" s="5">
        <f>'總表'!AJ13</f>
        <v/>
      </c>
      <c r="U8" s="5">
        <f>'總表'!AK13</f>
        <v/>
      </c>
      <c r="V8" s="5">
        <f>'總表'!AL13</f>
        <v/>
      </c>
      <c r="W8" s="9">
        <f>'總表'!AQ13</f>
        <v/>
      </c>
      <c r="X8" s="9">
        <f>'總表'!AS13</f>
        <v/>
      </c>
      <c r="Y8" s="5">
        <f>'總表'!BE13</f>
        <v/>
      </c>
      <c r="Z8" s="11">
        <f>'總表'!BH13</f>
        <v/>
      </c>
      <c r="AA8" s="19">
        <f>'總表'!BP13</f>
        <v/>
      </c>
      <c r="AB8" s="5">
        <f>'總表'!BA13</f>
        <v/>
      </c>
      <c r="AC8" s="5">
        <f>'總表'!BB13</f>
        <v/>
      </c>
      <c r="AD8" s="5">
        <f>'總表'!BC13</f>
        <v/>
      </c>
      <c r="AE8" s="16">
        <f>'總表'!AW13</f>
        <v/>
      </c>
      <c r="AF8" s="19">
        <f>'總表'!BR13</f>
        <v/>
      </c>
      <c r="AG8" s="19">
        <f>'總表'!BS13</f>
        <v/>
      </c>
      <c r="AH8" s="19">
        <f>'總表'!BT13</f>
        <v/>
      </c>
      <c r="AI8" s="19">
        <f>'總表'!BU13</f>
        <v/>
      </c>
      <c r="AJ8" s="20">
        <f>'總表'!BV13</f>
        <v/>
      </c>
      <c r="AK8" s="5">
        <f>'總表'!A13</f>
        <v/>
      </c>
      <c r="AL8" s="5">
        <f>'總表'!B13</f>
        <v/>
      </c>
      <c r="AM8" s="5">
        <f>'總表'!BW13</f>
        <v/>
      </c>
    </row>
    <row r="9">
      <c r="A9" s="5" t="n">
        <v>8</v>
      </c>
      <c r="B9" s="6" t="inlineStr">
        <is>
          <t>LEGH</t>
        </is>
      </c>
      <c r="C9" s="5">
        <f>'總表'!D15</f>
        <v/>
      </c>
      <c r="D9" s="5">
        <f>'總表'!F15</f>
        <v/>
      </c>
      <c r="E9" s="5">
        <f>'總表'!G15</f>
        <v/>
      </c>
      <c r="F9" s="5">
        <f>'總表'!I15</f>
        <v/>
      </c>
      <c r="G9" s="60">
        <f>'總表'!H15</f>
        <v/>
      </c>
      <c r="H9" s="61">
        <f>'總表'!J15</f>
        <v/>
      </c>
      <c r="I9" s="9">
        <f>'總表'!L15</f>
        <v/>
      </c>
      <c r="J9" s="61">
        <f>'總表'!R15</f>
        <v/>
      </c>
      <c r="K9" s="61">
        <f>'總表'!S15</f>
        <v/>
      </c>
      <c r="L9" s="9">
        <f>'總表'!W15</f>
        <v/>
      </c>
      <c r="M9" s="9">
        <f>'總表'!X15</f>
        <v/>
      </c>
      <c r="N9" s="11">
        <f>'總表'!AA15</f>
        <v/>
      </c>
      <c r="O9" s="11">
        <f>'總表'!AB15</f>
        <v/>
      </c>
      <c r="P9" s="5">
        <f>'總表'!AD15</f>
        <v/>
      </c>
      <c r="Q9" s="9">
        <f>'總表'!U15</f>
        <v/>
      </c>
      <c r="R9" s="5">
        <f>'總表'!AE15</f>
        <v/>
      </c>
      <c r="S9" s="5">
        <f>'總表'!AI15</f>
        <v/>
      </c>
      <c r="T9" s="5">
        <f>'總表'!AJ15</f>
        <v/>
      </c>
      <c r="U9" s="5">
        <f>'總表'!AK15</f>
        <v/>
      </c>
      <c r="V9" s="5">
        <f>'總表'!AL15</f>
        <v/>
      </c>
      <c r="W9" s="9">
        <f>'總表'!AQ15</f>
        <v/>
      </c>
      <c r="X9" s="9">
        <f>'總表'!AS15</f>
        <v/>
      </c>
      <c r="Y9" s="5">
        <f>'總表'!BE15</f>
        <v/>
      </c>
      <c r="Z9" s="11">
        <f>'總表'!BH15</f>
        <v/>
      </c>
      <c r="AA9" s="19">
        <f>'總表'!BP15</f>
        <v/>
      </c>
      <c r="AB9" s="5">
        <f>'總表'!BA15</f>
        <v/>
      </c>
      <c r="AC9" s="5">
        <f>'總表'!BB15</f>
        <v/>
      </c>
      <c r="AD9" s="5">
        <f>'總表'!BC15</f>
        <v/>
      </c>
      <c r="AE9" s="16">
        <f>'總表'!AW15</f>
        <v/>
      </c>
      <c r="AF9" s="19">
        <f>'總表'!BR15</f>
        <v/>
      </c>
      <c r="AG9" s="19">
        <f>'總表'!BS15</f>
        <v/>
      </c>
      <c r="AH9" s="19">
        <f>'總表'!BT15</f>
        <v/>
      </c>
      <c r="AI9" s="19">
        <f>'總表'!BU15</f>
        <v/>
      </c>
      <c r="AJ9" s="20">
        <f>'總表'!BV15</f>
        <v/>
      </c>
      <c r="AK9" s="5">
        <f>'總表'!A15</f>
        <v/>
      </c>
      <c r="AL9" s="5">
        <f>'總表'!B15</f>
        <v/>
      </c>
      <c r="AM9" s="5">
        <f>'總表'!BW15</f>
        <v/>
      </c>
    </row>
    <row r="10">
      <c r="A10" s="5" t="n">
        <v>9</v>
      </c>
      <c r="B10" s="6" t="inlineStr">
        <is>
          <t>NHC</t>
        </is>
      </c>
      <c r="C10" s="5">
        <f>'總表'!D17</f>
        <v/>
      </c>
      <c r="D10" s="5">
        <f>'總表'!F17</f>
        <v/>
      </c>
      <c r="E10" s="5">
        <f>'總表'!G17</f>
        <v/>
      </c>
      <c r="F10" s="5">
        <f>'總表'!I17</f>
        <v/>
      </c>
      <c r="G10" s="60">
        <f>'總表'!H17</f>
        <v/>
      </c>
      <c r="H10" s="61">
        <f>'總表'!J17</f>
        <v/>
      </c>
      <c r="I10" s="9">
        <f>'總表'!L17</f>
        <v/>
      </c>
      <c r="J10" s="61">
        <f>'總表'!R17</f>
        <v/>
      </c>
      <c r="K10" s="61">
        <f>'總表'!S17</f>
        <v/>
      </c>
      <c r="L10" s="9">
        <f>'總表'!W17</f>
        <v/>
      </c>
      <c r="M10" s="9">
        <f>'總表'!X17</f>
        <v/>
      </c>
      <c r="N10" s="11">
        <f>'總表'!AA17</f>
        <v/>
      </c>
      <c r="O10" s="11">
        <f>'總表'!AB17</f>
        <v/>
      </c>
      <c r="P10" s="5">
        <f>'總表'!AD17</f>
        <v/>
      </c>
      <c r="Q10" s="9">
        <f>'總表'!U17</f>
        <v/>
      </c>
      <c r="R10" s="21">
        <f>'總表'!AE17</f>
        <v/>
      </c>
      <c r="S10" s="5">
        <f>'總表'!AI17</f>
        <v/>
      </c>
      <c r="T10" s="5">
        <f>'總表'!AJ17</f>
        <v/>
      </c>
      <c r="U10" s="5">
        <f>'總表'!AK17</f>
        <v/>
      </c>
      <c r="V10" s="5">
        <f>'總表'!AL17</f>
        <v/>
      </c>
      <c r="W10" s="9">
        <f>'總表'!AQ17</f>
        <v/>
      </c>
      <c r="X10" s="9">
        <f>'總表'!AS17</f>
        <v/>
      </c>
      <c r="Y10" s="5">
        <f>'總表'!BE17</f>
        <v/>
      </c>
      <c r="Z10" s="11">
        <f>'總表'!BH17</f>
        <v/>
      </c>
      <c r="AA10" s="19">
        <f>'總表'!BP17</f>
        <v/>
      </c>
      <c r="AB10" s="5">
        <f>'總表'!BA17</f>
        <v/>
      </c>
      <c r="AC10" s="5">
        <f>'總表'!BB17</f>
        <v/>
      </c>
      <c r="AD10" s="5">
        <f>'總表'!BC17</f>
        <v/>
      </c>
      <c r="AE10" s="16">
        <f>'總表'!AW17</f>
        <v/>
      </c>
      <c r="AF10" s="19">
        <f>'總表'!BR17</f>
        <v/>
      </c>
      <c r="AG10" s="19">
        <f>'總表'!BS17</f>
        <v/>
      </c>
      <c r="AH10" s="19">
        <f>'總表'!BT17</f>
        <v/>
      </c>
      <c r="AI10" s="19">
        <f>'總表'!BU17</f>
        <v/>
      </c>
      <c r="AJ10" s="20">
        <f>'總表'!BV17</f>
        <v/>
      </c>
      <c r="AK10" s="5">
        <f>'總表'!A17</f>
        <v/>
      </c>
      <c r="AL10" s="5">
        <f>'總表'!B17</f>
        <v/>
      </c>
      <c r="AM10" s="5">
        <f>'總表'!BW17</f>
        <v/>
      </c>
    </row>
    <row r="11">
      <c r="A11" s="5" t="n">
        <v>10</v>
      </c>
      <c r="B11" s="6" t="inlineStr">
        <is>
          <t>SLAB</t>
        </is>
      </c>
      <c r="C11" s="5">
        <f>'總表'!D18</f>
        <v/>
      </c>
      <c r="D11" s="5">
        <f>'總表'!F18</f>
        <v/>
      </c>
      <c r="E11" s="5">
        <f>'總表'!G18</f>
        <v/>
      </c>
      <c r="F11" s="5">
        <f>'總表'!I18</f>
        <v/>
      </c>
      <c r="G11" s="60">
        <f>'總表'!H18</f>
        <v/>
      </c>
      <c r="H11" s="61">
        <f>'總表'!J18</f>
        <v/>
      </c>
      <c r="I11" s="9">
        <f>'總表'!L18</f>
        <v/>
      </c>
      <c r="J11" s="61">
        <f>'總表'!R18</f>
        <v/>
      </c>
      <c r="K11" s="61">
        <f>'總表'!S18</f>
        <v/>
      </c>
      <c r="L11" s="9">
        <f>'總表'!W18</f>
        <v/>
      </c>
      <c r="M11" s="9">
        <f>'總表'!X18</f>
        <v/>
      </c>
      <c r="N11" s="11">
        <f>'總表'!AA18</f>
        <v/>
      </c>
      <c r="O11" s="11">
        <f>'總表'!AB18</f>
        <v/>
      </c>
      <c r="P11" s="5">
        <f>'總表'!AD18</f>
        <v/>
      </c>
      <c r="Q11" s="9">
        <f>'總表'!U18</f>
        <v/>
      </c>
      <c r="R11" s="5">
        <f>'總表'!AE18</f>
        <v/>
      </c>
      <c r="S11" s="5">
        <f>'總表'!AI18</f>
        <v/>
      </c>
      <c r="T11" s="5">
        <f>'總表'!AJ18</f>
        <v/>
      </c>
      <c r="U11" s="5">
        <f>'總表'!AK18</f>
        <v/>
      </c>
      <c r="V11" s="5">
        <f>'總表'!AL18</f>
        <v/>
      </c>
      <c r="W11" s="9">
        <f>'總表'!AQ18</f>
        <v/>
      </c>
      <c r="X11" s="9">
        <f>'總表'!AS18</f>
        <v/>
      </c>
      <c r="Y11" s="5">
        <f>'總表'!BE18</f>
        <v/>
      </c>
      <c r="Z11" s="11">
        <f>'總表'!BH18</f>
        <v/>
      </c>
      <c r="AA11" s="19">
        <f>'總表'!BP18</f>
        <v/>
      </c>
      <c r="AB11" s="5">
        <f>'總表'!BA18</f>
        <v/>
      </c>
      <c r="AC11" s="5">
        <f>'總表'!BB18</f>
        <v/>
      </c>
      <c r="AD11" s="5">
        <f>'總表'!BC18</f>
        <v/>
      </c>
      <c r="AE11" s="16">
        <f>'總表'!AW18</f>
        <v/>
      </c>
      <c r="AF11" s="19">
        <f>'總表'!BR18</f>
        <v/>
      </c>
      <c r="AG11" s="19">
        <f>'總表'!BS18</f>
        <v/>
      </c>
      <c r="AH11" s="19">
        <f>'總表'!BT18</f>
        <v/>
      </c>
      <c r="AI11" s="19">
        <f>'總表'!BU18</f>
        <v/>
      </c>
      <c r="AJ11" s="20">
        <f>'總表'!BV18</f>
        <v/>
      </c>
      <c r="AK11" s="5">
        <f>'總表'!A18</f>
        <v/>
      </c>
      <c r="AL11" s="5">
        <f>'總表'!B18</f>
        <v/>
      </c>
      <c r="AM11" s="5">
        <f>'總表'!BW18</f>
        <v/>
      </c>
    </row>
    <row r="12">
      <c r="A12" s="5" t="n">
        <v>11</v>
      </c>
      <c r="B12" s="6" t="inlineStr">
        <is>
          <t>FAST</t>
        </is>
      </c>
      <c r="C12" s="5">
        <f>'總表'!D19</f>
        <v/>
      </c>
      <c r="D12" s="5">
        <f>'總表'!F19</f>
        <v/>
      </c>
      <c r="E12" s="5">
        <f>'總表'!G19</f>
        <v/>
      </c>
      <c r="F12" s="5">
        <f>'總表'!I19</f>
        <v/>
      </c>
      <c r="G12" s="60">
        <f>'總表'!H19</f>
        <v/>
      </c>
      <c r="H12" s="61">
        <f>'總表'!J19</f>
        <v/>
      </c>
      <c r="I12" s="9">
        <f>'總表'!L19</f>
        <v/>
      </c>
      <c r="J12" s="61">
        <f>'總表'!R19</f>
        <v/>
      </c>
      <c r="K12" s="61">
        <f>'總表'!S19</f>
        <v/>
      </c>
      <c r="L12" s="9">
        <f>'總表'!W19</f>
        <v/>
      </c>
      <c r="M12" s="9">
        <f>'總表'!X19</f>
        <v/>
      </c>
      <c r="N12" s="11">
        <f>'總表'!AA19</f>
        <v/>
      </c>
      <c r="O12" s="11">
        <f>'總表'!AB19</f>
        <v/>
      </c>
      <c r="P12" s="5">
        <f>'總表'!AD19</f>
        <v/>
      </c>
      <c r="Q12" s="9">
        <f>'總表'!U19</f>
        <v/>
      </c>
      <c r="R12" s="5">
        <f>'總表'!AE19</f>
        <v/>
      </c>
      <c r="S12" s="5">
        <f>'總表'!AI19</f>
        <v/>
      </c>
      <c r="T12" s="5">
        <f>'總表'!AJ19</f>
        <v/>
      </c>
      <c r="U12" s="5">
        <f>'總表'!AK19</f>
        <v/>
      </c>
      <c r="V12" s="5">
        <f>'總表'!AL19</f>
        <v/>
      </c>
      <c r="W12" s="9">
        <f>'總表'!AQ19</f>
        <v/>
      </c>
      <c r="X12" s="9">
        <f>'總表'!AS19</f>
        <v/>
      </c>
      <c r="Y12" s="5">
        <f>'總表'!BE19</f>
        <v/>
      </c>
      <c r="Z12" s="11">
        <f>'總表'!BH19</f>
        <v/>
      </c>
      <c r="AA12" s="19">
        <f>'總表'!BP19</f>
        <v/>
      </c>
      <c r="AB12" s="5">
        <f>'總表'!BA19</f>
        <v/>
      </c>
      <c r="AC12" s="5">
        <f>'總表'!BB19</f>
        <v/>
      </c>
      <c r="AD12" s="5">
        <f>'總表'!BC19</f>
        <v/>
      </c>
      <c r="AE12" s="16">
        <f>'總表'!AW19</f>
        <v/>
      </c>
      <c r="AF12" s="19">
        <f>'總表'!BR19</f>
        <v/>
      </c>
      <c r="AG12" s="19">
        <f>'總表'!BS19</f>
        <v/>
      </c>
      <c r="AH12" s="19">
        <f>'總表'!BT19</f>
        <v/>
      </c>
      <c r="AI12" s="19">
        <f>'總表'!BU19</f>
        <v/>
      </c>
      <c r="AJ12" s="20">
        <f>'總表'!BV19</f>
        <v/>
      </c>
      <c r="AK12" s="5">
        <f>'總表'!A19</f>
        <v/>
      </c>
      <c r="AL12" s="5">
        <f>'總表'!B19</f>
        <v/>
      </c>
      <c r="AM12" s="5">
        <f>'總表'!BW19</f>
        <v/>
      </c>
    </row>
    <row r="13">
      <c r="A13" s="5" t="n">
        <v>12</v>
      </c>
      <c r="B13" s="6" t="inlineStr">
        <is>
          <t>VSTS</t>
        </is>
      </c>
      <c r="C13" s="5">
        <f>'總表'!D21</f>
        <v/>
      </c>
      <c r="D13" s="5">
        <f>'總表'!F21</f>
        <v/>
      </c>
      <c r="E13" s="5">
        <f>'總表'!G21</f>
        <v/>
      </c>
      <c r="F13" s="5">
        <f>'總表'!I21</f>
        <v/>
      </c>
      <c r="G13" s="60">
        <f>'總表'!H21</f>
        <v/>
      </c>
      <c r="H13" s="61">
        <f>'總表'!J21</f>
        <v/>
      </c>
      <c r="I13" s="9">
        <f>'總表'!L21</f>
        <v/>
      </c>
      <c r="J13" s="61">
        <f>'總表'!R21</f>
        <v/>
      </c>
      <c r="K13" s="61">
        <f>'總表'!S21</f>
        <v/>
      </c>
      <c r="L13" s="9">
        <f>'總表'!W21</f>
        <v/>
      </c>
      <c r="M13" s="9">
        <f>'總表'!X21</f>
        <v/>
      </c>
      <c r="N13" s="11">
        <f>'總表'!AA21</f>
        <v/>
      </c>
      <c r="O13" s="11">
        <f>'總表'!AB21</f>
        <v/>
      </c>
      <c r="P13" s="5">
        <f>'總表'!AD21</f>
        <v/>
      </c>
      <c r="Q13" s="9">
        <f>'總表'!U21</f>
        <v/>
      </c>
      <c r="R13" s="5">
        <f>'總表'!AE21</f>
        <v/>
      </c>
      <c r="S13" s="5">
        <f>'總表'!AI21</f>
        <v/>
      </c>
      <c r="T13" s="5">
        <f>'總表'!AJ21</f>
        <v/>
      </c>
      <c r="U13" s="5">
        <f>'總表'!AK21</f>
        <v/>
      </c>
      <c r="V13" s="5">
        <f>'總表'!AL21</f>
        <v/>
      </c>
      <c r="W13" s="9">
        <f>'總表'!AQ21</f>
        <v/>
      </c>
      <c r="X13" s="9">
        <f>'總表'!AS21</f>
        <v/>
      </c>
      <c r="Y13" s="5">
        <f>'總表'!BE21</f>
        <v/>
      </c>
      <c r="Z13" s="11">
        <f>'總表'!BH21</f>
        <v/>
      </c>
      <c r="AA13" s="19">
        <f>'總表'!BP21</f>
        <v/>
      </c>
      <c r="AB13" s="5">
        <f>'總表'!BA21</f>
        <v/>
      </c>
      <c r="AC13" s="5">
        <f>'總表'!BB21</f>
        <v/>
      </c>
      <c r="AD13" s="5">
        <f>'總表'!BC21</f>
        <v/>
      </c>
      <c r="AE13" s="16">
        <f>'總表'!AW21</f>
        <v/>
      </c>
      <c r="AF13" s="19">
        <f>'總表'!BR21</f>
        <v/>
      </c>
      <c r="AG13" s="19">
        <f>'總表'!BS21</f>
        <v/>
      </c>
      <c r="AH13" s="19">
        <f>'總表'!BT21</f>
        <v/>
      </c>
      <c r="AI13" s="19">
        <f>'總表'!BU21</f>
        <v/>
      </c>
      <c r="AJ13" s="20">
        <f>'總表'!BV21</f>
        <v/>
      </c>
      <c r="AK13" s="5">
        <f>'總表'!A21</f>
        <v/>
      </c>
      <c r="AL13" s="5">
        <f>'總表'!B21</f>
        <v/>
      </c>
      <c r="AM13" s="5">
        <f>'總表'!BW21</f>
        <v/>
      </c>
    </row>
    <row r="14">
      <c r="A14" s="5" t="n">
        <v>13</v>
      </c>
      <c r="B14" s="6" t="inlineStr">
        <is>
          <t>GSAT</t>
        </is>
      </c>
      <c r="C14" s="5">
        <f>'總表'!D22</f>
        <v/>
      </c>
      <c r="D14" s="5">
        <f>'總表'!F22</f>
        <v/>
      </c>
      <c r="E14" s="5">
        <f>'總表'!G22</f>
        <v/>
      </c>
      <c r="F14" s="5">
        <f>'總表'!I22</f>
        <v/>
      </c>
      <c r="G14" s="60">
        <f>'總表'!H22</f>
        <v/>
      </c>
      <c r="H14" s="61">
        <f>'總表'!J22</f>
        <v/>
      </c>
      <c r="I14" s="9">
        <f>'總表'!L22</f>
        <v/>
      </c>
      <c r="J14" s="61">
        <f>'總表'!R22</f>
        <v/>
      </c>
      <c r="K14" s="61">
        <f>'總表'!S22</f>
        <v/>
      </c>
      <c r="L14" s="9">
        <f>'總表'!W22</f>
        <v/>
      </c>
      <c r="M14" s="9">
        <f>'總表'!X22</f>
        <v/>
      </c>
      <c r="N14" s="11">
        <f>'總表'!AA22</f>
        <v/>
      </c>
      <c r="O14" s="11">
        <f>'總表'!AB22</f>
        <v/>
      </c>
      <c r="P14" s="5">
        <f>'總表'!AD22</f>
        <v/>
      </c>
      <c r="Q14" s="9">
        <f>'總表'!U22</f>
        <v/>
      </c>
      <c r="R14" s="5">
        <f>'總表'!AE22</f>
        <v/>
      </c>
      <c r="S14" s="5">
        <f>'總表'!AI22</f>
        <v/>
      </c>
      <c r="T14" s="5">
        <f>'總表'!AJ22</f>
        <v/>
      </c>
      <c r="U14" s="5">
        <f>'總表'!AK22</f>
        <v/>
      </c>
      <c r="V14" s="5">
        <f>'總表'!AL22</f>
        <v/>
      </c>
      <c r="W14" s="9">
        <f>'總表'!AQ22</f>
        <v/>
      </c>
      <c r="X14" s="9">
        <f>'總表'!AS22</f>
        <v/>
      </c>
      <c r="Y14" s="5">
        <f>'總表'!BE22</f>
        <v/>
      </c>
      <c r="Z14" s="11">
        <f>'總表'!BH22</f>
        <v/>
      </c>
      <c r="AA14" s="19">
        <f>'總表'!BP22</f>
        <v/>
      </c>
      <c r="AB14" s="5">
        <f>'總表'!BA22</f>
        <v/>
      </c>
      <c r="AC14" s="5">
        <f>'總表'!BB22</f>
        <v/>
      </c>
      <c r="AD14" s="5">
        <f>'總表'!BC22</f>
        <v/>
      </c>
      <c r="AE14" s="16">
        <f>'總表'!AW22</f>
        <v/>
      </c>
      <c r="AF14" s="19">
        <f>'總表'!BR22</f>
        <v/>
      </c>
      <c r="AG14" s="19">
        <f>'總表'!BS22</f>
        <v/>
      </c>
      <c r="AH14" s="19">
        <f>'總表'!BT22</f>
        <v/>
      </c>
      <c r="AI14" s="19">
        <f>'總表'!BU22</f>
        <v/>
      </c>
      <c r="AJ14" s="20">
        <f>'總表'!BV22</f>
        <v/>
      </c>
      <c r="AK14" s="5">
        <f>'總表'!A22</f>
        <v/>
      </c>
      <c r="AL14" s="5">
        <f>'總表'!B22</f>
        <v/>
      </c>
      <c r="AM14" s="5">
        <f>'總表'!BW22</f>
        <v/>
      </c>
    </row>
    <row r="15">
      <c r="A15" s="5" t="n">
        <v>14</v>
      </c>
      <c r="B15" s="6" t="inlineStr">
        <is>
          <t>EGBN</t>
        </is>
      </c>
      <c r="C15" s="5">
        <f>'總表'!D23</f>
        <v/>
      </c>
      <c r="D15" s="5">
        <f>'總表'!F23</f>
        <v/>
      </c>
      <c r="E15" s="5">
        <f>'總表'!G23</f>
        <v/>
      </c>
      <c r="F15" s="5">
        <f>'總表'!I23</f>
        <v/>
      </c>
      <c r="G15" s="60">
        <f>'總表'!H23</f>
        <v/>
      </c>
      <c r="H15" s="61">
        <f>'總表'!J23</f>
        <v/>
      </c>
      <c r="I15" s="9">
        <f>'總表'!L23</f>
        <v/>
      </c>
      <c r="J15" s="61">
        <f>'總表'!R23</f>
        <v/>
      </c>
      <c r="K15" s="61">
        <f>'總表'!S23</f>
        <v/>
      </c>
      <c r="L15" s="9">
        <f>'總表'!W23</f>
        <v/>
      </c>
      <c r="M15" s="9">
        <f>'總表'!X23</f>
        <v/>
      </c>
      <c r="N15" s="11">
        <f>'總表'!AA23</f>
        <v/>
      </c>
      <c r="O15" s="11">
        <f>'總表'!AB23</f>
        <v/>
      </c>
      <c r="P15" s="5">
        <f>'總表'!AD23</f>
        <v/>
      </c>
      <c r="Q15" s="9">
        <f>'總表'!U23</f>
        <v/>
      </c>
      <c r="R15" s="5">
        <f>'總表'!AE23</f>
        <v/>
      </c>
      <c r="S15" s="5">
        <f>'總表'!AI23</f>
        <v/>
      </c>
      <c r="T15" s="5">
        <f>'總表'!AJ23</f>
        <v/>
      </c>
      <c r="U15" s="5">
        <f>'總表'!AK23</f>
        <v/>
      </c>
      <c r="V15" s="5">
        <f>'總表'!AL23</f>
        <v/>
      </c>
      <c r="W15" s="9">
        <f>'總表'!AQ23</f>
        <v/>
      </c>
      <c r="X15" s="9">
        <f>'總表'!AS23</f>
        <v/>
      </c>
      <c r="Y15" s="5">
        <f>'總表'!BE23</f>
        <v/>
      </c>
      <c r="Z15" s="11">
        <f>'總表'!BH23</f>
        <v/>
      </c>
      <c r="AA15" s="19">
        <f>'總表'!BP23</f>
        <v/>
      </c>
      <c r="AB15" s="5">
        <f>'總表'!BA23</f>
        <v/>
      </c>
      <c r="AC15" s="5">
        <f>'總表'!BB23</f>
        <v/>
      </c>
      <c r="AD15" s="5">
        <f>'總表'!BC23</f>
        <v/>
      </c>
      <c r="AE15" s="16">
        <f>'總表'!AW23</f>
        <v/>
      </c>
      <c r="AF15" s="19">
        <f>'總表'!BR23</f>
        <v/>
      </c>
      <c r="AG15" s="19">
        <f>'總表'!BS23</f>
        <v/>
      </c>
      <c r="AH15" s="19">
        <f>'總表'!BT23</f>
        <v/>
      </c>
      <c r="AI15" s="19">
        <f>'總表'!BU23</f>
        <v/>
      </c>
      <c r="AJ15" s="20">
        <f>'總表'!BV23</f>
        <v/>
      </c>
      <c r="AK15" s="5">
        <f>'總表'!A23</f>
        <v/>
      </c>
      <c r="AL15" s="5">
        <f>'總表'!B23</f>
        <v/>
      </c>
      <c r="AM15" s="5">
        <f>'總表'!BW23</f>
        <v/>
      </c>
    </row>
    <row r="16">
      <c r="A16" s="5" t="n">
        <v>15</v>
      </c>
      <c r="B16" s="6" t="inlineStr">
        <is>
          <t>APXT</t>
        </is>
      </c>
      <c r="C16" s="5">
        <f>'總表'!D24</f>
        <v/>
      </c>
      <c r="D16" s="5">
        <f>'總表'!F24</f>
        <v/>
      </c>
      <c r="E16" s="5">
        <f>'總表'!G24</f>
        <v/>
      </c>
      <c r="F16" s="5">
        <f>'總表'!I24</f>
        <v/>
      </c>
      <c r="G16" s="60">
        <f>'總表'!H24</f>
        <v/>
      </c>
      <c r="H16" s="61">
        <f>'總表'!J24</f>
        <v/>
      </c>
      <c r="I16" s="9">
        <f>'總表'!L24</f>
        <v/>
      </c>
      <c r="J16" s="61">
        <f>'總表'!R24</f>
        <v/>
      </c>
      <c r="K16" s="61">
        <f>'總表'!S24</f>
        <v/>
      </c>
      <c r="L16" s="9">
        <f>'總表'!W24</f>
        <v/>
      </c>
      <c r="M16" s="9">
        <f>'總表'!X24</f>
        <v/>
      </c>
      <c r="N16" s="11">
        <f>'總表'!AA24</f>
        <v/>
      </c>
      <c r="O16" s="11">
        <f>'總表'!AB24</f>
        <v/>
      </c>
      <c r="P16" s="5">
        <f>'總表'!AD24</f>
        <v/>
      </c>
      <c r="Q16" s="9">
        <f>'總表'!U24</f>
        <v/>
      </c>
      <c r="R16" s="5">
        <f>'總表'!AE24</f>
        <v/>
      </c>
      <c r="S16" s="5">
        <f>'總表'!AI24</f>
        <v/>
      </c>
      <c r="T16" s="5">
        <f>'總表'!AJ24</f>
        <v/>
      </c>
      <c r="U16" s="5">
        <f>'總表'!AK24</f>
        <v/>
      </c>
      <c r="V16" s="5">
        <f>'總表'!AL24</f>
        <v/>
      </c>
      <c r="W16" s="9">
        <f>'總表'!AQ24</f>
        <v/>
      </c>
      <c r="X16" s="9">
        <f>'總表'!AS24</f>
        <v/>
      </c>
      <c r="Y16" s="5">
        <f>'總表'!BE24</f>
        <v/>
      </c>
      <c r="Z16" s="11">
        <f>'總表'!BH24</f>
        <v/>
      </c>
      <c r="AA16" s="19">
        <f>'總表'!BP24</f>
        <v/>
      </c>
      <c r="AB16" s="5">
        <f>'總表'!BA24</f>
        <v/>
      </c>
      <c r="AC16" s="5">
        <f>'總表'!BB24</f>
        <v/>
      </c>
      <c r="AD16" s="5">
        <f>'總表'!BC24</f>
        <v/>
      </c>
      <c r="AE16" s="16">
        <f>'總表'!AW24</f>
        <v/>
      </c>
      <c r="AF16" s="19">
        <f>'總表'!BR24</f>
        <v/>
      </c>
      <c r="AG16" s="19">
        <f>'總表'!BS24</f>
        <v/>
      </c>
      <c r="AH16" s="19">
        <f>'總表'!BT24</f>
        <v/>
      </c>
      <c r="AI16" s="19">
        <f>'總表'!BU24</f>
        <v/>
      </c>
      <c r="AJ16" s="20">
        <f>'總表'!BV24</f>
        <v/>
      </c>
      <c r="AK16" s="5">
        <f>'總表'!A24</f>
        <v/>
      </c>
      <c r="AL16" s="5">
        <f>'總表'!B24</f>
        <v/>
      </c>
      <c r="AM16" s="5">
        <f>'總表'!BW24</f>
        <v/>
      </c>
    </row>
    <row r="17">
      <c r="A17" s="5" t="n">
        <v>16</v>
      </c>
      <c r="B17" s="6" t="inlineStr">
        <is>
          <t>OPY</t>
        </is>
      </c>
      <c r="C17" s="5">
        <f>'總表'!D25</f>
        <v/>
      </c>
      <c r="D17" s="5">
        <f>'總表'!F25</f>
        <v/>
      </c>
      <c r="E17" s="5">
        <f>'總表'!G25</f>
        <v/>
      </c>
      <c r="F17" s="5">
        <f>'總表'!I25</f>
        <v/>
      </c>
      <c r="G17" s="60">
        <f>'總表'!H25</f>
        <v/>
      </c>
      <c r="H17" s="61">
        <f>'總表'!J25</f>
        <v/>
      </c>
      <c r="I17" s="9">
        <f>'總表'!L25</f>
        <v/>
      </c>
      <c r="J17" s="61">
        <f>'總表'!R25</f>
        <v/>
      </c>
      <c r="K17" s="61">
        <f>'總表'!S25</f>
        <v/>
      </c>
      <c r="L17" s="9">
        <f>'總表'!W25</f>
        <v/>
      </c>
      <c r="M17" s="9">
        <f>'總表'!X25</f>
        <v/>
      </c>
      <c r="N17" s="11">
        <f>'總表'!AA25</f>
        <v/>
      </c>
      <c r="O17" s="11">
        <f>'總表'!AB25</f>
        <v/>
      </c>
      <c r="P17" s="5">
        <f>'總表'!AD25</f>
        <v/>
      </c>
      <c r="Q17" s="9">
        <f>'總表'!U25</f>
        <v/>
      </c>
      <c r="R17" s="21">
        <f>'總表'!AE25</f>
        <v/>
      </c>
      <c r="S17" s="5">
        <f>'總表'!AI25</f>
        <v/>
      </c>
      <c r="T17" s="5">
        <f>'總表'!AJ25</f>
        <v/>
      </c>
      <c r="U17" s="5">
        <f>'總表'!AK25</f>
        <v/>
      </c>
      <c r="V17" s="5">
        <f>'總表'!AL25</f>
        <v/>
      </c>
      <c r="W17" s="9">
        <f>'總表'!AQ25</f>
        <v/>
      </c>
      <c r="X17" s="9">
        <f>'總表'!AS25</f>
        <v/>
      </c>
      <c r="Y17" s="5">
        <f>'總表'!BE25</f>
        <v/>
      </c>
      <c r="Z17" s="11">
        <f>'總表'!BH25</f>
        <v/>
      </c>
      <c r="AA17" s="19">
        <f>'總表'!BP25</f>
        <v/>
      </c>
      <c r="AB17" s="5">
        <f>'總表'!BA25</f>
        <v/>
      </c>
      <c r="AC17" s="5">
        <f>'總表'!BB25</f>
        <v/>
      </c>
      <c r="AD17" s="5">
        <f>'總表'!BC25</f>
        <v/>
      </c>
      <c r="AE17" s="16">
        <f>'總表'!AW25</f>
        <v/>
      </c>
      <c r="AF17" s="19">
        <f>'總表'!BR25</f>
        <v/>
      </c>
      <c r="AG17" s="19">
        <f>'總表'!BS25</f>
        <v/>
      </c>
      <c r="AH17" s="19">
        <f>'總表'!BT25</f>
        <v/>
      </c>
      <c r="AI17" s="19">
        <f>'總表'!BU25</f>
        <v/>
      </c>
      <c r="AJ17" s="20">
        <f>'總表'!BV25</f>
        <v/>
      </c>
      <c r="AK17" s="5">
        <f>'總表'!A25</f>
        <v/>
      </c>
      <c r="AL17" s="5">
        <f>'總表'!B25</f>
        <v/>
      </c>
      <c r="AM17" s="5">
        <f>'總表'!BW25</f>
        <v/>
      </c>
    </row>
    <row r="18">
      <c r="A18" s="5" t="n">
        <v>17</v>
      </c>
      <c r="B18" s="6" t="inlineStr">
        <is>
          <t>TRNS</t>
        </is>
      </c>
      <c r="C18" s="5">
        <f>'總表'!D26</f>
        <v/>
      </c>
      <c r="D18" s="5">
        <f>'總表'!F26</f>
        <v/>
      </c>
      <c r="E18" s="5">
        <f>'總表'!G26</f>
        <v/>
      </c>
      <c r="F18" s="5">
        <f>'總表'!I26</f>
        <v/>
      </c>
      <c r="G18" s="60">
        <f>'總表'!H26</f>
        <v/>
      </c>
      <c r="H18" s="61">
        <f>'總表'!J26</f>
        <v/>
      </c>
      <c r="I18" s="9">
        <f>'總表'!L26</f>
        <v/>
      </c>
      <c r="J18" s="61">
        <f>'總表'!R26</f>
        <v/>
      </c>
      <c r="K18" s="61">
        <f>'總表'!S26</f>
        <v/>
      </c>
      <c r="L18" s="9">
        <f>'總表'!W26</f>
        <v/>
      </c>
      <c r="M18" s="9">
        <f>'總表'!X26</f>
        <v/>
      </c>
      <c r="N18" s="11">
        <f>'總表'!AA26</f>
        <v/>
      </c>
      <c r="O18" s="11">
        <f>'總表'!AB26</f>
        <v/>
      </c>
      <c r="P18" s="5">
        <f>'總表'!AD26</f>
        <v/>
      </c>
      <c r="Q18" s="9">
        <f>'總表'!U26</f>
        <v/>
      </c>
      <c r="R18" s="5">
        <f>'總表'!AE26</f>
        <v/>
      </c>
      <c r="S18" s="5">
        <f>'總表'!AI26</f>
        <v/>
      </c>
      <c r="T18" s="5">
        <f>'總表'!AJ26</f>
        <v/>
      </c>
      <c r="U18" s="5">
        <f>'總表'!AK26</f>
        <v/>
      </c>
      <c r="V18" s="5">
        <f>'總表'!AL26</f>
        <v/>
      </c>
      <c r="W18" s="9">
        <f>'總表'!AQ26</f>
        <v/>
      </c>
      <c r="X18" s="9">
        <f>'總表'!AS26</f>
        <v/>
      </c>
      <c r="Y18" s="5">
        <f>'總表'!BE26</f>
        <v/>
      </c>
      <c r="Z18" s="11">
        <f>'總表'!BH26</f>
        <v/>
      </c>
      <c r="AA18" s="19">
        <f>'總表'!BP26</f>
        <v/>
      </c>
      <c r="AB18" s="5">
        <f>'總表'!BA26</f>
        <v/>
      </c>
      <c r="AC18" s="5">
        <f>'總表'!BB26</f>
        <v/>
      </c>
      <c r="AD18" s="5">
        <f>'總表'!BC26</f>
        <v/>
      </c>
      <c r="AE18" s="16">
        <f>'總表'!AW26</f>
        <v/>
      </c>
      <c r="AF18" s="19">
        <f>'總表'!BR26</f>
        <v/>
      </c>
      <c r="AG18" s="19">
        <f>'總表'!BS26</f>
        <v/>
      </c>
      <c r="AH18" s="19">
        <f>'總表'!BT26</f>
        <v/>
      </c>
      <c r="AI18" s="19">
        <f>'總表'!BU26</f>
        <v/>
      </c>
      <c r="AJ18" s="20">
        <f>'總表'!BV26</f>
        <v/>
      </c>
      <c r="AK18" s="5">
        <f>'總表'!A26</f>
        <v/>
      </c>
      <c r="AL18" s="5">
        <f>'總表'!B26</f>
        <v/>
      </c>
      <c r="AM18" s="5">
        <f>'總表'!BW26</f>
        <v/>
      </c>
    </row>
    <row r="19">
      <c r="A19" s="5" t="n">
        <v>18</v>
      </c>
      <c r="B19" s="6" t="inlineStr">
        <is>
          <t>BJ</t>
        </is>
      </c>
      <c r="C19" s="5">
        <f>'總表'!D27</f>
        <v/>
      </c>
      <c r="D19" s="5">
        <f>'總表'!F27</f>
        <v/>
      </c>
      <c r="E19" s="5">
        <f>'總表'!G27</f>
        <v/>
      </c>
      <c r="F19" s="5">
        <f>'總表'!I27</f>
        <v/>
      </c>
      <c r="G19" s="60">
        <f>'總表'!H27</f>
        <v/>
      </c>
      <c r="H19" s="61">
        <f>'總表'!J27</f>
        <v/>
      </c>
      <c r="I19" s="9">
        <f>'總表'!L27</f>
        <v/>
      </c>
      <c r="J19" s="61">
        <f>'總表'!R27</f>
        <v/>
      </c>
      <c r="K19" s="61">
        <f>'總表'!S27</f>
        <v/>
      </c>
      <c r="L19" s="9">
        <f>'總表'!W27</f>
        <v/>
      </c>
      <c r="M19" s="9">
        <f>'總表'!X27</f>
        <v/>
      </c>
      <c r="N19" s="11">
        <f>'總表'!AA27</f>
        <v/>
      </c>
      <c r="O19" s="11">
        <f>'總表'!AB27</f>
        <v/>
      </c>
      <c r="P19" s="5">
        <f>'總表'!AD27</f>
        <v/>
      </c>
      <c r="Q19" s="9">
        <f>'總表'!U27</f>
        <v/>
      </c>
      <c r="R19" s="21">
        <f>'總表'!AE27</f>
        <v/>
      </c>
      <c r="S19" s="5">
        <f>'總表'!AI27</f>
        <v/>
      </c>
      <c r="T19" s="5">
        <f>'總表'!AJ27</f>
        <v/>
      </c>
      <c r="U19" s="5">
        <f>'總表'!AK27</f>
        <v/>
      </c>
      <c r="V19" s="5">
        <f>'總表'!AL27</f>
        <v/>
      </c>
      <c r="W19" s="9">
        <f>'總表'!AQ27</f>
        <v/>
      </c>
      <c r="X19" s="9">
        <f>'總表'!AS27</f>
        <v/>
      </c>
      <c r="Y19" s="5">
        <f>'總表'!BE27</f>
        <v/>
      </c>
      <c r="Z19" s="11">
        <f>'總表'!BH27</f>
        <v/>
      </c>
      <c r="AA19" s="19">
        <f>'總表'!BP27</f>
        <v/>
      </c>
      <c r="AB19" s="5">
        <f>'總表'!BA27</f>
        <v/>
      </c>
      <c r="AC19" s="5">
        <f>'總表'!BB27</f>
        <v/>
      </c>
      <c r="AD19" s="5">
        <f>'總表'!BC27</f>
        <v/>
      </c>
      <c r="AE19" s="16">
        <f>'總表'!AW27</f>
        <v/>
      </c>
      <c r="AF19" s="19">
        <f>'總表'!BR27</f>
        <v/>
      </c>
      <c r="AG19" s="19">
        <f>'總表'!BS27</f>
        <v/>
      </c>
      <c r="AH19" s="19">
        <f>'總表'!BT27</f>
        <v/>
      </c>
      <c r="AI19" s="19">
        <f>'總表'!BU27</f>
        <v/>
      </c>
      <c r="AJ19" s="20">
        <f>'總表'!BV27</f>
        <v/>
      </c>
      <c r="AK19" s="5">
        <f>'總表'!A27</f>
        <v/>
      </c>
      <c r="AL19" s="5">
        <f>'總表'!B27</f>
        <v/>
      </c>
      <c r="AM19" s="5">
        <f>'總表'!BW27</f>
        <v/>
      </c>
    </row>
    <row r="20">
      <c r="A20" s="22" t="n">
        <v>19</v>
      </c>
      <c r="B20" s="23" t="inlineStr">
        <is>
          <t>DOCS</t>
        </is>
      </c>
      <c r="C20" s="22">
        <f>'總表'!D28</f>
        <v/>
      </c>
      <c r="D20" s="22">
        <f>'總表'!F28</f>
        <v/>
      </c>
      <c r="E20" s="22">
        <f>'總表'!G28</f>
        <v/>
      </c>
      <c r="F20" s="22">
        <f>'總表'!I28</f>
        <v/>
      </c>
      <c r="G20" s="62">
        <f>'總表'!H28</f>
        <v/>
      </c>
      <c r="H20" s="63">
        <f>'總表'!J28</f>
        <v/>
      </c>
      <c r="I20" s="26">
        <f>'總表'!L28</f>
        <v/>
      </c>
      <c r="J20" s="63">
        <f>'總表'!R28</f>
        <v/>
      </c>
      <c r="K20" s="63">
        <f>'總表'!S28</f>
        <v/>
      </c>
      <c r="L20" s="26">
        <f>'總表'!W28</f>
        <v/>
      </c>
      <c r="M20" s="26">
        <f>'總表'!X28</f>
        <v/>
      </c>
      <c r="N20" s="28">
        <f>'總表'!AA28</f>
        <v/>
      </c>
      <c r="O20" s="28">
        <f>'總表'!AB28</f>
        <v/>
      </c>
      <c r="P20" s="22">
        <f>'總表'!AD28</f>
        <v/>
      </c>
      <c r="Q20" s="26">
        <f>'總表'!U28</f>
        <v/>
      </c>
      <c r="R20" s="22">
        <f>'總表'!AE28</f>
        <v/>
      </c>
      <c r="S20" s="22">
        <f>'總表'!AI28</f>
        <v/>
      </c>
      <c r="T20" s="22">
        <f>'總表'!AJ28</f>
        <v/>
      </c>
      <c r="U20" s="22">
        <f>'總表'!AK28</f>
        <v/>
      </c>
      <c r="V20" s="22">
        <f>'總表'!AL28</f>
        <v/>
      </c>
      <c r="W20" s="26">
        <f>'總表'!AQ28</f>
        <v/>
      </c>
      <c r="X20" s="26">
        <f>'總表'!AS28</f>
        <v/>
      </c>
      <c r="Y20" s="22">
        <f>'總表'!BE28</f>
        <v/>
      </c>
      <c r="Z20" s="28">
        <f>'總表'!BH28</f>
        <v/>
      </c>
      <c r="AA20" s="36">
        <f>'總表'!BP28</f>
        <v/>
      </c>
      <c r="AB20" s="22">
        <f>'總表'!BA28</f>
        <v/>
      </c>
      <c r="AC20" s="22">
        <f>'總表'!BB28</f>
        <v/>
      </c>
      <c r="AD20" s="22">
        <f>'總表'!BC28</f>
        <v/>
      </c>
      <c r="AE20" s="33">
        <f>'總表'!AW28</f>
        <v/>
      </c>
      <c r="AF20" s="36">
        <f>'總表'!BR28</f>
        <v/>
      </c>
      <c r="AG20" s="36">
        <f>'總表'!BS28</f>
        <v/>
      </c>
      <c r="AH20" s="36">
        <f>'總表'!BT28</f>
        <v/>
      </c>
      <c r="AI20" s="36">
        <f>'總表'!BU28</f>
        <v/>
      </c>
      <c r="AJ20" s="37">
        <f>'總表'!BV28</f>
        <v/>
      </c>
      <c r="AK20" s="22">
        <f>'總表'!A28</f>
        <v/>
      </c>
      <c r="AL20" s="22">
        <f>'總表'!B28</f>
        <v/>
      </c>
      <c r="AM20" s="22">
        <f>'總表'!BW28</f>
        <v/>
      </c>
    </row>
    <row r="21">
      <c r="A21" s="22" t="n">
        <v>20</v>
      </c>
      <c r="B21" s="23" t="inlineStr">
        <is>
          <t>KODK</t>
        </is>
      </c>
      <c r="C21" s="22">
        <f>'總表'!D43</f>
        <v/>
      </c>
      <c r="D21" s="22">
        <f>'總表'!F43</f>
        <v/>
      </c>
      <c r="E21" s="22">
        <f>'總表'!G43</f>
        <v/>
      </c>
      <c r="F21" s="22">
        <f>'總表'!I43</f>
        <v/>
      </c>
      <c r="G21" s="62">
        <f>'總表'!H43</f>
        <v/>
      </c>
      <c r="H21" s="63">
        <f>'總表'!J43</f>
        <v/>
      </c>
      <c r="I21" s="26">
        <f>'總表'!L43</f>
        <v/>
      </c>
      <c r="J21" s="63">
        <f>'總表'!R43</f>
        <v/>
      </c>
      <c r="K21" s="63">
        <f>'總表'!S43</f>
        <v/>
      </c>
      <c r="L21" s="26">
        <f>'總表'!W43</f>
        <v/>
      </c>
      <c r="M21" s="26">
        <f>'總表'!X43</f>
        <v/>
      </c>
      <c r="N21" s="28">
        <f>'總表'!AA43</f>
        <v/>
      </c>
      <c r="O21" s="28">
        <f>'總表'!AB43</f>
        <v/>
      </c>
      <c r="P21" s="22">
        <f>'總表'!AD43</f>
        <v/>
      </c>
      <c r="Q21" s="26">
        <f>'總表'!U43</f>
        <v/>
      </c>
      <c r="R21" s="22">
        <f>'總表'!AE43</f>
        <v/>
      </c>
      <c r="S21" s="22">
        <f>'總表'!AI43</f>
        <v/>
      </c>
      <c r="T21" s="22">
        <f>'總表'!AJ43</f>
        <v/>
      </c>
      <c r="U21" s="22">
        <f>'總表'!AK43</f>
        <v/>
      </c>
      <c r="V21" s="22">
        <f>'總表'!AL43</f>
        <v/>
      </c>
      <c r="W21" s="26">
        <f>'總表'!AQ43</f>
        <v/>
      </c>
      <c r="X21" s="26">
        <f>'總表'!AS43</f>
        <v/>
      </c>
      <c r="Y21" s="22">
        <f>'總表'!BE43</f>
        <v/>
      </c>
      <c r="Z21" s="28">
        <f>'總表'!BH43</f>
        <v/>
      </c>
      <c r="AA21" s="36">
        <f>'總表'!BP43</f>
        <v/>
      </c>
      <c r="AB21" s="22">
        <f>'總表'!BA43</f>
        <v/>
      </c>
      <c r="AC21" s="22">
        <f>'總表'!BB43</f>
        <v/>
      </c>
      <c r="AD21" s="22">
        <f>'總表'!BC43</f>
        <v/>
      </c>
      <c r="AE21" s="33">
        <f>'總表'!AW43</f>
        <v/>
      </c>
      <c r="AF21" s="36">
        <f>'總表'!BR43</f>
        <v/>
      </c>
      <c r="AG21" s="36">
        <f>'總表'!BS43</f>
        <v/>
      </c>
      <c r="AH21" s="36">
        <f>'總表'!BT43</f>
        <v/>
      </c>
      <c r="AI21" s="36">
        <f>'總表'!BU43</f>
        <v/>
      </c>
      <c r="AJ21" s="37">
        <f>'總表'!BV43</f>
        <v/>
      </c>
      <c r="AK21" s="22">
        <f>'總表'!A43</f>
        <v/>
      </c>
      <c r="AL21" s="22">
        <f>'總表'!B43</f>
        <v/>
      </c>
      <c r="AM21" s="22">
        <f>'總表'!BW43</f>
        <v/>
      </c>
    </row>
    <row r="22">
      <c r="A22" s="22" t="n">
        <v>21</v>
      </c>
      <c r="B22" s="23" t="inlineStr">
        <is>
          <t>PWRL</t>
        </is>
      </c>
      <c r="C22" s="22">
        <f>'總表'!D44</f>
        <v/>
      </c>
      <c r="D22" s="22">
        <f>'總表'!F44</f>
        <v/>
      </c>
      <c r="E22" s="22">
        <f>'總表'!G44</f>
        <v/>
      </c>
      <c r="F22" s="22">
        <f>'總表'!I44</f>
        <v/>
      </c>
      <c r="G22" s="62">
        <f>'總表'!H44</f>
        <v/>
      </c>
      <c r="H22" s="63">
        <f>'總表'!J44</f>
        <v/>
      </c>
      <c r="I22" s="26">
        <f>'總表'!L44</f>
        <v/>
      </c>
      <c r="J22" s="63">
        <f>'總表'!R44</f>
        <v/>
      </c>
      <c r="K22" s="63">
        <f>'總表'!S44</f>
        <v/>
      </c>
      <c r="L22" s="26">
        <f>'總表'!W44</f>
        <v/>
      </c>
      <c r="M22" s="26">
        <f>'總表'!X44</f>
        <v/>
      </c>
      <c r="N22" s="28">
        <f>'總表'!AA44</f>
        <v/>
      </c>
      <c r="O22" s="28">
        <f>'總表'!AB44</f>
        <v/>
      </c>
      <c r="P22" s="22">
        <f>'總表'!AD44</f>
        <v/>
      </c>
      <c r="Q22" s="26">
        <f>'總表'!U44</f>
        <v/>
      </c>
      <c r="R22" s="22">
        <f>'總表'!AE44</f>
        <v/>
      </c>
      <c r="S22" s="22">
        <f>'總表'!AI44</f>
        <v/>
      </c>
      <c r="T22" s="22">
        <f>'總表'!AJ44</f>
        <v/>
      </c>
      <c r="U22" s="22">
        <f>'總表'!AK44</f>
        <v/>
      </c>
      <c r="V22" s="22">
        <f>'總表'!AL44</f>
        <v/>
      </c>
      <c r="W22" s="26">
        <f>'總表'!AQ44</f>
        <v/>
      </c>
      <c r="X22" s="26">
        <f>'總表'!AS44</f>
        <v/>
      </c>
      <c r="Y22" s="22">
        <f>'總表'!BE44</f>
        <v/>
      </c>
      <c r="Z22" s="28">
        <f>'總表'!BH44</f>
        <v/>
      </c>
      <c r="AA22" s="36">
        <f>'總表'!BP44</f>
        <v/>
      </c>
      <c r="AB22" s="22">
        <f>'總表'!BA44</f>
        <v/>
      </c>
      <c r="AC22" s="22">
        <f>'總表'!BB44</f>
        <v/>
      </c>
      <c r="AD22" s="22">
        <f>'總表'!BC44</f>
        <v/>
      </c>
      <c r="AE22" s="33">
        <f>'總表'!AW44</f>
        <v/>
      </c>
      <c r="AF22" s="36">
        <f>'總表'!BR44</f>
        <v/>
      </c>
      <c r="AG22" s="36">
        <f>'總表'!BS44</f>
        <v/>
      </c>
      <c r="AH22" s="36">
        <f>'總表'!BT44</f>
        <v/>
      </c>
      <c r="AI22" s="36">
        <f>'總表'!BU44</f>
        <v/>
      </c>
      <c r="AJ22" s="37">
        <f>'總表'!BV44</f>
        <v/>
      </c>
      <c r="AK22" s="22">
        <f>'總表'!A44</f>
        <v/>
      </c>
      <c r="AL22" s="22">
        <f>'總表'!B44</f>
        <v/>
      </c>
      <c r="AM22" s="22">
        <f>'總表'!BW44</f>
        <v/>
      </c>
    </row>
    <row r="23">
      <c r="A23" s="22" t="n">
        <v>22</v>
      </c>
      <c r="B23" s="23" t="inlineStr">
        <is>
          <t>CLDT</t>
        </is>
      </c>
      <c r="C23" s="22">
        <f>'總表'!D49</f>
        <v/>
      </c>
      <c r="D23" s="22">
        <f>'總表'!F49</f>
        <v/>
      </c>
      <c r="E23" s="22">
        <f>'總表'!G49</f>
        <v/>
      </c>
      <c r="F23" s="22">
        <f>'總表'!I49</f>
        <v/>
      </c>
      <c r="G23" s="62">
        <f>'總表'!H49</f>
        <v/>
      </c>
      <c r="H23" s="63">
        <f>'總表'!J49</f>
        <v/>
      </c>
      <c r="I23" s="26">
        <f>'總表'!L49</f>
        <v/>
      </c>
      <c r="J23" s="63">
        <f>'總表'!R49</f>
        <v/>
      </c>
      <c r="K23" s="63">
        <f>'總表'!S49</f>
        <v/>
      </c>
      <c r="L23" s="26">
        <f>'總表'!W49</f>
        <v/>
      </c>
      <c r="M23" s="26">
        <f>'總表'!X49</f>
        <v/>
      </c>
      <c r="N23" s="28">
        <f>'總表'!AA49</f>
        <v/>
      </c>
      <c r="O23" s="28">
        <f>'總表'!AB49</f>
        <v/>
      </c>
      <c r="P23" s="22">
        <f>'總表'!AD49</f>
        <v/>
      </c>
      <c r="Q23" s="26">
        <f>'總表'!U49</f>
        <v/>
      </c>
      <c r="R23" s="22">
        <f>'總表'!AE49</f>
        <v/>
      </c>
      <c r="S23" s="22">
        <f>'總表'!AI49</f>
        <v/>
      </c>
      <c r="T23" s="22">
        <f>'總表'!AJ49</f>
        <v/>
      </c>
      <c r="U23" s="22">
        <f>'總表'!AK49</f>
        <v/>
      </c>
      <c r="V23" s="22">
        <f>'總表'!AL49</f>
        <v/>
      </c>
      <c r="W23" s="26">
        <f>'總表'!AQ49</f>
        <v/>
      </c>
      <c r="X23" s="26">
        <f>'總表'!AS49</f>
        <v/>
      </c>
      <c r="Y23" s="22">
        <f>'總表'!BE49</f>
        <v/>
      </c>
      <c r="Z23" s="28">
        <f>'總表'!BH49</f>
        <v/>
      </c>
      <c r="AA23" s="36">
        <f>'總表'!BP49</f>
        <v/>
      </c>
      <c r="AB23" s="22">
        <f>'總表'!BA49</f>
        <v/>
      </c>
      <c r="AC23" s="22">
        <f>'總表'!BB49</f>
        <v/>
      </c>
      <c r="AD23" s="22">
        <f>'總表'!BC49</f>
        <v/>
      </c>
      <c r="AE23" s="33">
        <f>'總表'!AW49</f>
        <v/>
      </c>
      <c r="AF23" s="36">
        <f>'總表'!BR49</f>
        <v/>
      </c>
      <c r="AG23" s="36">
        <f>'總表'!BS49</f>
        <v/>
      </c>
      <c r="AH23" s="36">
        <f>'總表'!BT49</f>
        <v/>
      </c>
      <c r="AI23" s="36">
        <f>'總表'!BU49</f>
        <v/>
      </c>
      <c r="AJ23" s="37">
        <f>'總表'!BV49</f>
        <v/>
      </c>
      <c r="AK23" s="22">
        <f>'總表'!A49</f>
        <v/>
      </c>
      <c r="AL23" s="22">
        <f>'總表'!B49</f>
        <v/>
      </c>
      <c r="AM23" s="22">
        <f>'總表'!BW49</f>
        <v/>
      </c>
    </row>
    <row r="24">
      <c r="A24" s="22" t="n">
        <v>23</v>
      </c>
      <c r="B24" s="23" t="inlineStr">
        <is>
          <t>WMK</t>
        </is>
      </c>
      <c r="C24" s="22">
        <f>'總表'!D50</f>
        <v/>
      </c>
      <c r="D24" s="22">
        <f>'總表'!F50</f>
        <v/>
      </c>
      <c r="E24" s="22">
        <f>'總表'!G50</f>
        <v/>
      </c>
      <c r="F24" s="22">
        <f>'總表'!I50</f>
        <v/>
      </c>
      <c r="G24" s="62">
        <f>'總表'!H50</f>
        <v/>
      </c>
      <c r="H24" s="63">
        <f>'總表'!J50</f>
        <v/>
      </c>
      <c r="I24" s="26">
        <f>'總表'!L50</f>
        <v/>
      </c>
      <c r="J24" s="63">
        <f>'總表'!R50</f>
        <v/>
      </c>
      <c r="K24" s="63">
        <f>'總表'!S50</f>
        <v/>
      </c>
      <c r="L24" s="26">
        <f>'總表'!W50</f>
        <v/>
      </c>
      <c r="M24" s="26">
        <f>'總表'!X50</f>
        <v/>
      </c>
      <c r="N24" s="28">
        <f>'總表'!AA50</f>
        <v/>
      </c>
      <c r="O24" s="28">
        <f>'總表'!AB50</f>
        <v/>
      </c>
      <c r="P24" s="22">
        <f>'總表'!AD50</f>
        <v/>
      </c>
      <c r="Q24" s="26">
        <f>'總表'!U50</f>
        <v/>
      </c>
      <c r="R24" s="22">
        <f>'總表'!AE50</f>
        <v/>
      </c>
      <c r="S24" s="22">
        <f>'總表'!AI50</f>
        <v/>
      </c>
      <c r="T24" s="22">
        <f>'總表'!AJ50</f>
        <v/>
      </c>
      <c r="U24" s="22">
        <f>'總表'!AK50</f>
        <v/>
      </c>
      <c r="V24" s="22">
        <f>'總表'!AL50</f>
        <v/>
      </c>
      <c r="W24" s="26">
        <f>'總表'!AQ50</f>
        <v/>
      </c>
      <c r="X24" s="26">
        <f>'總表'!AS50</f>
        <v/>
      </c>
      <c r="Y24" s="22">
        <f>'總表'!BE50</f>
        <v/>
      </c>
      <c r="Z24" s="28">
        <f>'總表'!BH50</f>
        <v/>
      </c>
      <c r="AA24" s="36">
        <f>'總表'!BP50</f>
        <v/>
      </c>
      <c r="AB24" s="22">
        <f>'總表'!BA50</f>
        <v/>
      </c>
      <c r="AC24" s="22">
        <f>'總表'!BB50</f>
        <v/>
      </c>
      <c r="AD24" s="22">
        <f>'總表'!BC50</f>
        <v/>
      </c>
      <c r="AE24" s="33">
        <f>'總表'!AW50</f>
        <v/>
      </c>
      <c r="AF24" s="36">
        <f>'總表'!BR50</f>
        <v/>
      </c>
      <c r="AG24" s="36">
        <f>'總表'!BS50</f>
        <v/>
      </c>
      <c r="AH24" s="36">
        <f>'總表'!BT50</f>
        <v/>
      </c>
      <c r="AI24" s="36">
        <f>'總表'!BU50</f>
        <v/>
      </c>
      <c r="AJ24" s="37">
        <f>'總表'!BV50</f>
        <v/>
      </c>
      <c r="AK24" s="22">
        <f>'總表'!A50</f>
        <v/>
      </c>
      <c r="AL24" s="22">
        <f>'總表'!B50</f>
        <v/>
      </c>
      <c r="AM24" s="22">
        <f>'總表'!BW50</f>
        <v/>
      </c>
    </row>
    <row r="25">
      <c r="A25" s="22" t="n">
        <v>24</v>
      </c>
      <c r="B25" s="23" t="inlineStr">
        <is>
          <t>WEST</t>
        </is>
      </c>
      <c r="C25" s="22">
        <f>'總表'!D53</f>
        <v/>
      </c>
      <c r="D25" s="22">
        <f>'總表'!F53</f>
        <v/>
      </c>
      <c r="E25" s="22">
        <f>'總表'!G53</f>
        <v/>
      </c>
      <c r="F25" s="22">
        <f>'總表'!I53</f>
        <v/>
      </c>
      <c r="G25" s="62">
        <f>'總表'!H53</f>
        <v/>
      </c>
      <c r="H25" s="63">
        <f>'總表'!J53</f>
        <v/>
      </c>
      <c r="I25" s="26">
        <f>'總表'!L53</f>
        <v/>
      </c>
      <c r="J25" s="63">
        <f>'總表'!R53</f>
        <v/>
      </c>
      <c r="K25" s="63">
        <f>'總表'!S53</f>
        <v/>
      </c>
      <c r="L25" s="26">
        <f>'總表'!W53</f>
        <v/>
      </c>
      <c r="M25" s="26">
        <f>'總表'!X53</f>
        <v/>
      </c>
      <c r="N25" s="28">
        <f>'總表'!AA53</f>
        <v/>
      </c>
      <c r="O25" s="28">
        <f>'總表'!AB53</f>
        <v/>
      </c>
      <c r="P25" s="22">
        <f>'總表'!AD53</f>
        <v/>
      </c>
      <c r="Q25" s="26">
        <f>'總表'!U53</f>
        <v/>
      </c>
      <c r="R25" s="22">
        <f>'總表'!AE53</f>
        <v/>
      </c>
      <c r="S25" s="22">
        <f>'總表'!AI53</f>
        <v/>
      </c>
      <c r="T25" s="22">
        <f>'總表'!AJ53</f>
        <v/>
      </c>
      <c r="U25" s="22">
        <f>'總表'!AK53</f>
        <v/>
      </c>
      <c r="V25" s="22">
        <f>'總表'!AL53</f>
        <v/>
      </c>
      <c r="W25" s="26">
        <f>'總表'!AQ53</f>
        <v/>
      </c>
      <c r="X25" s="26">
        <f>'總表'!AS53</f>
        <v/>
      </c>
      <c r="Y25" s="22">
        <f>'總表'!BE53</f>
        <v/>
      </c>
      <c r="Z25" s="28">
        <f>'總表'!BH53</f>
        <v/>
      </c>
      <c r="AA25" s="36">
        <f>'總表'!BP53</f>
        <v/>
      </c>
      <c r="AB25" s="22">
        <f>'總表'!BA53</f>
        <v/>
      </c>
      <c r="AC25" s="22">
        <f>'總表'!BB53</f>
        <v/>
      </c>
      <c r="AD25" s="22">
        <f>'總表'!BC53</f>
        <v/>
      </c>
      <c r="AE25" s="33">
        <f>'總表'!AW53</f>
        <v/>
      </c>
      <c r="AF25" s="36">
        <f>'總表'!BR53</f>
        <v/>
      </c>
      <c r="AG25" s="36">
        <f>'總表'!BS53</f>
        <v/>
      </c>
      <c r="AH25" s="36">
        <f>'總表'!BT53</f>
        <v/>
      </c>
      <c r="AI25" s="36">
        <f>'總表'!BU53</f>
        <v/>
      </c>
      <c r="AJ25" s="37">
        <f>'總表'!BV53</f>
        <v/>
      </c>
      <c r="AK25" s="22">
        <f>'總表'!A53</f>
        <v/>
      </c>
      <c r="AL25" s="22">
        <f>'總表'!B53</f>
        <v/>
      </c>
      <c r="AM25" s="22">
        <f>'總表'!BW53</f>
        <v/>
      </c>
    </row>
    <row r="26">
      <c r="A26" s="22" t="n">
        <v>25</v>
      </c>
      <c r="B26" s="23" t="inlineStr">
        <is>
          <t>PCRX</t>
        </is>
      </c>
      <c r="C26" s="22">
        <f>'總表'!D57</f>
        <v/>
      </c>
      <c r="D26" s="22">
        <f>'總表'!F57</f>
        <v/>
      </c>
      <c r="E26" s="22">
        <f>'總表'!G57</f>
        <v/>
      </c>
      <c r="F26" s="22">
        <f>'總表'!I57</f>
        <v/>
      </c>
      <c r="G26" s="62">
        <f>'總表'!H57</f>
        <v/>
      </c>
      <c r="H26" s="63">
        <f>'總表'!J57</f>
        <v/>
      </c>
      <c r="I26" s="26">
        <f>'總表'!L57</f>
        <v/>
      </c>
      <c r="J26" s="63">
        <f>'總表'!R57</f>
        <v/>
      </c>
      <c r="K26" s="63">
        <f>'總表'!S57</f>
        <v/>
      </c>
      <c r="L26" s="26">
        <f>'總表'!W57</f>
        <v/>
      </c>
      <c r="M26" s="26">
        <f>'總表'!X57</f>
        <v/>
      </c>
      <c r="N26" s="28">
        <f>'總表'!AA57</f>
        <v/>
      </c>
      <c r="O26" s="28">
        <f>'總表'!AB57</f>
        <v/>
      </c>
      <c r="P26" s="22">
        <f>'總表'!AD57</f>
        <v/>
      </c>
      <c r="Q26" s="26">
        <f>'總表'!U57</f>
        <v/>
      </c>
      <c r="R26" s="22">
        <f>'總表'!AE57</f>
        <v/>
      </c>
      <c r="S26" s="22">
        <f>'總表'!AI57</f>
        <v/>
      </c>
      <c r="T26" s="22">
        <f>'總表'!AJ57</f>
        <v/>
      </c>
      <c r="U26" s="22">
        <f>'總表'!AK57</f>
        <v/>
      </c>
      <c r="V26" s="22">
        <f>'總表'!AL57</f>
        <v/>
      </c>
      <c r="W26" s="26">
        <f>'總表'!AQ57</f>
        <v/>
      </c>
      <c r="X26" s="26">
        <f>'總表'!AS57</f>
        <v/>
      </c>
      <c r="Y26" s="22">
        <f>'總表'!BE57</f>
        <v/>
      </c>
      <c r="Z26" s="28">
        <f>'總表'!BH57</f>
        <v/>
      </c>
      <c r="AA26" s="36">
        <f>'總表'!BP57</f>
        <v/>
      </c>
      <c r="AB26" s="22">
        <f>'總表'!BA57</f>
        <v/>
      </c>
      <c r="AC26" s="22">
        <f>'總表'!BB57</f>
        <v/>
      </c>
      <c r="AD26" s="22">
        <f>'總表'!BC57</f>
        <v/>
      </c>
      <c r="AE26" s="33">
        <f>'總表'!AW57</f>
        <v/>
      </c>
      <c r="AF26" s="36">
        <f>'總表'!BR57</f>
        <v/>
      </c>
      <c r="AG26" s="36">
        <f>'總表'!BS57</f>
        <v/>
      </c>
      <c r="AH26" s="36">
        <f>'總表'!BT57</f>
        <v/>
      </c>
      <c r="AI26" s="36">
        <f>'總表'!BU57</f>
        <v/>
      </c>
      <c r="AJ26" s="37">
        <f>'總表'!BV57</f>
        <v/>
      </c>
      <c r="AK26" s="22">
        <f>'總表'!A57</f>
        <v/>
      </c>
      <c r="AL26" s="22">
        <f>'總表'!B57</f>
        <v/>
      </c>
      <c r="AM26" s="22">
        <f>'總表'!BW57</f>
        <v/>
      </c>
    </row>
    <row r="27">
      <c r="A27" s="22" t="n">
        <v>26</v>
      </c>
      <c r="B27" s="23" t="inlineStr">
        <is>
          <t>FBLA</t>
        </is>
      </c>
      <c r="C27" s="22">
        <f>'總表'!D58</f>
        <v/>
      </c>
      <c r="D27" s="22">
        <f>'總表'!F58</f>
        <v/>
      </c>
      <c r="E27" s="22">
        <f>'總表'!G58</f>
        <v/>
      </c>
      <c r="F27" s="22">
        <f>'總表'!I58</f>
        <v/>
      </c>
      <c r="G27" s="62">
        <f>'總表'!H58</f>
        <v/>
      </c>
      <c r="H27" s="63">
        <f>'總表'!J58</f>
        <v/>
      </c>
      <c r="I27" s="26">
        <f>'總表'!L58</f>
        <v/>
      </c>
      <c r="J27" s="63">
        <f>'總表'!R58</f>
        <v/>
      </c>
      <c r="K27" s="63">
        <f>'總表'!S58</f>
        <v/>
      </c>
      <c r="L27" s="26">
        <f>'總表'!W58</f>
        <v/>
      </c>
      <c r="M27" s="26">
        <f>'總表'!X58</f>
        <v/>
      </c>
      <c r="N27" s="28">
        <f>'總表'!AA58</f>
        <v/>
      </c>
      <c r="O27" s="28">
        <f>'總表'!AB58</f>
        <v/>
      </c>
      <c r="P27" s="22">
        <f>'總表'!AD58</f>
        <v/>
      </c>
      <c r="Q27" s="26">
        <f>'總表'!U58</f>
        <v/>
      </c>
      <c r="R27" s="22">
        <f>'總表'!AE58</f>
        <v/>
      </c>
      <c r="S27" s="22">
        <f>'總表'!AI58</f>
        <v/>
      </c>
      <c r="T27" s="22">
        <f>'總表'!AJ58</f>
        <v/>
      </c>
      <c r="U27" s="22">
        <f>'總表'!AK58</f>
        <v/>
      </c>
      <c r="V27" s="22">
        <f>'總表'!AL58</f>
        <v/>
      </c>
      <c r="W27" s="26">
        <f>'總表'!AQ58</f>
        <v/>
      </c>
      <c r="X27" s="26">
        <f>'總表'!AS58</f>
        <v/>
      </c>
      <c r="Y27" s="22">
        <f>'總表'!BE58</f>
        <v/>
      </c>
      <c r="Z27" s="28">
        <f>'總表'!BH58</f>
        <v/>
      </c>
      <c r="AA27" s="36">
        <f>'總表'!BP58</f>
        <v/>
      </c>
      <c r="AB27" s="22">
        <f>'總表'!BA58</f>
        <v/>
      </c>
      <c r="AC27" s="22">
        <f>'總表'!BB58</f>
        <v/>
      </c>
      <c r="AD27" s="22">
        <f>'總表'!BC58</f>
        <v/>
      </c>
      <c r="AE27" s="33">
        <f>'總表'!AW58</f>
        <v/>
      </c>
      <c r="AF27" s="36">
        <f>'總表'!BR58</f>
        <v/>
      </c>
      <c r="AG27" s="36">
        <f>'總表'!BS58</f>
        <v/>
      </c>
      <c r="AH27" s="36">
        <f>'總表'!BT58</f>
        <v/>
      </c>
      <c r="AI27" s="36">
        <f>'總表'!BU58</f>
        <v/>
      </c>
      <c r="AJ27" s="37">
        <f>'總表'!BV58</f>
        <v/>
      </c>
      <c r="AK27" s="22">
        <f>'總表'!A58</f>
        <v/>
      </c>
      <c r="AL27" s="22">
        <f>'總表'!B58</f>
        <v/>
      </c>
      <c r="AM27" s="22">
        <f>'總表'!BW58</f>
        <v/>
      </c>
    </row>
    <row r="28">
      <c r="A28" s="22" t="n">
        <v>27</v>
      </c>
      <c r="B28" s="23" t="inlineStr">
        <is>
          <t>NTNX</t>
        </is>
      </c>
      <c r="C28" s="22">
        <f>'總表'!D60</f>
        <v/>
      </c>
      <c r="D28" s="22">
        <f>'總表'!F60</f>
        <v/>
      </c>
      <c r="E28" s="22">
        <f>'總表'!G60</f>
        <v/>
      </c>
      <c r="F28" s="22">
        <f>'總表'!I60</f>
        <v/>
      </c>
      <c r="G28" s="62">
        <f>'總表'!H60</f>
        <v/>
      </c>
      <c r="H28" s="63">
        <f>'總表'!J60</f>
        <v/>
      </c>
      <c r="I28" s="26">
        <f>'總表'!L60</f>
        <v/>
      </c>
      <c r="J28" s="63">
        <f>'總表'!R60</f>
        <v/>
      </c>
      <c r="K28" s="63">
        <f>'總表'!S60</f>
        <v/>
      </c>
      <c r="L28" s="26">
        <f>'總表'!W60</f>
        <v/>
      </c>
      <c r="M28" s="26">
        <f>'總表'!X60</f>
        <v/>
      </c>
      <c r="N28" s="28">
        <f>'總表'!AA60</f>
        <v/>
      </c>
      <c r="O28" s="28">
        <f>'總表'!AB60</f>
        <v/>
      </c>
      <c r="P28" s="22">
        <f>'總表'!AD60</f>
        <v/>
      </c>
      <c r="Q28" s="26">
        <f>'總表'!U60</f>
        <v/>
      </c>
      <c r="R28" s="22">
        <f>'總表'!AE60</f>
        <v/>
      </c>
      <c r="S28" s="22">
        <f>'總表'!AI60</f>
        <v/>
      </c>
      <c r="T28" s="22">
        <f>'總表'!AJ60</f>
        <v/>
      </c>
      <c r="U28" s="22">
        <f>'總表'!AK60</f>
        <v/>
      </c>
      <c r="V28" s="22">
        <f>'總表'!AL60</f>
        <v/>
      </c>
      <c r="W28" s="26">
        <f>'總表'!AQ60</f>
        <v/>
      </c>
      <c r="X28" s="26">
        <f>'總表'!AS60</f>
        <v/>
      </c>
      <c r="Y28" s="22">
        <f>'總表'!BE60</f>
        <v/>
      </c>
      <c r="Z28" s="28">
        <f>'總表'!BH60</f>
        <v/>
      </c>
      <c r="AA28" s="36">
        <f>'總表'!BP60</f>
        <v/>
      </c>
      <c r="AB28" s="22">
        <f>'總表'!BA60</f>
        <v/>
      </c>
      <c r="AC28" s="22">
        <f>'總表'!BB60</f>
        <v/>
      </c>
      <c r="AD28" s="22">
        <f>'總表'!BC60</f>
        <v/>
      </c>
      <c r="AE28" s="33">
        <f>'總表'!AW60</f>
        <v/>
      </c>
      <c r="AF28" s="36">
        <f>'總表'!BR60</f>
        <v/>
      </c>
      <c r="AG28" s="36">
        <f>'總表'!BS60</f>
        <v/>
      </c>
      <c r="AH28" s="36">
        <f>'總表'!BT60</f>
        <v/>
      </c>
      <c r="AI28" s="36">
        <f>'總表'!BU60</f>
        <v/>
      </c>
      <c r="AJ28" s="37">
        <f>'總表'!BV60</f>
        <v/>
      </c>
      <c r="AK28" s="22">
        <f>'總表'!A60</f>
        <v/>
      </c>
      <c r="AL28" s="22">
        <f>'總表'!B60</f>
        <v/>
      </c>
      <c r="AM28" s="22">
        <f>'總表'!BW60</f>
        <v/>
      </c>
    </row>
    <row r="29">
      <c r="A29" s="22" t="n">
        <v>28</v>
      </c>
      <c r="B29" s="23" t="inlineStr">
        <is>
          <t>LYTS</t>
        </is>
      </c>
      <c r="C29" s="22">
        <f>'總表'!D61</f>
        <v/>
      </c>
      <c r="D29" s="22">
        <f>'總表'!F61</f>
        <v/>
      </c>
      <c r="E29" s="22">
        <f>'總表'!G61</f>
        <v/>
      </c>
      <c r="F29" s="22">
        <f>'總表'!I61</f>
        <v/>
      </c>
      <c r="G29" s="62">
        <f>'總表'!H61</f>
        <v/>
      </c>
      <c r="H29" s="63">
        <f>'總表'!J61</f>
        <v/>
      </c>
      <c r="I29" s="26">
        <f>'總表'!L61</f>
        <v/>
      </c>
      <c r="J29" s="63">
        <f>'總表'!R61</f>
        <v/>
      </c>
      <c r="K29" s="63">
        <f>'總表'!S61</f>
        <v/>
      </c>
      <c r="L29" s="26">
        <f>'總表'!W61</f>
        <v/>
      </c>
      <c r="M29" s="26">
        <f>'總表'!X61</f>
        <v/>
      </c>
      <c r="N29" s="28">
        <f>'總表'!AA61</f>
        <v/>
      </c>
      <c r="O29" s="28">
        <f>'總表'!AB61</f>
        <v/>
      </c>
      <c r="P29" s="22">
        <f>'總表'!AD61</f>
        <v/>
      </c>
      <c r="Q29" s="26">
        <f>'總表'!U61</f>
        <v/>
      </c>
      <c r="R29" s="22">
        <f>'總表'!AE61</f>
        <v/>
      </c>
      <c r="S29" s="22">
        <f>'總表'!AI61</f>
        <v/>
      </c>
      <c r="T29" s="22">
        <f>'總表'!AJ61</f>
        <v/>
      </c>
      <c r="U29" s="22">
        <f>'總表'!AK61</f>
        <v/>
      </c>
      <c r="V29" s="22">
        <f>'總表'!AL61</f>
        <v/>
      </c>
      <c r="W29" s="26">
        <f>'總表'!AQ61</f>
        <v/>
      </c>
      <c r="X29" s="26">
        <f>'總表'!AS61</f>
        <v/>
      </c>
      <c r="Y29" s="22">
        <f>'總表'!BE61</f>
        <v/>
      </c>
      <c r="Z29" s="28">
        <f>'總表'!BH61</f>
        <v/>
      </c>
      <c r="AA29" s="36">
        <f>'總表'!BP61</f>
        <v/>
      </c>
      <c r="AB29" s="22">
        <f>'總表'!BA61</f>
        <v/>
      </c>
      <c r="AC29" s="22">
        <f>'總表'!BB61</f>
        <v/>
      </c>
      <c r="AD29" s="22">
        <f>'總表'!BC61</f>
        <v/>
      </c>
      <c r="AE29" s="33">
        <f>'總表'!AW61</f>
        <v/>
      </c>
      <c r="AF29" s="36">
        <f>'總表'!BR61</f>
        <v/>
      </c>
      <c r="AG29" s="36">
        <f>'總表'!BS61</f>
        <v/>
      </c>
      <c r="AH29" s="36">
        <f>'總表'!BT61</f>
        <v/>
      </c>
      <c r="AI29" s="36">
        <f>'總表'!BU61</f>
        <v/>
      </c>
      <c r="AJ29" s="37">
        <f>'總表'!BV61</f>
        <v/>
      </c>
      <c r="AK29" s="22">
        <f>'總表'!A61</f>
        <v/>
      </c>
      <c r="AL29" s="22">
        <f>'總表'!B61</f>
        <v/>
      </c>
      <c r="AM29" s="22">
        <f>'總表'!BW61</f>
        <v/>
      </c>
    </row>
    <row r="30">
      <c r="A30" s="38" t="n">
        <v>29</v>
      </c>
      <c r="B30" s="39" t="inlineStr">
        <is>
          <t>FEIM</t>
        </is>
      </c>
      <c r="C30" s="38">
        <f>'總表'!D63</f>
        <v/>
      </c>
      <c r="D30" s="38">
        <f>'總表'!F63</f>
        <v/>
      </c>
      <c r="E30" s="38">
        <f>'總表'!G63</f>
        <v/>
      </c>
      <c r="F30" s="38">
        <f>'總表'!I63</f>
        <v/>
      </c>
      <c r="G30" s="64">
        <f>'總表'!H63</f>
        <v/>
      </c>
      <c r="H30" s="65">
        <f>'總表'!J63</f>
        <v/>
      </c>
      <c r="I30" s="42">
        <f>'總表'!L63</f>
        <v/>
      </c>
      <c r="J30" s="65">
        <f>'總表'!R63</f>
        <v/>
      </c>
      <c r="K30" s="65">
        <f>'總表'!S63</f>
        <v/>
      </c>
      <c r="L30" s="42">
        <f>'總表'!W63</f>
        <v/>
      </c>
      <c r="M30" s="42">
        <f>'總表'!X63</f>
        <v/>
      </c>
      <c r="N30" s="44">
        <f>'總表'!AA63</f>
        <v/>
      </c>
      <c r="O30" s="44">
        <f>'總表'!AB63</f>
        <v/>
      </c>
      <c r="P30" s="38">
        <f>'總表'!AD63</f>
        <v/>
      </c>
      <c r="Q30" s="42">
        <f>'總表'!U63</f>
        <v/>
      </c>
      <c r="R30" s="38">
        <f>'總表'!AE63</f>
        <v/>
      </c>
      <c r="S30" s="38">
        <f>'總表'!AI63</f>
        <v/>
      </c>
      <c r="T30" s="38">
        <f>'總表'!AJ63</f>
        <v/>
      </c>
      <c r="U30" s="38">
        <f>'總表'!AK63</f>
        <v/>
      </c>
      <c r="V30" s="38">
        <f>'總表'!AL63</f>
        <v/>
      </c>
      <c r="W30" s="42">
        <f>'總表'!AQ63</f>
        <v/>
      </c>
      <c r="X30" s="42">
        <f>'總表'!AS63</f>
        <v/>
      </c>
      <c r="Y30" s="38">
        <f>'總表'!BE63</f>
        <v/>
      </c>
      <c r="Z30" s="44">
        <f>'總表'!BH63</f>
        <v/>
      </c>
      <c r="AA30" s="52">
        <f>'總表'!BP63</f>
        <v/>
      </c>
      <c r="AB30" s="38">
        <f>'總表'!BA63</f>
        <v/>
      </c>
      <c r="AC30" s="38">
        <f>'總表'!BB63</f>
        <v/>
      </c>
      <c r="AD30" s="38">
        <f>'總表'!BC63</f>
        <v/>
      </c>
      <c r="AE30" s="49">
        <f>'總表'!AW63</f>
        <v/>
      </c>
      <c r="AF30" s="52">
        <f>'總表'!BR63</f>
        <v/>
      </c>
      <c r="AG30" s="52">
        <f>'總表'!BS63</f>
        <v/>
      </c>
      <c r="AH30" s="52">
        <f>'總表'!BT63</f>
        <v/>
      </c>
      <c r="AI30" s="52">
        <f>'總表'!BU63</f>
        <v/>
      </c>
      <c r="AJ30" s="53">
        <f>'總表'!BV63</f>
        <v/>
      </c>
      <c r="AK30" s="38">
        <f>'總表'!A63</f>
        <v/>
      </c>
      <c r="AL30" s="38">
        <f>'總表'!B63</f>
        <v/>
      </c>
      <c r="AM30" s="38">
        <f>'總表'!BW63</f>
        <v/>
      </c>
    </row>
    <row r="31">
      <c r="A31" s="38" t="n">
        <v>30</v>
      </c>
      <c r="B31" s="39" t="inlineStr">
        <is>
          <t>JILL</t>
        </is>
      </c>
      <c r="C31" s="38">
        <f>'總表'!D64</f>
        <v/>
      </c>
      <c r="D31" s="38">
        <f>'總表'!F64</f>
        <v/>
      </c>
      <c r="E31" s="38">
        <f>'總表'!G64</f>
        <v/>
      </c>
      <c r="F31" s="38">
        <f>'總表'!I64</f>
        <v/>
      </c>
      <c r="G31" s="64">
        <f>'總表'!H64</f>
        <v/>
      </c>
      <c r="H31" s="65">
        <f>'總表'!J64</f>
        <v/>
      </c>
      <c r="I31" s="42">
        <f>'總表'!L64</f>
        <v/>
      </c>
      <c r="J31" s="65">
        <f>'總表'!R64</f>
        <v/>
      </c>
      <c r="K31" s="65">
        <f>'總表'!S64</f>
        <v/>
      </c>
      <c r="L31" s="42">
        <f>'總表'!W64</f>
        <v/>
      </c>
      <c r="M31" s="42">
        <f>'總表'!X64</f>
        <v/>
      </c>
      <c r="N31" s="44">
        <f>'總表'!AA64</f>
        <v/>
      </c>
      <c r="O31" s="44">
        <f>'總表'!AB64</f>
        <v/>
      </c>
      <c r="P31" s="38">
        <f>'總表'!AD64</f>
        <v/>
      </c>
      <c r="Q31" s="42">
        <f>'總表'!U64</f>
        <v/>
      </c>
      <c r="R31" s="38">
        <f>'總表'!AE64</f>
        <v/>
      </c>
      <c r="S31" s="38">
        <f>'總表'!AI64</f>
        <v/>
      </c>
      <c r="T31" s="38">
        <f>'總表'!AJ64</f>
        <v/>
      </c>
      <c r="U31" s="38">
        <f>'總表'!AK64</f>
        <v/>
      </c>
      <c r="V31" s="38">
        <f>'總表'!AL64</f>
        <v/>
      </c>
      <c r="W31" s="42">
        <f>'總表'!AQ64</f>
        <v/>
      </c>
      <c r="X31" s="42">
        <f>'總表'!AS64</f>
        <v/>
      </c>
      <c r="Y31" s="38">
        <f>'總表'!BE64</f>
        <v/>
      </c>
      <c r="Z31" s="44">
        <f>'總表'!BH64</f>
        <v/>
      </c>
      <c r="AA31" s="52">
        <f>'總表'!BP64</f>
        <v/>
      </c>
      <c r="AB31" s="38">
        <f>'總表'!BA64</f>
        <v/>
      </c>
      <c r="AC31" s="38">
        <f>'總表'!BB64</f>
        <v/>
      </c>
      <c r="AD31" s="38">
        <f>'總表'!BC64</f>
        <v/>
      </c>
      <c r="AE31" s="49">
        <f>'總表'!AW64</f>
        <v/>
      </c>
      <c r="AF31" s="52">
        <f>'總表'!BR64</f>
        <v/>
      </c>
      <c r="AG31" s="52">
        <f>'總表'!BS64</f>
        <v/>
      </c>
      <c r="AH31" s="52">
        <f>'總表'!BT64</f>
        <v/>
      </c>
      <c r="AI31" s="52">
        <f>'總表'!BU64</f>
        <v/>
      </c>
      <c r="AJ31" s="53">
        <f>'總表'!BV64</f>
        <v/>
      </c>
      <c r="AK31" s="38">
        <f>'總表'!A64</f>
        <v/>
      </c>
      <c r="AL31" s="38">
        <f>'總表'!B64</f>
        <v/>
      </c>
      <c r="AM31" s="38">
        <f>'總表'!BW64</f>
        <v/>
      </c>
    </row>
    <row r="32">
      <c r="A32" s="38" t="n">
        <v>31</v>
      </c>
      <c r="B32" s="39" t="inlineStr">
        <is>
          <t>PPIH</t>
        </is>
      </c>
      <c r="C32" s="38">
        <f>'總表'!D65</f>
        <v/>
      </c>
      <c r="D32" s="38">
        <f>'總表'!F65</f>
        <v/>
      </c>
      <c r="E32" s="38">
        <f>'總表'!G65</f>
        <v/>
      </c>
      <c r="F32" s="38">
        <f>'總表'!I65</f>
        <v/>
      </c>
      <c r="G32" s="64">
        <f>'總表'!H65</f>
        <v/>
      </c>
      <c r="H32" s="65">
        <f>'總表'!J65</f>
        <v/>
      </c>
      <c r="I32" s="42">
        <f>'總表'!L65</f>
        <v/>
      </c>
      <c r="J32" s="65">
        <f>'總表'!R65</f>
        <v/>
      </c>
      <c r="K32" s="65">
        <f>'總表'!S65</f>
        <v/>
      </c>
      <c r="L32" s="42">
        <f>'總表'!W65</f>
        <v/>
      </c>
      <c r="M32" s="42">
        <f>'總表'!X65</f>
        <v/>
      </c>
      <c r="N32" s="44">
        <f>'總表'!AA65</f>
        <v/>
      </c>
      <c r="O32" s="44">
        <f>'總表'!AB65</f>
        <v/>
      </c>
      <c r="P32" s="38">
        <f>'總表'!AD65</f>
        <v/>
      </c>
      <c r="Q32" s="42">
        <f>'總表'!U65</f>
        <v/>
      </c>
      <c r="R32" s="38">
        <f>'總表'!AE65</f>
        <v/>
      </c>
      <c r="S32" s="38">
        <f>'總表'!AI65</f>
        <v/>
      </c>
      <c r="T32" s="38">
        <f>'總表'!AJ65</f>
        <v/>
      </c>
      <c r="U32" s="38">
        <f>'總表'!AK65</f>
        <v/>
      </c>
      <c r="V32" s="38">
        <f>'總表'!AL65</f>
        <v/>
      </c>
      <c r="W32" s="42">
        <f>'總表'!AQ65</f>
        <v/>
      </c>
      <c r="X32" s="42">
        <f>'總表'!AS65</f>
        <v/>
      </c>
      <c r="Y32" s="38">
        <f>'總表'!BE65</f>
        <v/>
      </c>
      <c r="Z32" s="44">
        <f>'總表'!BH65</f>
        <v/>
      </c>
      <c r="AA32" s="52">
        <f>'總表'!BP65</f>
        <v/>
      </c>
      <c r="AB32" s="38">
        <f>'總表'!BA65</f>
        <v/>
      </c>
      <c r="AC32" s="38">
        <f>'總表'!BB65</f>
        <v/>
      </c>
      <c r="AD32" s="38">
        <f>'總表'!BC65</f>
        <v/>
      </c>
      <c r="AE32" s="49">
        <f>'總表'!AW65</f>
        <v/>
      </c>
      <c r="AF32" s="52">
        <f>'總表'!BR65</f>
        <v/>
      </c>
      <c r="AG32" s="52">
        <f>'總表'!BS65</f>
        <v/>
      </c>
      <c r="AH32" s="52">
        <f>'總表'!BT65</f>
        <v/>
      </c>
      <c r="AI32" s="52">
        <f>'總表'!BU65</f>
        <v/>
      </c>
      <c r="AJ32" s="53">
        <f>'總表'!BV65</f>
        <v/>
      </c>
      <c r="AK32" s="38">
        <f>'總表'!A65</f>
        <v/>
      </c>
      <c r="AL32" s="38">
        <f>'總表'!B65</f>
        <v/>
      </c>
      <c r="AM32" s="38">
        <f>'總表'!BW65</f>
        <v/>
      </c>
    </row>
    <row r="33">
      <c r="A33" s="38" t="n">
        <v>32</v>
      </c>
      <c r="B33" s="39" t="inlineStr">
        <is>
          <t>NET</t>
        </is>
      </c>
      <c r="C33" s="38">
        <f>'總表'!D66</f>
        <v/>
      </c>
      <c r="D33" s="38">
        <f>'總表'!F66</f>
        <v/>
      </c>
      <c r="E33" s="38">
        <f>'總表'!G66</f>
        <v/>
      </c>
      <c r="F33" s="38">
        <f>'總表'!I66</f>
        <v/>
      </c>
      <c r="G33" s="64">
        <f>'總表'!H66</f>
        <v/>
      </c>
      <c r="H33" s="65">
        <f>'總表'!J66</f>
        <v/>
      </c>
      <c r="I33" s="42">
        <f>'總表'!L66</f>
        <v/>
      </c>
      <c r="J33" s="65">
        <f>'總表'!R66</f>
        <v/>
      </c>
      <c r="K33" s="65">
        <f>'總表'!S66</f>
        <v/>
      </c>
      <c r="L33" s="42">
        <f>'總表'!W66</f>
        <v/>
      </c>
      <c r="M33" s="42">
        <f>'總表'!X66</f>
        <v/>
      </c>
      <c r="N33" s="44">
        <f>'總表'!AA66</f>
        <v/>
      </c>
      <c r="O33" s="44">
        <f>'總表'!AB66</f>
        <v/>
      </c>
      <c r="P33" s="38">
        <f>'總表'!AD66</f>
        <v/>
      </c>
      <c r="Q33" s="42">
        <f>'總表'!U66</f>
        <v/>
      </c>
      <c r="R33" s="38">
        <f>'總表'!AE66</f>
        <v/>
      </c>
      <c r="S33" s="38">
        <f>'總表'!AI66</f>
        <v/>
      </c>
      <c r="T33" s="38">
        <f>'總表'!AJ66</f>
        <v/>
      </c>
      <c r="U33" s="38">
        <f>'總表'!AK66</f>
        <v/>
      </c>
      <c r="V33" s="38">
        <f>'總表'!AL66</f>
        <v/>
      </c>
      <c r="W33" s="42">
        <f>'總表'!AQ66</f>
        <v/>
      </c>
      <c r="X33" s="42">
        <f>'總表'!AS66</f>
        <v/>
      </c>
      <c r="Y33" s="38">
        <f>'總表'!BE66</f>
        <v/>
      </c>
      <c r="Z33" s="44">
        <f>'總表'!BH66</f>
        <v/>
      </c>
      <c r="AA33" s="52">
        <f>'總表'!BP66</f>
        <v/>
      </c>
      <c r="AB33" s="38">
        <f>'總表'!BA66</f>
        <v/>
      </c>
      <c r="AC33" s="38">
        <f>'總表'!BB66</f>
        <v/>
      </c>
      <c r="AD33" s="38">
        <f>'總表'!BC66</f>
        <v/>
      </c>
      <c r="AE33" s="49">
        <f>'總表'!AW66</f>
        <v/>
      </c>
      <c r="AF33" s="52">
        <f>'總表'!BR66</f>
        <v/>
      </c>
      <c r="AG33" s="52">
        <f>'總表'!BS66</f>
        <v/>
      </c>
      <c r="AH33" s="52">
        <f>'總表'!BT66</f>
        <v/>
      </c>
      <c r="AI33" s="52">
        <f>'總表'!BU66</f>
        <v/>
      </c>
      <c r="AJ33" s="53">
        <f>'總表'!BV66</f>
        <v/>
      </c>
      <c r="AK33" s="38">
        <f>'總表'!A66</f>
        <v/>
      </c>
      <c r="AL33" s="38">
        <f>'總表'!B66</f>
        <v/>
      </c>
      <c r="AM33" s="38">
        <f>'總表'!BW66</f>
        <v/>
      </c>
    </row>
    <row r="34">
      <c r="A34" s="38" t="n">
        <v>33</v>
      </c>
      <c r="B34" s="39" t="inlineStr">
        <is>
          <t>LTC</t>
        </is>
      </c>
      <c r="C34" s="38">
        <f>'總表'!D67</f>
        <v/>
      </c>
      <c r="D34" s="38">
        <f>'總表'!F67</f>
        <v/>
      </c>
      <c r="E34" s="38">
        <f>'總表'!G67</f>
        <v/>
      </c>
      <c r="F34" s="38">
        <f>'總表'!I67</f>
        <v/>
      </c>
      <c r="G34" s="64">
        <f>'總表'!H67</f>
        <v/>
      </c>
      <c r="H34" s="65">
        <f>'總表'!J67</f>
        <v/>
      </c>
      <c r="I34" s="42">
        <f>'總表'!L67</f>
        <v/>
      </c>
      <c r="J34" s="65">
        <f>'總表'!R67</f>
        <v/>
      </c>
      <c r="K34" s="65">
        <f>'總表'!S67</f>
        <v/>
      </c>
      <c r="L34" s="42">
        <f>'總表'!W67</f>
        <v/>
      </c>
      <c r="M34" s="42">
        <f>'總表'!X67</f>
        <v/>
      </c>
      <c r="N34" s="44">
        <f>'總表'!AA67</f>
        <v/>
      </c>
      <c r="O34" s="44">
        <f>'總表'!AB67</f>
        <v/>
      </c>
      <c r="P34" s="38">
        <f>'總表'!AD67</f>
        <v/>
      </c>
      <c r="Q34" s="42">
        <f>'總表'!U67</f>
        <v/>
      </c>
      <c r="R34" s="38">
        <f>'總表'!AE67</f>
        <v/>
      </c>
      <c r="S34" s="38">
        <f>'總表'!AI67</f>
        <v/>
      </c>
      <c r="T34" s="38">
        <f>'總表'!AJ67</f>
        <v/>
      </c>
      <c r="U34" s="38">
        <f>'總表'!AK67</f>
        <v/>
      </c>
      <c r="V34" s="38">
        <f>'總表'!AL67</f>
        <v/>
      </c>
      <c r="W34" s="42">
        <f>'總表'!AQ67</f>
        <v/>
      </c>
      <c r="X34" s="42">
        <f>'總表'!AS67</f>
        <v/>
      </c>
      <c r="Y34" s="38">
        <f>'總表'!BE67</f>
        <v/>
      </c>
      <c r="Z34" s="44">
        <f>'總表'!BH67</f>
        <v/>
      </c>
      <c r="AA34" s="52">
        <f>'總表'!BP67</f>
        <v/>
      </c>
      <c r="AB34" s="38">
        <f>'總表'!BA67</f>
        <v/>
      </c>
      <c r="AC34" s="38">
        <f>'總表'!BB67</f>
        <v/>
      </c>
      <c r="AD34" s="38">
        <f>'總表'!BC67</f>
        <v/>
      </c>
      <c r="AE34" s="49">
        <f>'總表'!AW67</f>
        <v/>
      </c>
      <c r="AF34" s="52">
        <f>'總表'!BR67</f>
        <v/>
      </c>
      <c r="AG34" s="52">
        <f>'總表'!BS67</f>
        <v/>
      </c>
      <c r="AH34" s="52">
        <f>'總表'!BT67</f>
        <v/>
      </c>
      <c r="AI34" s="52">
        <f>'總表'!BU67</f>
        <v/>
      </c>
      <c r="AJ34" s="53">
        <f>'總表'!BV67</f>
        <v/>
      </c>
      <c r="AK34" s="38">
        <f>'總表'!A67</f>
        <v/>
      </c>
      <c r="AL34" s="38">
        <f>'總表'!B67</f>
        <v/>
      </c>
      <c r="AM34" s="38">
        <f>'總表'!BW67</f>
        <v/>
      </c>
    </row>
    <row r="35">
      <c r="A35" s="38" t="n">
        <v>34</v>
      </c>
      <c r="B35" s="39" t="inlineStr">
        <is>
          <t>NVAX</t>
        </is>
      </c>
      <c r="C35" s="38">
        <f>'總表'!D68</f>
        <v/>
      </c>
      <c r="D35" s="38">
        <f>'總表'!F68</f>
        <v/>
      </c>
      <c r="E35" s="38">
        <f>'總表'!G68</f>
        <v/>
      </c>
      <c r="F35" s="38">
        <f>'總表'!I68</f>
        <v/>
      </c>
      <c r="G35" s="64">
        <f>'總表'!H68</f>
        <v/>
      </c>
      <c r="H35" s="65">
        <f>'總表'!J68</f>
        <v/>
      </c>
      <c r="I35" s="42">
        <f>'總表'!L68</f>
        <v/>
      </c>
      <c r="J35" s="65">
        <f>'總表'!R68</f>
        <v/>
      </c>
      <c r="K35" s="65">
        <f>'總表'!S68</f>
        <v/>
      </c>
      <c r="L35" s="42">
        <f>'總表'!W68</f>
        <v/>
      </c>
      <c r="M35" s="42">
        <f>'總表'!X68</f>
        <v/>
      </c>
      <c r="N35" s="44">
        <f>'總表'!AA68</f>
        <v/>
      </c>
      <c r="O35" s="44">
        <f>'總表'!AB68</f>
        <v/>
      </c>
      <c r="P35" s="38">
        <f>'總表'!AD68</f>
        <v/>
      </c>
      <c r="Q35" s="42">
        <f>'總表'!U68</f>
        <v/>
      </c>
      <c r="R35" s="38">
        <f>'總表'!AE68</f>
        <v/>
      </c>
      <c r="S35" s="38">
        <f>'總表'!AI68</f>
        <v/>
      </c>
      <c r="T35" s="38">
        <f>'總表'!AJ68</f>
        <v/>
      </c>
      <c r="U35" s="38">
        <f>'總表'!AK68</f>
        <v/>
      </c>
      <c r="V35" s="38">
        <f>'總表'!AL68</f>
        <v/>
      </c>
      <c r="W35" s="42">
        <f>'總表'!AQ68</f>
        <v/>
      </c>
      <c r="X35" s="42">
        <f>'總表'!AS68</f>
        <v/>
      </c>
      <c r="Y35" s="38">
        <f>'總表'!BE68</f>
        <v/>
      </c>
      <c r="Z35" s="44">
        <f>'總表'!BH68</f>
        <v/>
      </c>
      <c r="AA35" s="52">
        <f>'總表'!BP68</f>
        <v/>
      </c>
      <c r="AB35" s="38">
        <f>'總表'!BA68</f>
        <v/>
      </c>
      <c r="AC35" s="38">
        <f>'總表'!BB68</f>
        <v/>
      </c>
      <c r="AD35" s="38">
        <f>'總表'!BC68</f>
        <v/>
      </c>
      <c r="AE35" s="49">
        <f>'總表'!AW68</f>
        <v/>
      </c>
      <c r="AF35" s="52">
        <f>'總表'!BR68</f>
        <v/>
      </c>
      <c r="AG35" s="52">
        <f>'總表'!BS68</f>
        <v/>
      </c>
      <c r="AH35" s="52">
        <f>'總表'!BT68</f>
        <v/>
      </c>
      <c r="AI35" s="52">
        <f>'總表'!BU68</f>
        <v/>
      </c>
      <c r="AJ35" s="53">
        <f>'總表'!BV68</f>
        <v/>
      </c>
      <c r="AK35" s="38">
        <f>'總表'!A68</f>
        <v/>
      </c>
      <c r="AL35" s="38">
        <f>'總表'!B68</f>
        <v/>
      </c>
      <c r="AM35" s="38">
        <f>'總表'!BW68</f>
        <v/>
      </c>
    </row>
    <row r="36">
      <c r="A36" s="38" t="n">
        <v>35</v>
      </c>
      <c r="B36" s="39" t="inlineStr">
        <is>
          <t>NUTX</t>
        </is>
      </c>
      <c r="C36" s="38">
        <f>'總表'!D69</f>
        <v/>
      </c>
      <c r="D36" s="38">
        <f>'總表'!F69</f>
        <v/>
      </c>
      <c r="E36" s="38">
        <f>'總表'!G69</f>
        <v/>
      </c>
      <c r="F36" s="38">
        <f>'總表'!I69</f>
        <v/>
      </c>
      <c r="G36" s="64">
        <f>'總表'!H69</f>
        <v/>
      </c>
      <c r="H36" s="65">
        <f>'總表'!J69</f>
        <v/>
      </c>
      <c r="I36" s="42">
        <f>'總表'!L69</f>
        <v/>
      </c>
      <c r="J36" s="65">
        <f>'總表'!R69</f>
        <v/>
      </c>
      <c r="K36" s="65">
        <f>'總表'!S69</f>
        <v/>
      </c>
      <c r="L36" s="42">
        <f>'總表'!W69</f>
        <v/>
      </c>
      <c r="M36" s="42">
        <f>'總表'!X69</f>
        <v/>
      </c>
      <c r="N36" s="44">
        <f>'總表'!AA69</f>
        <v/>
      </c>
      <c r="O36" s="44">
        <f>'總表'!AB69</f>
        <v/>
      </c>
      <c r="P36" s="38">
        <f>'總表'!AD69</f>
        <v/>
      </c>
      <c r="Q36" s="42">
        <f>'總表'!U69</f>
        <v/>
      </c>
      <c r="R36" s="38">
        <f>'總表'!AE69</f>
        <v/>
      </c>
      <c r="S36" s="38">
        <f>'總表'!AI69</f>
        <v/>
      </c>
      <c r="T36" s="38">
        <f>'總表'!AJ69</f>
        <v/>
      </c>
      <c r="U36" s="38">
        <f>'總表'!AK69</f>
        <v/>
      </c>
      <c r="V36" s="38">
        <f>'總表'!AL69</f>
        <v/>
      </c>
      <c r="W36" s="42">
        <f>'總表'!AQ69</f>
        <v/>
      </c>
      <c r="X36" s="42">
        <f>'總表'!AS69</f>
        <v/>
      </c>
      <c r="Y36" s="38">
        <f>'總表'!BE69</f>
        <v/>
      </c>
      <c r="Z36" s="44">
        <f>'總表'!BH69</f>
        <v/>
      </c>
      <c r="AA36" s="52">
        <f>'總表'!BP69</f>
        <v/>
      </c>
      <c r="AB36" s="38">
        <f>'總表'!BA69</f>
        <v/>
      </c>
      <c r="AC36" s="38">
        <f>'總表'!BB69</f>
        <v/>
      </c>
      <c r="AD36" s="38">
        <f>'總表'!BC69</f>
        <v/>
      </c>
      <c r="AE36" s="49">
        <f>'總表'!AW69</f>
        <v/>
      </c>
      <c r="AF36" s="52">
        <f>'總表'!BR69</f>
        <v/>
      </c>
      <c r="AG36" s="52">
        <f>'總表'!BS69</f>
        <v/>
      </c>
      <c r="AH36" s="52">
        <f>'總表'!BT69</f>
        <v/>
      </c>
      <c r="AI36" s="52">
        <f>'總表'!BU69</f>
        <v/>
      </c>
      <c r="AJ36" s="53">
        <f>'總表'!BV69</f>
        <v/>
      </c>
      <c r="AK36" s="38">
        <f>'總表'!A69</f>
        <v/>
      </c>
      <c r="AL36" s="38">
        <f>'總表'!B69</f>
        <v/>
      </c>
      <c r="AM36" s="38">
        <f>'總表'!BW69</f>
        <v/>
      </c>
    </row>
    <row r="37">
      <c r="A37" s="38" t="n">
        <v>36</v>
      </c>
      <c r="B37" s="39" t="inlineStr">
        <is>
          <t>SMMT</t>
        </is>
      </c>
      <c r="C37" s="38">
        <f>'總表'!D70</f>
        <v/>
      </c>
      <c r="D37" s="38">
        <f>'總表'!F70</f>
        <v/>
      </c>
      <c r="E37" s="38">
        <f>'總表'!G70</f>
        <v/>
      </c>
      <c r="F37" s="38">
        <f>'總表'!I70</f>
        <v/>
      </c>
      <c r="G37" s="64">
        <f>'總表'!H70</f>
        <v/>
      </c>
      <c r="H37" s="65">
        <f>'總表'!J70</f>
        <v/>
      </c>
      <c r="I37" s="42">
        <f>'總表'!L70</f>
        <v/>
      </c>
      <c r="J37" s="65">
        <f>'總表'!R70</f>
        <v/>
      </c>
      <c r="K37" s="65">
        <f>'總表'!S70</f>
        <v/>
      </c>
      <c r="L37" s="42">
        <f>'總表'!W70</f>
        <v/>
      </c>
      <c r="M37" s="42">
        <f>'總表'!X70</f>
        <v/>
      </c>
      <c r="N37" s="44">
        <f>'總表'!AA70</f>
        <v/>
      </c>
      <c r="O37" s="44">
        <f>'總表'!AB70</f>
        <v/>
      </c>
      <c r="P37" s="38">
        <f>'總表'!AD70</f>
        <v/>
      </c>
      <c r="Q37" s="42">
        <f>'總表'!U70</f>
        <v/>
      </c>
      <c r="R37" s="38">
        <f>'總表'!AE70</f>
        <v/>
      </c>
      <c r="S37" s="38">
        <f>'總表'!AI70</f>
        <v/>
      </c>
      <c r="T37" s="38">
        <f>'總表'!AJ70</f>
        <v/>
      </c>
      <c r="U37" s="38">
        <f>'總表'!AK70</f>
        <v/>
      </c>
      <c r="V37" s="38">
        <f>'總表'!AL70</f>
        <v/>
      </c>
      <c r="W37" s="42">
        <f>'總表'!AQ70</f>
        <v/>
      </c>
      <c r="X37" s="42">
        <f>'總表'!AS70</f>
        <v/>
      </c>
      <c r="Y37" s="38">
        <f>'總表'!BE70</f>
        <v/>
      </c>
      <c r="Z37" s="44">
        <f>'總表'!BH70</f>
        <v/>
      </c>
      <c r="AA37" s="52">
        <f>'總表'!BP70</f>
        <v/>
      </c>
      <c r="AB37" s="38">
        <f>'總表'!BA70</f>
        <v/>
      </c>
      <c r="AC37" s="38">
        <f>'總表'!BB70</f>
        <v/>
      </c>
      <c r="AD37" s="38">
        <f>'總表'!BC70</f>
        <v/>
      </c>
      <c r="AE37" s="49">
        <f>'總表'!AW70</f>
        <v/>
      </c>
      <c r="AF37" s="52">
        <f>'總表'!BR70</f>
        <v/>
      </c>
      <c r="AG37" s="52">
        <f>'總表'!BS70</f>
        <v/>
      </c>
      <c r="AH37" s="52">
        <f>'總表'!BT70</f>
        <v/>
      </c>
      <c r="AI37" s="52">
        <f>'總表'!BU70</f>
        <v/>
      </c>
      <c r="AJ37" s="53">
        <f>'總表'!BV70</f>
        <v/>
      </c>
      <c r="AK37" s="38">
        <f>'總表'!A70</f>
        <v/>
      </c>
      <c r="AL37" s="38">
        <f>'總表'!B70</f>
        <v/>
      </c>
      <c r="AM37" s="38">
        <f>'總表'!BW70</f>
        <v/>
      </c>
    </row>
    <row r="38">
      <c r="A38" s="38" t="n">
        <v>37</v>
      </c>
      <c r="B38" s="39" t="inlineStr">
        <is>
          <t>FLGT</t>
        </is>
      </c>
      <c r="C38" s="38">
        <f>'總表'!D71</f>
        <v/>
      </c>
      <c r="D38" s="38">
        <f>'總表'!F71</f>
        <v/>
      </c>
      <c r="E38" s="38">
        <f>'總表'!G71</f>
        <v/>
      </c>
      <c r="F38" s="38">
        <f>'總表'!I71</f>
        <v/>
      </c>
      <c r="G38" s="64">
        <f>'總表'!H71</f>
        <v/>
      </c>
      <c r="H38" s="65">
        <f>'總表'!J71</f>
        <v/>
      </c>
      <c r="I38" s="42">
        <f>'總表'!L71</f>
        <v/>
      </c>
      <c r="J38" s="65">
        <f>'總表'!R71</f>
        <v/>
      </c>
      <c r="K38" s="65">
        <f>'總表'!S71</f>
        <v/>
      </c>
      <c r="L38" s="42">
        <f>'總表'!W71</f>
        <v/>
      </c>
      <c r="M38" s="42">
        <f>'總表'!X71</f>
        <v/>
      </c>
      <c r="N38" s="44">
        <f>'總表'!AA71</f>
        <v/>
      </c>
      <c r="O38" s="44">
        <f>'總表'!AB71</f>
        <v/>
      </c>
      <c r="P38" s="38">
        <f>'總表'!AD71</f>
        <v/>
      </c>
      <c r="Q38" s="42">
        <f>'總表'!U71</f>
        <v/>
      </c>
      <c r="R38" s="38">
        <f>'總表'!AE71</f>
        <v/>
      </c>
      <c r="S38" s="38">
        <f>'總表'!AI71</f>
        <v/>
      </c>
      <c r="T38" s="38">
        <f>'總表'!AJ71</f>
        <v/>
      </c>
      <c r="U38" s="38">
        <f>'總表'!AK71</f>
        <v/>
      </c>
      <c r="V38" s="38">
        <f>'總表'!AL71</f>
        <v/>
      </c>
      <c r="W38" s="42">
        <f>'總表'!AQ71</f>
        <v/>
      </c>
      <c r="X38" s="42">
        <f>'總表'!AS71</f>
        <v/>
      </c>
      <c r="Y38" s="38">
        <f>'總表'!BE71</f>
        <v/>
      </c>
      <c r="Z38" s="44">
        <f>'總表'!BH71</f>
        <v/>
      </c>
      <c r="AA38" s="52">
        <f>'總表'!BP71</f>
        <v/>
      </c>
      <c r="AB38" s="38">
        <f>'總表'!BA71</f>
        <v/>
      </c>
      <c r="AC38" s="38">
        <f>'總表'!BB71</f>
        <v/>
      </c>
      <c r="AD38" s="38">
        <f>'總表'!BC71</f>
        <v/>
      </c>
      <c r="AE38" s="49">
        <f>'總表'!AW71</f>
        <v/>
      </c>
      <c r="AF38" s="52">
        <f>'總表'!BR71</f>
        <v/>
      </c>
      <c r="AG38" s="52">
        <f>'總表'!BS71</f>
        <v/>
      </c>
      <c r="AH38" s="52">
        <f>'總表'!BT71</f>
        <v/>
      </c>
      <c r="AI38" s="52">
        <f>'總表'!BU71</f>
        <v/>
      </c>
      <c r="AJ38" s="53">
        <f>'總表'!BV71</f>
        <v/>
      </c>
      <c r="AK38" s="38">
        <f>'總表'!A71</f>
        <v/>
      </c>
      <c r="AL38" s="38">
        <f>'總表'!B71</f>
        <v/>
      </c>
      <c r="AM38" s="38">
        <f>'總表'!BW71</f>
        <v/>
      </c>
    </row>
    <row r="39">
      <c r="A39" s="38" t="n">
        <v>38</v>
      </c>
      <c r="B39" s="39" t="inlineStr">
        <is>
          <t>HURN</t>
        </is>
      </c>
      <c r="C39" s="38">
        <f>'總表'!D72</f>
        <v/>
      </c>
      <c r="D39" s="38">
        <f>'總表'!F72</f>
        <v/>
      </c>
      <c r="E39" s="38">
        <f>'總表'!G72</f>
        <v/>
      </c>
      <c r="F39" s="38">
        <f>'總表'!I72</f>
        <v/>
      </c>
      <c r="G39" s="64">
        <f>'總表'!H72</f>
        <v/>
      </c>
      <c r="H39" s="65">
        <f>'總表'!J72</f>
        <v/>
      </c>
      <c r="I39" s="42">
        <f>'總表'!L72</f>
        <v/>
      </c>
      <c r="J39" s="65">
        <f>'總表'!R72</f>
        <v/>
      </c>
      <c r="K39" s="65">
        <f>'總表'!S72</f>
        <v/>
      </c>
      <c r="L39" s="42">
        <f>'總表'!W72</f>
        <v/>
      </c>
      <c r="M39" s="42">
        <f>'總表'!X72</f>
        <v/>
      </c>
      <c r="N39" s="44">
        <f>'總表'!AA72</f>
        <v/>
      </c>
      <c r="O39" s="44">
        <f>'總表'!AB72</f>
        <v/>
      </c>
      <c r="P39" s="38">
        <f>'總表'!AD72</f>
        <v/>
      </c>
      <c r="Q39" s="42">
        <f>'總表'!U72</f>
        <v/>
      </c>
      <c r="R39" s="38">
        <f>'總表'!AE72</f>
        <v/>
      </c>
      <c r="S39" s="38">
        <f>'總表'!AI72</f>
        <v/>
      </c>
      <c r="T39" s="38">
        <f>'總表'!AJ72</f>
        <v/>
      </c>
      <c r="U39" s="38">
        <f>'總表'!AK72</f>
        <v/>
      </c>
      <c r="V39" s="38">
        <f>'總表'!AL72</f>
        <v/>
      </c>
      <c r="W39" s="42">
        <f>'總表'!AQ72</f>
        <v/>
      </c>
      <c r="X39" s="42">
        <f>'總表'!AS72</f>
        <v/>
      </c>
      <c r="Y39" s="38">
        <f>'總表'!BE72</f>
        <v/>
      </c>
      <c r="Z39" s="44">
        <f>'總表'!BH72</f>
        <v/>
      </c>
      <c r="AA39" s="52">
        <f>'總表'!BP72</f>
        <v/>
      </c>
      <c r="AB39" s="38">
        <f>'總表'!BA72</f>
        <v/>
      </c>
      <c r="AC39" s="38">
        <f>'總表'!BB72</f>
        <v/>
      </c>
      <c r="AD39" s="38">
        <f>'總表'!BC72</f>
        <v/>
      </c>
      <c r="AE39" s="49">
        <f>'總表'!AW72</f>
        <v/>
      </c>
      <c r="AF39" s="52">
        <f>'總表'!BR72</f>
        <v/>
      </c>
      <c r="AG39" s="52">
        <f>'總表'!BS72</f>
        <v/>
      </c>
      <c r="AH39" s="52">
        <f>'總表'!BT72</f>
        <v/>
      </c>
      <c r="AI39" s="52">
        <f>'總表'!BU72</f>
        <v/>
      </c>
      <c r="AJ39" s="53">
        <f>'總表'!BV72</f>
        <v/>
      </c>
      <c r="AK39" s="38">
        <f>'總表'!A72</f>
        <v/>
      </c>
      <c r="AL39" s="38">
        <f>'總表'!B72</f>
        <v/>
      </c>
      <c r="AM39" s="38">
        <f>'總表'!BW72</f>
        <v/>
      </c>
    </row>
    <row r="40">
      <c r="A40" s="38" t="n">
        <v>39</v>
      </c>
      <c r="B40" s="39" t="inlineStr">
        <is>
          <t>MG</t>
        </is>
      </c>
      <c r="C40" s="38">
        <f>'總表'!D73</f>
        <v/>
      </c>
      <c r="D40" s="38">
        <f>'總表'!F73</f>
        <v/>
      </c>
      <c r="E40" s="38">
        <f>'總表'!G73</f>
        <v/>
      </c>
      <c r="F40" s="38">
        <f>'總表'!I73</f>
        <v/>
      </c>
      <c r="G40" s="64">
        <f>'總表'!H73</f>
        <v/>
      </c>
      <c r="H40" s="65">
        <f>'總表'!J73</f>
        <v/>
      </c>
      <c r="I40" s="42">
        <f>'總表'!L73</f>
        <v/>
      </c>
      <c r="J40" s="65">
        <f>'總表'!R73</f>
        <v/>
      </c>
      <c r="K40" s="65">
        <f>'總表'!S73</f>
        <v/>
      </c>
      <c r="L40" s="42">
        <f>'總表'!W73</f>
        <v/>
      </c>
      <c r="M40" s="42">
        <f>'總表'!X73</f>
        <v/>
      </c>
      <c r="N40" s="44">
        <f>'總表'!AA73</f>
        <v/>
      </c>
      <c r="O40" s="44">
        <f>'總表'!AB73</f>
        <v/>
      </c>
      <c r="P40" s="38">
        <f>'總表'!AD73</f>
        <v/>
      </c>
      <c r="Q40" s="42">
        <f>'總表'!U73</f>
        <v/>
      </c>
      <c r="R40" s="38">
        <f>'總表'!AE73</f>
        <v/>
      </c>
      <c r="S40" s="38">
        <f>'總表'!AI73</f>
        <v/>
      </c>
      <c r="T40" s="38">
        <f>'總表'!AJ73</f>
        <v/>
      </c>
      <c r="U40" s="38">
        <f>'總表'!AK73</f>
        <v/>
      </c>
      <c r="V40" s="38">
        <f>'總表'!AL73</f>
        <v/>
      </c>
      <c r="W40" s="42">
        <f>'總表'!AQ73</f>
        <v/>
      </c>
      <c r="X40" s="42">
        <f>'總表'!AS73</f>
        <v/>
      </c>
      <c r="Y40" s="38">
        <f>'總表'!BE73</f>
        <v/>
      </c>
      <c r="Z40" s="44">
        <f>'總表'!BH73</f>
        <v/>
      </c>
      <c r="AA40" s="52">
        <f>'總表'!BP73</f>
        <v/>
      </c>
      <c r="AB40" s="38">
        <f>'總表'!BA73</f>
        <v/>
      </c>
      <c r="AC40" s="38">
        <f>'總表'!BB73</f>
        <v/>
      </c>
      <c r="AD40" s="38">
        <f>'總表'!BC73</f>
        <v/>
      </c>
      <c r="AE40" s="49">
        <f>'總表'!AW73</f>
        <v/>
      </c>
      <c r="AF40" s="52">
        <f>'總表'!BR73</f>
        <v/>
      </c>
      <c r="AG40" s="52">
        <f>'總表'!BS73</f>
        <v/>
      </c>
      <c r="AH40" s="52">
        <f>'總表'!BT73</f>
        <v/>
      </c>
      <c r="AI40" s="52">
        <f>'總表'!BU73</f>
        <v/>
      </c>
      <c r="AJ40" s="53">
        <f>'總表'!BV73</f>
        <v/>
      </c>
      <c r="AK40" s="38">
        <f>'總表'!A73</f>
        <v/>
      </c>
      <c r="AL40" s="38">
        <f>'總表'!B73</f>
        <v/>
      </c>
      <c r="AM40" s="38">
        <f>'總表'!BW73</f>
        <v/>
      </c>
    </row>
    <row r="41">
      <c r="A41" s="38" t="n">
        <v>40</v>
      </c>
      <c r="B41" s="39" t="inlineStr">
        <is>
          <t>PLTR</t>
        </is>
      </c>
      <c r="C41" s="38">
        <f>'總表'!D74</f>
        <v/>
      </c>
      <c r="D41" s="38">
        <f>'總表'!F74</f>
        <v/>
      </c>
      <c r="E41" s="38">
        <f>'總表'!G74</f>
        <v/>
      </c>
      <c r="F41" s="38">
        <f>'總表'!I74</f>
        <v/>
      </c>
      <c r="G41" s="64">
        <f>'總表'!H74</f>
        <v/>
      </c>
      <c r="H41" s="65">
        <f>'總表'!J74</f>
        <v/>
      </c>
      <c r="I41" s="42">
        <f>'總表'!L74</f>
        <v/>
      </c>
      <c r="J41" s="65">
        <f>'總表'!R74</f>
        <v/>
      </c>
      <c r="K41" s="65">
        <f>'總表'!S74</f>
        <v/>
      </c>
      <c r="L41" s="42">
        <f>'總表'!W74</f>
        <v/>
      </c>
      <c r="M41" s="42">
        <f>'總表'!X74</f>
        <v/>
      </c>
      <c r="N41" s="44">
        <f>'總表'!AA74</f>
        <v/>
      </c>
      <c r="O41" s="44">
        <f>'總表'!AB74</f>
        <v/>
      </c>
      <c r="P41" s="38">
        <f>'總表'!AD74</f>
        <v/>
      </c>
      <c r="Q41" s="42">
        <f>'總表'!U74</f>
        <v/>
      </c>
      <c r="R41" s="38">
        <f>'總表'!AE74</f>
        <v/>
      </c>
      <c r="S41" s="38">
        <f>'總表'!AI74</f>
        <v/>
      </c>
      <c r="T41" s="38">
        <f>'總表'!AJ74</f>
        <v/>
      </c>
      <c r="U41" s="38">
        <f>'總表'!AK74</f>
        <v/>
      </c>
      <c r="V41" s="38">
        <f>'總表'!AL74</f>
        <v/>
      </c>
      <c r="W41" s="42">
        <f>'總表'!AQ74</f>
        <v/>
      </c>
      <c r="X41" s="42">
        <f>'總表'!AS74</f>
        <v/>
      </c>
      <c r="Y41" s="38">
        <f>'總表'!BE74</f>
        <v/>
      </c>
      <c r="Z41" s="44">
        <f>'總表'!BH74</f>
        <v/>
      </c>
      <c r="AA41" s="52">
        <f>'總表'!BP74</f>
        <v/>
      </c>
      <c r="AB41" s="38">
        <f>'總表'!BA74</f>
        <v/>
      </c>
      <c r="AC41" s="38">
        <f>'總表'!BB74</f>
        <v/>
      </c>
      <c r="AD41" s="38">
        <f>'總表'!BC74</f>
        <v/>
      </c>
      <c r="AE41" s="49">
        <f>'總表'!AW74</f>
        <v/>
      </c>
      <c r="AF41" s="52">
        <f>'總表'!BR74</f>
        <v/>
      </c>
      <c r="AG41" s="52">
        <f>'總表'!BS74</f>
        <v/>
      </c>
      <c r="AH41" s="52">
        <f>'總表'!BT74</f>
        <v/>
      </c>
      <c r="AI41" s="52">
        <f>'總表'!BU74</f>
        <v/>
      </c>
      <c r="AJ41" s="53">
        <f>'總表'!BV74</f>
        <v/>
      </c>
      <c r="AK41" s="38">
        <f>'總表'!A74</f>
        <v/>
      </c>
      <c r="AL41" s="38">
        <f>'總表'!B74</f>
        <v/>
      </c>
      <c r="AM41" s="38">
        <f>'總表'!BW74</f>
        <v/>
      </c>
    </row>
    <row r="42">
      <c r="A42" s="38" t="n">
        <v>41</v>
      </c>
      <c r="B42" s="39" t="inlineStr">
        <is>
          <t>ACVA</t>
        </is>
      </c>
      <c r="C42" s="38">
        <f>'總表'!D75</f>
        <v/>
      </c>
      <c r="D42" s="38">
        <f>'總表'!F75</f>
        <v/>
      </c>
      <c r="E42" s="38">
        <f>'總表'!G75</f>
        <v/>
      </c>
      <c r="F42" s="38">
        <f>'總表'!I75</f>
        <v/>
      </c>
      <c r="G42" s="64">
        <f>'總表'!H75</f>
        <v/>
      </c>
      <c r="H42" s="65">
        <f>'總表'!J75</f>
        <v/>
      </c>
      <c r="I42" s="42">
        <f>'總表'!L75</f>
        <v/>
      </c>
      <c r="J42" s="65">
        <f>'總表'!R75</f>
        <v/>
      </c>
      <c r="K42" s="65">
        <f>'總表'!S75</f>
        <v/>
      </c>
      <c r="L42" s="42">
        <f>'總表'!W75</f>
        <v/>
      </c>
      <c r="M42" s="42">
        <f>'總表'!X75</f>
        <v/>
      </c>
      <c r="N42" s="44">
        <f>'總表'!AA75</f>
        <v/>
      </c>
      <c r="O42" s="44">
        <f>'總表'!AB75</f>
        <v/>
      </c>
      <c r="P42" s="38">
        <f>'總表'!AD75</f>
        <v/>
      </c>
      <c r="Q42" s="42">
        <f>'總表'!U75</f>
        <v/>
      </c>
      <c r="R42" s="38">
        <f>'總表'!AE75</f>
        <v/>
      </c>
      <c r="S42" s="38">
        <f>'總表'!AI75</f>
        <v/>
      </c>
      <c r="T42" s="38">
        <f>'總表'!AJ75</f>
        <v/>
      </c>
      <c r="U42" s="38">
        <f>'總表'!AK75</f>
        <v/>
      </c>
      <c r="V42" s="38">
        <f>'總表'!AL75</f>
        <v/>
      </c>
      <c r="W42" s="42">
        <f>'總表'!AQ75</f>
        <v/>
      </c>
      <c r="X42" s="42">
        <f>'總表'!AS75</f>
        <v/>
      </c>
      <c r="Y42" s="38">
        <f>'總表'!BE75</f>
        <v/>
      </c>
      <c r="Z42" s="44">
        <f>'總表'!BH75</f>
        <v/>
      </c>
      <c r="AA42" s="52">
        <f>'總表'!BP75</f>
        <v/>
      </c>
      <c r="AB42" s="38">
        <f>'總表'!BA75</f>
        <v/>
      </c>
      <c r="AC42" s="38">
        <f>'總表'!BB75</f>
        <v/>
      </c>
      <c r="AD42" s="38">
        <f>'總表'!BC75</f>
        <v/>
      </c>
      <c r="AE42" s="49">
        <f>'總表'!AW75</f>
        <v/>
      </c>
      <c r="AF42" s="52">
        <f>'總表'!BR75</f>
        <v/>
      </c>
      <c r="AG42" s="52">
        <f>'總表'!BS75</f>
        <v/>
      </c>
      <c r="AH42" s="52">
        <f>'總表'!BT75</f>
        <v/>
      </c>
      <c r="AI42" s="52">
        <f>'總表'!BU75</f>
        <v/>
      </c>
      <c r="AJ42" s="53">
        <f>'總表'!BV75</f>
        <v/>
      </c>
      <c r="AK42" s="38">
        <f>'總表'!A75</f>
        <v/>
      </c>
      <c r="AL42" s="38">
        <f>'總表'!B75</f>
        <v/>
      </c>
      <c r="AM42" s="38">
        <f>'總表'!BW75</f>
        <v/>
      </c>
    </row>
    <row r="43">
      <c r="A43" s="38" t="n">
        <v>42</v>
      </c>
      <c r="B43" s="39" t="inlineStr">
        <is>
          <t>OBIO</t>
        </is>
      </c>
      <c r="C43" s="38">
        <f>'總表'!D77</f>
        <v/>
      </c>
      <c r="D43" s="38">
        <f>'總表'!F77</f>
        <v/>
      </c>
      <c r="E43" s="38">
        <f>'總表'!G77</f>
        <v/>
      </c>
      <c r="F43" s="38">
        <f>'總表'!I77</f>
        <v/>
      </c>
      <c r="G43" s="64">
        <f>'總表'!H77</f>
        <v/>
      </c>
      <c r="H43" s="65">
        <f>'總表'!J77</f>
        <v/>
      </c>
      <c r="I43" s="42">
        <f>'總表'!L77</f>
        <v/>
      </c>
      <c r="J43" s="65">
        <f>'總表'!R77</f>
        <v/>
      </c>
      <c r="K43" s="65">
        <f>'總表'!S77</f>
        <v/>
      </c>
      <c r="L43" s="42">
        <f>'總表'!W77</f>
        <v/>
      </c>
      <c r="M43" s="42">
        <f>'總表'!X77</f>
        <v/>
      </c>
      <c r="N43" s="44">
        <f>'總表'!AA77</f>
        <v/>
      </c>
      <c r="O43" s="44">
        <f>'總表'!AB77</f>
        <v/>
      </c>
      <c r="P43" s="38">
        <f>'總表'!AD77</f>
        <v/>
      </c>
      <c r="Q43" s="42">
        <f>'總表'!U77</f>
        <v/>
      </c>
      <c r="R43" s="38">
        <f>'總表'!AE77</f>
        <v/>
      </c>
      <c r="S43" s="38">
        <f>'總表'!AI77</f>
        <v/>
      </c>
      <c r="T43" s="38">
        <f>'總表'!AJ77</f>
        <v/>
      </c>
      <c r="U43" s="38">
        <f>'總表'!AK77</f>
        <v/>
      </c>
      <c r="V43" s="38">
        <f>'總表'!AL77</f>
        <v/>
      </c>
      <c r="W43" s="42">
        <f>'總表'!AQ77</f>
        <v/>
      </c>
      <c r="X43" s="42">
        <f>'總表'!AS77</f>
        <v/>
      </c>
      <c r="Y43" s="38">
        <f>'總表'!BE77</f>
        <v/>
      </c>
      <c r="Z43" s="44">
        <f>'總表'!BH77</f>
        <v/>
      </c>
      <c r="AA43" s="52">
        <f>'總表'!BP77</f>
        <v/>
      </c>
      <c r="AB43" s="38">
        <f>'總表'!BA77</f>
        <v/>
      </c>
      <c r="AC43" s="38">
        <f>'總表'!BB77</f>
        <v/>
      </c>
      <c r="AD43" s="38">
        <f>'總表'!BC77</f>
        <v/>
      </c>
      <c r="AE43" s="49">
        <f>'總表'!AW77</f>
        <v/>
      </c>
      <c r="AF43" s="52">
        <f>'總表'!BR77</f>
        <v/>
      </c>
      <c r="AG43" s="52">
        <f>'總表'!BS77</f>
        <v/>
      </c>
      <c r="AH43" s="52">
        <f>'總表'!BT77</f>
        <v/>
      </c>
      <c r="AI43" s="52">
        <f>'總表'!BU77</f>
        <v/>
      </c>
      <c r="AJ43" s="53">
        <f>'總表'!BV77</f>
        <v/>
      </c>
      <c r="AK43" s="38">
        <f>'總表'!A77</f>
        <v/>
      </c>
      <c r="AL43" s="38">
        <f>'總表'!B77</f>
        <v/>
      </c>
      <c r="AM43" s="38">
        <f>'總表'!BW77</f>
        <v/>
      </c>
    </row>
    <row r="44">
      <c r="A44" s="38" t="n">
        <v>43</v>
      </c>
      <c r="B44" s="39" t="inlineStr">
        <is>
          <t>PSIX</t>
        </is>
      </c>
      <c r="C44" s="38">
        <f>'總表'!D78</f>
        <v/>
      </c>
      <c r="D44" s="38">
        <f>'總表'!F78</f>
        <v/>
      </c>
      <c r="E44" s="38">
        <f>'總表'!G78</f>
        <v/>
      </c>
      <c r="F44" s="38">
        <f>'總表'!I78</f>
        <v/>
      </c>
      <c r="G44" s="64">
        <f>'總表'!H78</f>
        <v/>
      </c>
      <c r="H44" s="65">
        <f>'總表'!J78</f>
        <v/>
      </c>
      <c r="I44" s="42">
        <f>'總表'!L78</f>
        <v/>
      </c>
      <c r="J44" s="65">
        <f>'總表'!R78</f>
        <v/>
      </c>
      <c r="K44" s="65">
        <f>'總表'!S78</f>
        <v/>
      </c>
      <c r="L44" s="42">
        <f>'總表'!W78</f>
        <v/>
      </c>
      <c r="M44" s="42">
        <f>'總表'!X78</f>
        <v/>
      </c>
      <c r="N44" s="44">
        <f>'總表'!AA78</f>
        <v/>
      </c>
      <c r="O44" s="44">
        <f>'總表'!AB78</f>
        <v/>
      </c>
      <c r="P44" s="38">
        <f>'總表'!AD78</f>
        <v/>
      </c>
      <c r="Q44" s="42">
        <f>'總表'!U78</f>
        <v/>
      </c>
      <c r="R44" s="38">
        <f>'總表'!AE78</f>
        <v/>
      </c>
      <c r="S44" s="38">
        <f>'總表'!AI78</f>
        <v/>
      </c>
      <c r="T44" s="38">
        <f>'總表'!AJ78</f>
        <v/>
      </c>
      <c r="U44" s="38">
        <f>'總表'!AK78</f>
        <v/>
      </c>
      <c r="V44" s="38">
        <f>'總表'!AL78</f>
        <v/>
      </c>
      <c r="W44" s="42">
        <f>'總表'!AQ78</f>
        <v/>
      </c>
      <c r="X44" s="42">
        <f>'總表'!AS78</f>
        <v/>
      </c>
      <c r="Y44" s="38">
        <f>'總表'!BE78</f>
        <v/>
      </c>
      <c r="Z44" s="44">
        <f>'總表'!BH78</f>
        <v/>
      </c>
      <c r="AA44" s="52">
        <f>'總表'!BP78</f>
        <v/>
      </c>
      <c r="AB44" s="38">
        <f>'總表'!BA78</f>
        <v/>
      </c>
      <c r="AC44" s="38">
        <f>'總表'!BB78</f>
        <v/>
      </c>
      <c r="AD44" s="38">
        <f>'總表'!BC78</f>
        <v/>
      </c>
      <c r="AE44" s="49">
        <f>'總表'!AW78</f>
        <v/>
      </c>
      <c r="AF44" s="52">
        <f>'總表'!BR78</f>
        <v/>
      </c>
      <c r="AG44" s="52">
        <f>'總表'!BS78</f>
        <v/>
      </c>
      <c r="AH44" s="52">
        <f>'總表'!BT78</f>
        <v/>
      </c>
      <c r="AI44" s="52">
        <f>'總表'!BU78</f>
        <v/>
      </c>
      <c r="AJ44" s="53">
        <f>'總表'!BV78</f>
        <v/>
      </c>
      <c r="AK44" s="38">
        <f>'總表'!A78</f>
        <v/>
      </c>
      <c r="AL44" s="38">
        <f>'總表'!B78</f>
        <v/>
      </c>
      <c r="AM44" s="38">
        <f>'總表'!BW78</f>
        <v/>
      </c>
    </row>
    <row r="45">
      <c r="A45" s="38" t="n">
        <v>44</v>
      </c>
      <c r="B45" s="39" t="inlineStr">
        <is>
          <t>VRNS</t>
        </is>
      </c>
      <c r="C45" s="38">
        <f>'總表'!D80</f>
        <v/>
      </c>
      <c r="D45" s="38">
        <f>'總表'!F80</f>
        <v/>
      </c>
      <c r="E45" s="38">
        <f>'總表'!G80</f>
        <v/>
      </c>
      <c r="F45" s="38">
        <f>'總表'!I80</f>
        <v/>
      </c>
      <c r="G45" s="64">
        <f>'總表'!H80</f>
        <v/>
      </c>
      <c r="H45" s="65">
        <f>'總表'!J80</f>
        <v/>
      </c>
      <c r="I45" s="42">
        <f>'總表'!L80</f>
        <v/>
      </c>
      <c r="J45" s="65">
        <f>'總表'!R80</f>
        <v/>
      </c>
      <c r="K45" s="65">
        <f>'總表'!S80</f>
        <v/>
      </c>
      <c r="L45" s="42">
        <f>'總表'!W80</f>
        <v/>
      </c>
      <c r="M45" s="42">
        <f>'總表'!X80</f>
        <v/>
      </c>
      <c r="N45" s="44">
        <f>'總表'!AA80</f>
        <v/>
      </c>
      <c r="O45" s="44">
        <f>'總表'!AB80</f>
        <v/>
      </c>
      <c r="P45" s="38">
        <f>'總表'!AD80</f>
        <v/>
      </c>
      <c r="Q45" s="42">
        <f>'總表'!U80</f>
        <v/>
      </c>
      <c r="R45" s="38">
        <f>'總表'!AE80</f>
        <v/>
      </c>
      <c r="S45" s="38">
        <f>'總表'!AI80</f>
        <v/>
      </c>
      <c r="T45" s="38">
        <f>'總表'!AJ80</f>
        <v/>
      </c>
      <c r="U45" s="38">
        <f>'總表'!AK80</f>
        <v/>
      </c>
      <c r="V45" s="38">
        <f>'總表'!AL80</f>
        <v/>
      </c>
      <c r="W45" s="42">
        <f>'總表'!AQ80</f>
        <v/>
      </c>
      <c r="X45" s="42">
        <f>'總表'!AS80</f>
        <v/>
      </c>
      <c r="Y45" s="38">
        <f>'總表'!BE80</f>
        <v/>
      </c>
      <c r="Z45" s="44">
        <f>'總表'!BH80</f>
        <v/>
      </c>
      <c r="AA45" s="52">
        <f>'總表'!BP80</f>
        <v/>
      </c>
      <c r="AB45" s="38">
        <f>'總表'!BA80</f>
        <v/>
      </c>
      <c r="AC45" s="38">
        <f>'總表'!BB80</f>
        <v/>
      </c>
      <c r="AD45" s="38">
        <f>'總表'!BC80</f>
        <v/>
      </c>
      <c r="AE45" s="49">
        <f>'總表'!AW80</f>
        <v/>
      </c>
      <c r="AF45" s="52">
        <f>'總表'!BR80</f>
        <v/>
      </c>
      <c r="AG45" s="52">
        <f>'總表'!BS80</f>
        <v/>
      </c>
      <c r="AH45" s="52">
        <f>'總表'!BT80</f>
        <v/>
      </c>
      <c r="AI45" s="52">
        <f>'總表'!BU80</f>
        <v/>
      </c>
      <c r="AJ45" s="53">
        <f>'總表'!BV80</f>
        <v/>
      </c>
      <c r="AK45" s="38">
        <f>'總表'!A80</f>
        <v/>
      </c>
      <c r="AL45" s="38">
        <f>'總表'!B80</f>
        <v/>
      </c>
      <c r="AM45" s="38">
        <f>'總表'!BW80</f>
        <v/>
      </c>
    </row>
    <row r="46">
      <c r="A46" s="38" t="n">
        <v>45</v>
      </c>
      <c r="B46" s="39" t="inlineStr">
        <is>
          <t>AGPU</t>
        </is>
      </c>
      <c r="C46" s="38">
        <f>'總表'!D81</f>
        <v/>
      </c>
      <c r="D46" s="38">
        <f>'總表'!F81</f>
        <v/>
      </c>
      <c r="E46" s="38">
        <f>'總表'!G81</f>
        <v/>
      </c>
      <c r="F46" s="38">
        <f>'總表'!I81</f>
        <v/>
      </c>
      <c r="G46" s="64">
        <f>'總表'!H81</f>
        <v/>
      </c>
      <c r="H46" s="65">
        <f>'總表'!J81</f>
        <v/>
      </c>
      <c r="I46" s="42">
        <f>'總表'!L81</f>
        <v/>
      </c>
      <c r="J46" s="65">
        <f>'總表'!R81</f>
        <v/>
      </c>
      <c r="K46" s="65">
        <f>'總表'!S81</f>
        <v/>
      </c>
      <c r="L46" s="42">
        <f>'總表'!W81</f>
        <v/>
      </c>
      <c r="M46" s="42">
        <f>'總表'!X81</f>
        <v/>
      </c>
      <c r="N46" s="44">
        <f>'總表'!AA81</f>
        <v/>
      </c>
      <c r="O46" s="44">
        <f>'總表'!AB81</f>
        <v/>
      </c>
      <c r="P46" s="38">
        <f>'總表'!AD81</f>
        <v/>
      </c>
      <c r="Q46" s="42">
        <f>'總表'!U81</f>
        <v/>
      </c>
      <c r="R46" s="38">
        <f>'總表'!AE81</f>
        <v/>
      </c>
      <c r="S46" s="38">
        <f>'總表'!AI81</f>
        <v/>
      </c>
      <c r="T46" s="38">
        <f>'總表'!AJ81</f>
        <v/>
      </c>
      <c r="U46" s="38">
        <f>'總表'!AK81</f>
        <v/>
      </c>
      <c r="V46" s="38">
        <f>'總表'!AL81</f>
        <v/>
      </c>
      <c r="W46" s="42">
        <f>'總表'!AQ81</f>
        <v/>
      </c>
      <c r="X46" s="42">
        <f>'總表'!AS81</f>
        <v/>
      </c>
      <c r="Y46" s="38">
        <f>'總表'!BE81</f>
        <v/>
      </c>
      <c r="Z46" s="44">
        <f>'總表'!BH81</f>
        <v/>
      </c>
      <c r="AA46" s="52">
        <f>'總表'!BP81</f>
        <v/>
      </c>
      <c r="AB46" s="38">
        <f>'總表'!BA81</f>
        <v/>
      </c>
      <c r="AC46" s="38">
        <f>'總表'!BB81</f>
        <v/>
      </c>
      <c r="AD46" s="38">
        <f>'總表'!BC81</f>
        <v/>
      </c>
      <c r="AE46" s="49">
        <f>'總表'!AW81</f>
        <v/>
      </c>
      <c r="AF46" s="52">
        <f>'總表'!BR81</f>
        <v/>
      </c>
      <c r="AG46" s="52">
        <f>'總表'!BS81</f>
        <v/>
      </c>
      <c r="AH46" s="52">
        <f>'總表'!BT81</f>
        <v/>
      </c>
      <c r="AI46" s="52">
        <f>'總表'!BU81</f>
        <v/>
      </c>
      <c r="AJ46" s="53">
        <f>'總表'!BV81</f>
        <v/>
      </c>
      <c r="AK46" s="38">
        <f>'總表'!A81</f>
        <v/>
      </c>
      <c r="AL46" s="38">
        <f>'總表'!B81</f>
        <v/>
      </c>
      <c r="AM46" s="38">
        <f>'總表'!BW81</f>
        <v/>
      </c>
    </row>
    <row r="47">
      <c r="A47" s="38" t="n">
        <v>46</v>
      </c>
      <c r="B47" s="39" t="inlineStr">
        <is>
          <t>CRSR</t>
        </is>
      </c>
      <c r="C47" s="38">
        <f>'總表'!D83</f>
        <v/>
      </c>
      <c r="D47" s="38">
        <f>'總表'!F83</f>
        <v/>
      </c>
      <c r="E47" s="38">
        <f>'總表'!G83</f>
        <v/>
      </c>
      <c r="F47" s="38">
        <f>'總表'!I83</f>
        <v/>
      </c>
      <c r="G47" s="64">
        <f>'總表'!H83</f>
        <v/>
      </c>
      <c r="H47" s="65">
        <f>'總表'!J83</f>
        <v/>
      </c>
      <c r="I47" s="42">
        <f>'總表'!L83</f>
        <v/>
      </c>
      <c r="J47" s="65">
        <f>'總表'!R83</f>
        <v/>
      </c>
      <c r="K47" s="65">
        <f>'總表'!S83</f>
        <v/>
      </c>
      <c r="L47" s="42">
        <f>'總表'!W83</f>
        <v/>
      </c>
      <c r="M47" s="42">
        <f>'總表'!X83</f>
        <v/>
      </c>
      <c r="N47" s="44">
        <f>'總表'!AA83</f>
        <v/>
      </c>
      <c r="O47" s="44">
        <f>'總表'!AB83</f>
        <v/>
      </c>
      <c r="P47" s="38">
        <f>'總表'!AD83</f>
        <v/>
      </c>
      <c r="Q47" s="42">
        <f>'總表'!U83</f>
        <v/>
      </c>
      <c r="R47" s="38">
        <f>'總表'!AE83</f>
        <v/>
      </c>
      <c r="S47" s="38">
        <f>'總表'!AI83</f>
        <v/>
      </c>
      <c r="T47" s="38">
        <f>'總表'!AJ83</f>
        <v/>
      </c>
      <c r="U47" s="38">
        <f>'總表'!AK83</f>
        <v/>
      </c>
      <c r="V47" s="38">
        <f>'總表'!AL83</f>
        <v/>
      </c>
      <c r="W47" s="42">
        <f>'總表'!AQ83</f>
        <v/>
      </c>
      <c r="X47" s="42">
        <f>'總表'!AS83</f>
        <v/>
      </c>
      <c r="Y47" s="38">
        <f>'總表'!BE83</f>
        <v/>
      </c>
      <c r="Z47" s="44">
        <f>'總表'!BH83</f>
        <v/>
      </c>
      <c r="AA47" s="52">
        <f>'總表'!BP83</f>
        <v/>
      </c>
      <c r="AB47" s="38">
        <f>'總表'!BA83</f>
        <v/>
      </c>
      <c r="AC47" s="38">
        <f>'總表'!BB83</f>
        <v/>
      </c>
      <c r="AD47" s="38">
        <f>'總表'!BC83</f>
        <v/>
      </c>
      <c r="AE47" s="49">
        <f>'總表'!AW83</f>
        <v/>
      </c>
      <c r="AF47" s="52">
        <f>'總表'!BR83</f>
        <v/>
      </c>
      <c r="AG47" s="52">
        <f>'總表'!BS83</f>
        <v/>
      </c>
      <c r="AH47" s="52">
        <f>'總表'!BT83</f>
        <v/>
      </c>
      <c r="AI47" s="52">
        <f>'總表'!BU83</f>
        <v/>
      </c>
      <c r="AJ47" s="53">
        <f>'總表'!BV83</f>
        <v/>
      </c>
      <c r="AK47" s="38">
        <f>'總表'!A83</f>
        <v/>
      </c>
      <c r="AL47" s="38">
        <f>'總表'!B83</f>
        <v/>
      </c>
      <c r="AM47" s="38">
        <f>'總表'!BW83</f>
        <v/>
      </c>
    </row>
    <row r="48">
      <c r="A48" s="38" t="n">
        <v>47</v>
      </c>
      <c r="B48" s="39" t="inlineStr">
        <is>
          <t>SENS</t>
        </is>
      </c>
      <c r="C48" s="38">
        <f>'總表'!D84</f>
        <v/>
      </c>
      <c r="D48" s="38">
        <f>'總表'!F84</f>
        <v/>
      </c>
      <c r="E48" s="38">
        <f>'總表'!G84</f>
        <v/>
      </c>
      <c r="F48" s="38">
        <f>'總表'!I84</f>
        <v/>
      </c>
      <c r="G48" s="64">
        <f>'總表'!H84</f>
        <v/>
      </c>
      <c r="H48" s="65">
        <f>'總表'!J84</f>
        <v/>
      </c>
      <c r="I48" s="42">
        <f>'總表'!L84</f>
        <v/>
      </c>
      <c r="J48" s="65">
        <f>'總表'!R84</f>
        <v/>
      </c>
      <c r="K48" s="65">
        <f>'總表'!S84</f>
        <v/>
      </c>
      <c r="L48" s="42">
        <f>'總表'!W84</f>
        <v/>
      </c>
      <c r="M48" s="42">
        <f>'總表'!X84</f>
        <v/>
      </c>
      <c r="N48" s="44">
        <f>'總表'!AA84</f>
        <v/>
      </c>
      <c r="O48" s="44">
        <f>'總表'!AB84</f>
        <v/>
      </c>
      <c r="P48" s="38">
        <f>'總表'!AD84</f>
        <v/>
      </c>
      <c r="Q48" s="42">
        <f>'總表'!U84</f>
        <v/>
      </c>
      <c r="R48" s="38">
        <f>'總表'!AE84</f>
        <v/>
      </c>
      <c r="S48" s="38">
        <f>'總表'!AI84</f>
        <v/>
      </c>
      <c r="T48" s="38">
        <f>'總表'!AJ84</f>
        <v/>
      </c>
      <c r="U48" s="38">
        <f>'總表'!AK84</f>
        <v/>
      </c>
      <c r="V48" s="38">
        <f>'總表'!AL84</f>
        <v/>
      </c>
      <c r="W48" s="42">
        <f>'總表'!AQ84</f>
        <v/>
      </c>
      <c r="X48" s="42">
        <f>'總表'!AS84</f>
        <v/>
      </c>
      <c r="Y48" s="38">
        <f>'總表'!BE84</f>
        <v/>
      </c>
      <c r="Z48" s="44">
        <f>'總表'!BH84</f>
        <v/>
      </c>
      <c r="AA48" s="52">
        <f>'總表'!BP84</f>
        <v/>
      </c>
      <c r="AB48" s="38">
        <f>'總表'!BA84</f>
        <v/>
      </c>
      <c r="AC48" s="38">
        <f>'總表'!BB84</f>
        <v/>
      </c>
      <c r="AD48" s="38">
        <f>'總表'!BC84</f>
        <v/>
      </c>
      <c r="AE48" s="49">
        <f>'總表'!AW84</f>
        <v/>
      </c>
      <c r="AF48" s="52">
        <f>'總表'!BR84</f>
        <v/>
      </c>
      <c r="AG48" s="52">
        <f>'總表'!BS84</f>
        <v/>
      </c>
      <c r="AH48" s="52">
        <f>'總表'!BT84</f>
        <v/>
      </c>
      <c r="AI48" s="52">
        <f>'總表'!BU84</f>
        <v/>
      </c>
      <c r="AJ48" s="53">
        <f>'總表'!BV84</f>
        <v/>
      </c>
      <c r="AK48" s="38">
        <f>'總表'!A84</f>
        <v/>
      </c>
      <c r="AL48" s="38">
        <f>'總表'!B84</f>
        <v/>
      </c>
      <c r="AM48" s="38">
        <f>'總表'!BW84</f>
        <v/>
      </c>
    </row>
    <row r="49">
      <c r="A49" s="38" t="n">
        <v>48</v>
      </c>
      <c r="B49" s="39" t="inlineStr">
        <is>
          <t>SNDK</t>
        </is>
      </c>
      <c r="C49" s="38">
        <f>'總表'!D85</f>
        <v/>
      </c>
      <c r="D49" s="38">
        <f>'總表'!F85</f>
        <v/>
      </c>
      <c r="E49" s="38">
        <f>'總表'!G85</f>
        <v/>
      </c>
      <c r="F49" s="38">
        <f>'總表'!I85</f>
        <v/>
      </c>
      <c r="G49" s="64">
        <f>'總表'!H85</f>
        <v/>
      </c>
      <c r="H49" s="65">
        <f>'總表'!J85</f>
        <v/>
      </c>
      <c r="I49" s="42">
        <f>'總表'!L85</f>
        <v/>
      </c>
      <c r="J49" s="65">
        <f>'總表'!R85</f>
        <v/>
      </c>
      <c r="K49" s="65">
        <f>'總表'!S85</f>
        <v/>
      </c>
      <c r="L49" s="42">
        <f>'總表'!W85</f>
        <v/>
      </c>
      <c r="M49" s="42">
        <f>'總表'!X85</f>
        <v/>
      </c>
      <c r="N49" s="44">
        <f>'總表'!AA85</f>
        <v/>
      </c>
      <c r="O49" s="44">
        <f>'總表'!AB85</f>
        <v/>
      </c>
      <c r="P49" s="38">
        <f>'總表'!AD85</f>
        <v/>
      </c>
      <c r="Q49" s="42">
        <f>'總表'!U85</f>
        <v/>
      </c>
      <c r="R49" s="38">
        <f>'總表'!AE85</f>
        <v/>
      </c>
      <c r="S49" s="38">
        <f>'總表'!AI85</f>
        <v/>
      </c>
      <c r="T49" s="38">
        <f>'總表'!AJ85</f>
        <v/>
      </c>
      <c r="U49" s="38">
        <f>'總表'!AK85</f>
        <v/>
      </c>
      <c r="V49" s="38">
        <f>'總表'!AL85</f>
        <v/>
      </c>
      <c r="W49" s="42">
        <f>'總表'!AQ85</f>
        <v/>
      </c>
      <c r="X49" s="42">
        <f>'總表'!AS85</f>
        <v/>
      </c>
      <c r="Y49" s="38">
        <f>'總表'!BE85</f>
        <v/>
      </c>
      <c r="Z49" s="44">
        <f>'總表'!BH85</f>
        <v/>
      </c>
      <c r="AA49" s="52">
        <f>'總表'!BP85</f>
        <v/>
      </c>
      <c r="AB49" s="38">
        <f>'總表'!BA85</f>
        <v/>
      </c>
      <c r="AC49" s="38">
        <f>'總表'!BB85</f>
        <v/>
      </c>
      <c r="AD49" s="38">
        <f>'總表'!BC85</f>
        <v/>
      </c>
      <c r="AE49" s="49">
        <f>'總表'!AW85</f>
        <v/>
      </c>
      <c r="AF49" s="52">
        <f>'總表'!BR85</f>
        <v/>
      </c>
      <c r="AG49" s="52">
        <f>'總表'!BS85</f>
        <v/>
      </c>
      <c r="AH49" s="52">
        <f>'總表'!BT85</f>
        <v/>
      </c>
      <c r="AI49" s="52">
        <f>'總表'!BU85</f>
        <v/>
      </c>
      <c r="AJ49" s="53">
        <f>'總表'!BV85</f>
        <v/>
      </c>
      <c r="AK49" s="38">
        <f>'總表'!A85</f>
        <v/>
      </c>
      <c r="AL49" s="38">
        <f>'總表'!B85</f>
        <v/>
      </c>
      <c r="AM49" s="38">
        <f>'總表'!BW85</f>
        <v/>
      </c>
    </row>
    <row r="50">
      <c r="A50" s="38" t="n">
        <v>49</v>
      </c>
      <c r="B50" s="39" t="inlineStr">
        <is>
          <t>CVLT</t>
        </is>
      </c>
      <c r="C50" s="38">
        <f>'總表'!D86</f>
        <v/>
      </c>
      <c r="D50" s="38">
        <f>'總表'!F86</f>
        <v/>
      </c>
      <c r="E50" s="38">
        <f>'總表'!G86</f>
        <v/>
      </c>
      <c r="F50" s="38">
        <f>'總表'!I86</f>
        <v/>
      </c>
      <c r="G50" s="64">
        <f>'總表'!H86</f>
        <v/>
      </c>
      <c r="H50" s="65">
        <f>'總表'!J86</f>
        <v/>
      </c>
      <c r="I50" s="42">
        <f>'總表'!L86</f>
        <v/>
      </c>
      <c r="J50" s="65">
        <f>'總表'!R86</f>
        <v/>
      </c>
      <c r="K50" s="65">
        <f>'總表'!S86</f>
        <v/>
      </c>
      <c r="L50" s="42">
        <f>'總表'!W86</f>
        <v/>
      </c>
      <c r="M50" s="42">
        <f>'總表'!X86</f>
        <v/>
      </c>
      <c r="N50" s="44">
        <f>'總表'!AA86</f>
        <v/>
      </c>
      <c r="O50" s="44">
        <f>'總表'!AB86</f>
        <v/>
      </c>
      <c r="P50" s="38">
        <f>'總表'!AD86</f>
        <v/>
      </c>
      <c r="Q50" s="42">
        <f>'總表'!U86</f>
        <v/>
      </c>
      <c r="R50" s="38">
        <f>'總表'!AE86</f>
        <v/>
      </c>
      <c r="S50" s="38">
        <f>'總表'!AI86</f>
        <v/>
      </c>
      <c r="T50" s="38">
        <f>'總表'!AJ86</f>
        <v/>
      </c>
      <c r="U50" s="38">
        <f>'總表'!AK86</f>
        <v/>
      </c>
      <c r="V50" s="38">
        <f>'總表'!AL86</f>
        <v/>
      </c>
      <c r="W50" s="42">
        <f>'總表'!AQ86</f>
        <v/>
      </c>
      <c r="X50" s="42">
        <f>'總表'!AS86</f>
        <v/>
      </c>
      <c r="Y50" s="38">
        <f>'總表'!BE86</f>
        <v/>
      </c>
      <c r="Z50" s="44">
        <f>'總表'!BH86</f>
        <v/>
      </c>
      <c r="AA50" s="52">
        <f>'總表'!BP86</f>
        <v/>
      </c>
      <c r="AB50" s="38">
        <f>'總表'!BA86</f>
        <v/>
      </c>
      <c r="AC50" s="38">
        <f>'總表'!BB86</f>
        <v/>
      </c>
      <c r="AD50" s="38">
        <f>'總表'!BC86</f>
        <v/>
      </c>
      <c r="AE50" s="49">
        <f>'總表'!AW86</f>
        <v/>
      </c>
      <c r="AF50" s="52">
        <f>'總表'!BR86</f>
        <v/>
      </c>
      <c r="AG50" s="52">
        <f>'總表'!BS86</f>
        <v/>
      </c>
      <c r="AH50" s="52">
        <f>'總表'!BT86</f>
        <v/>
      </c>
      <c r="AI50" s="52">
        <f>'總表'!BU86</f>
        <v/>
      </c>
      <c r="AJ50" s="53">
        <f>'總表'!BV86</f>
        <v/>
      </c>
      <c r="AK50" s="38">
        <f>'總表'!A86</f>
        <v/>
      </c>
      <c r="AL50" s="38">
        <f>'總表'!B86</f>
        <v/>
      </c>
      <c r="AM50" s="38">
        <f>'總表'!BW86</f>
        <v/>
      </c>
    </row>
    <row r="51">
      <c r="A51" s="38" t="n">
        <v>50</v>
      </c>
      <c r="B51" s="39" t="inlineStr">
        <is>
          <t>DHX</t>
        </is>
      </c>
      <c r="C51" s="38">
        <f>'總表'!D87</f>
        <v/>
      </c>
      <c r="D51" s="38">
        <f>'總表'!F87</f>
        <v/>
      </c>
      <c r="E51" s="38">
        <f>'總表'!G87</f>
        <v/>
      </c>
      <c r="F51" s="38">
        <f>'總表'!I87</f>
        <v/>
      </c>
      <c r="G51" s="64">
        <f>'總表'!H87</f>
        <v/>
      </c>
      <c r="H51" s="65">
        <f>'總表'!J87</f>
        <v/>
      </c>
      <c r="I51" s="42">
        <f>'總表'!L87</f>
        <v/>
      </c>
      <c r="J51" s="65">
        <f>'總表'!R87</f>
        <v/>
      </c>
      <c r="K51" s="65">
        <f>'總表'!S87</f>
        <v/>
      </c>
      <c r="L51" s="42">
        <f>'總表'!W87</f>
        <v/>
      </c>
      <c r="M51" s="42">
        <f>'總表'!X87</f>
        <v/>
      </c>
      <c r="N51" s="44">
        <f>'總表'!AA87</f>
        <v/>
      </c>
      <c r="O51" s="44">
        <f>'總表'!AB87</f>
        <v/>
      </c>
      <c r="P51" s="38">
        <f>'總表'!AD87</f>
        <v/>
      </c>
      <c r="Q51" s="42">
        <f>'總表'!U87</f>
        <v/>
      </c>
      <c r="R51" s="38">
        <f>'總表'!AE87</f>
        <v/>
      </c>
      <c r="S51" s="38">
        <f>'總表'!AI87</f>
        <v/>
      </c>
      <c r="T51" s="38">
        <f>'總表'!AJ87</f>
        <v/>
      </c>
      <c r="U51" s="38">
        <f>'總表'!AK87</f>
        <v/>
      </c>
      <c r="V51" s="38">
        <f>'總表'!AL87</f>
        <v/>
      </c>
      <c r="W51" s="42">
        <f>'總表'!AQ87</f>
        <v/>
      </c>
      <c r="X51" s="42">
        <f>'總表'!AS87</f>
        <v/>
      </c>
      <c r="Y51" s="38">
        <f>'總表'!BE87</f>
        <v/>
      </c>
      <c r="Z51" s="44">
        <f>'總表'!BH87</f>
        <v/>
      </c>
      <c r="AA51" s="52">
        <f>'總表'!BP87</f>
        <v/>
      </c>
      <c r="AB51" s="38">
        <f>'總表'!BA87</f>
        <v/>
      </c>
      <c r="AC51" s="38">
        <f>'總表'!BB87</f>
        <v/>
      </c>
      <c r="AD51" s="38">
        <f>'總表'!BC87</f>
        <v/>
      </c>
      <c r="AE51" s="49">
        <f>'總表'!AW87</f>
        <v/>
      </c>
      <c r="AF51" s="52">
        <f>'總表'!BR87</f>
        <v/>
      </c>
      <c r="AG51" s="52">
        <f>'總表'!BS87</f>
        <v/>
      </c>
      <c r="AH51" s="52">
        <f>'總表'!BT87</f>
        <v/>
      </c>
      <c r="AI51" s="52">
        <f>'總表'!BU87</f>
        <v/>
      </c>
      <c r="AJ51" s="53">
        <f>'總表'!BV87</f>
        <v/>
      </c>
      <c r="AK51" s="38">
        <f>'總表'!A87</f>
        <v/>
      </c>
      <c r="AL51" s="38">
        <f>'總表'!B87</f>
        <v/>
      </c>
      <c r="AM51" s="38">
        <f>'總表'!BW87</f>
        <v/>
      </c>
    </row>
    <row r="52">
      <c r="A52" s="38" t="n">
        <v>51</v>
      </c>
      <c r="B52" s="39" t="inlineStr">
        <is>
          <t>LUV</t>
        </is>
      </c>
      <c r="C52" s="38">
        <f>'總表'!D88</f>
        <v/>
      </c>
      <c r="D52" s="38">
        <f>'總表'!F88</f>
        <v/>
      </c>
      <c r="E52" s="38">
        <f>'總表'!G88</f>
        <v/>
      </c>
      <c r="F52" s="38">
        <f>'總表'!I88</f>
        <v/>
      </c>
      <c r="G52" s="64">
        <f>'總表'!H88</f>
        <v/>
      </c>
      <c r="H52" s="65">
        <f>'總表'!J88</f>
        <v/>
      </c>
      <c r="I52" s="42">
        <f>'總表'!L88</f>
        <v/>
      </c>
      <c r="J52" s="65">
        <f>'總表'!R88</f>
        <v/>
      </c>
      <c r="K52" s="65">
        <f>'總表'!S88</f>
        <v/>
      </c>
      <c r="L52" s="42">
        <f>'總表'!W88</f>
        <v/>
      </c>
      <c r="M52" s="42">
        <f>'總表'!X88</f>
        <v/>
      </c>
      <c r="N52" s="44">
        <f>'總表'!AA88</f>
        <v/>
      </c>
      <c r="O52" s="44">
        <f>'總表'!AB88</f>
        <v/>
      </c>
      <c r="P52" s="38">
        <f>'總表'!AD88</f>
        <v/>
      </c>
      <c r="Q52" s="42">
        <f>'總表'!U88</f>
        <v/>
      </c>
      <c r="R52" s="38">
        <f>'總表'!AE88</f>
        <v/>
      </c>
      <c r="S52" s="38">
        <f>'總表'!AI88</f>
        <v/>
      </c>
      <c r="T52" s="38">
        <f>'總表'!AJ88</f>
        <v/>
      </c>
      <c r="U52" s="38">
        <f>'總表'!AK88</f>
        <v/>
      </c>
      <c r="V52" s="38">
        <f>'總表'!AL88</f>
        <v/>
      </c>
      <c r="W52" s="42">
        <f>'總表'!AQ88</f>
        <v/>
      </c>
      <c r="X52" s="42">
        <f>'總表'!AS88</f>
        <v/>
      </c>
      <c r="Y52" s="38">
        <f>'總表'!BE88</f>
        <v/>
      </c>
      <c r="Z52" s="44">
        <f>'總表'!BH88</f>
        <v/>
      </c>
      <c r="AA52" s="52">
        <f>'總表'!BP88</f>
        <v/>
      </c>
      <c r="AB52" s="38">
        <f>'總表'!BA88</f>
        <v/>
      </c>
      <c r="AC52" s="38">
        <f>'總表'!BB88</f>
        <v/>
      </c>
      <c r="AD52" s="38">
        <f>'總表'!BC88</f>
        <v/>
      </c>
      <c r="AE52" s="49">
        <f>'總表'!AW88</f>
        <v/>
      </c>
      <c r="AF52" s="52">
        <f>'總表'!BR88</f>
        <v/>
      </c>
      <c r="AG52" s="52">
        <f>'總表'!BS88</f>
        <v/>
      </c>
      <c r="AH52" s="52">
        <f>'總表'!BT88</f>
        <v/>
      </c>
      <c r="AI52" s="52">
        <f>'總表'!BU88</f>
        <v/>
      </c>
      <c r="AJ52" s="53">
        <f>'總表'!BV88</f>
        <v/>
      </c>
      <c r="AK52" s="38">
        <f>'總表'!A88</f>
        <v/>
      </c>
      <c r="AL52" s="38">
        <f>'總表'!B88</f>
        <v/>
      </c>
      <c r="AM52" s="38">
        <f>'總表'!BW88</f>
        <v/>
      </c>
    </row>
    <row r="53">
      <c r="A53" s="38" t="n">
        <v>52</v>
      </c>
      <c r="B53" s="39" t="inlineStr">
        <is>
          <t>LQDT</t>
        </is>
      </c>
      <c r="C53" s="38">
        <f>'總表'!D89</f>
        <v/>
      </c>
      <c r="D53" s="38">
        <f>'總表'!F89</f>
        <v/>
      </c>
      <c r="E53" s="38">
        <f>'總表'!G89</f>
        <v/>
      </c>
      <c r="F53" s="38">
        <f>'總表'!I89</f>
        <v/>
      </c>
      <c r="G53" s="64">
        <f>'總表'!H89</f>
        <v/>
      </c>
      <c r="H53" s="65">
        <f>'總表'!J89</f>
        <v/>
      </c>
      <c r="I53" s="42">
        <f>'總表'!L89</f>
        <v/>
      </c>
      <c r="J53" s="65">
        <f>'總表'!R89</f>
        <v/>
      </c>
      <c r="K53" s="65">
        <f>'總表'!S89</f>
        <v/>
      </c>
      <c r="L53" s="42">
        <f>'總表'!W89</f>
        <v/>
      </c>
      <c r="M53" s="42">
        <f>'總表'!X89</f>
        <v/>
      </c>
      <c r="N53" s="44">
        <f>'總表'!AA89</f>
        <v/>
      </c>
      <c r="O53" s="44">
        <f>'總表'!AB89</f>
        <v/>
      </c>
      <c r="P53" s="38">
        <f>'總表'!AD89</f>
        <v/>
      </c>
      <c r="Q53" s="42">
        <f>'總表'!U89</f>
        <v/>
      </c>
      <c r="R53" s="38">
        <f>'總表'!AE89</f>
        <v/>
      </c>
      <c r="S53" s="38">
        <f>'總表'!AI89</f>
        <v/>
      </c>
      <c r="T53" s="38">
        <f>'總表'!AJ89</f>
        <v/>
      </c>
      <c r="U53" s="38">
        <f>'總表'!AK89</f>
        <v/>
      </c>
      <c r="V53" s="38">
        <f>'總表'!AL89</f>
        <v/>
      </c>
      <c r="W53" s="42">
        <f>'總表'!AQ89</f>
        <v/>
      </c>
      <c r="X53" s="42">
        <f>'總表'!AS89</f>
        <v/>
      </c>
      <c r="Y53" s="38">
        <f>'總表'!BE89</f>
        <v/>
      </c>
      <c r="Z53" s="44">
        <f>'總表'!BH89</f>
        <v/>
      </c>
      <c r="AA53" s="52">
        <f>'總表'!BP89</f>
        <v/>
      </c>
      <c r="AB53" s="38">
        <f>'總表'!BA89</f>
        <v/>
      </c>
      <c r="AC53" s="38">
        <f>'總表'!BB89</f>
        <v/>
      </c>
      <c r="AD53" s="38">
        <f>'總表'!BC89</f>
        <v/>
      </c>
      <c r="AE53" s="49">
        <f>'總表'!AW89</f>
        <v/>
      </c>
      <c r="AF53" s="52">
        <f>'總表'!BR89</f>
        <v/>
      </c>
      <c r="AG53" s="52">
        <f>'總表'!BS89</f>
        <v/>
      </c>
      <c r="AH53" s="52">
        <f>'總表'!BT89</f>
        <v/>
      </c>
      <c r="AI53" s="52">
        <f>'總表'!BU89</f>
        <v/>
      </c>
      <c r="AJ53" s="53">
        <f>'總表'!BV89</f>
        <v/>
      </c>
      <c r="AK53" s="38">
        <f>'總表'!A89</f>
        <v/>
      </c>
      <c r="AL53" s="38">
        <f>'總表'!B89</f>
        <v/>
      </c>
      <c r="AM53" s="38">
        <f>'總表'!BW89</f>
        <v/>
      </c>
    </row>
    <row r="54">
      <c r="A54" s="38" t="n">
        <v>53</v>
      </c>
      <c r="B54" s="39" t="inlineStr">
        <is>
          <t>CHPT</t>
        </is>
      </c>
      <c r="C54" s="38">
        <f>'總表'!D90</f>
        <v/>
      </c>
      <c r="D54" s="38">
        <f>'總表'!F90</f>
        <v/>
      </c>
      <c r="E54" s="38">
        <f>'總表'!G90</f>
        <v/>
      </c>
      <c r="F54" s="38">
        <f>'總表'!I90</f>
        <v/>
      </c>
      <c r="G54" s="64">
        <f>'總表'!H90</f>
        <v/>
      </c>
      <c r="H54" s="65">
        <f>'總表'!J90</f>
        <v/>
      </c>
      <c r="I54" s="42">
        <f>'總表'!L90</f>
        <v/>
      </c>
      <c r="J54" s="65">
        <f>'總表'!R90</f>
        <v/>
      </c>
      <c r="K54" s="65">
        <f>'總表'!S90</f>
        <v/>
      </c>
      <c r="L54" s="42">
        <f>'總表'!W90</f>
        <v/>
      </c>
      <c r="M54" s="42">
        <f>'總表'!X90</f>
        <v/>
      </c>
      <c r="N54" s="44">
        <f>'總表'!AA90</f>
        <v/>
      </c>
      <c r="O54" s="44">
        <f>'總表'!AB90</f>
        <v/>
      </c>
      <c r="P54" s="38">
        <f>'總表'!AD90</f>
        <v/>
      </c>
      <c r="Q54" s="42">
        <f>'總表'!U90</f>
        <v/>
      </c>
      <c r="R54" s="38">
        <f>'總表'!AE90</f>
        <v/>
      </c>
      <c r="S54" s="38">
        <f>'總表'!AI90</f>
        <v/>
      </c>
      <c r="T54" s="38">
        <f>'總表'!AJ90</f>
        <v/>
      </c>
      <c r="U54" s="38">
        <f>'總表'!AK90</f>
        <v/>
      </c>
      <c r="V54" s="38">
        <f>'總表'!AL90</f>
        <v/>
      </c>
      <c r="W54" s="42">
        <f>'總表'!AQ90</f>
        <v/>
      </c>
      <c r="X54" s="42">
        <f>'總表'!AS90</f>
        <v/>
      </c>
      <c r="Y54" s="38">
        <f>'總表'!BE90</f>
        <v/>
      </c>
      <c r="Z54" s="44">
        <f>'總表'!BH90</f>
        <v/>
      </c>
      <c r="AA54" s="52">
        <f>'總表'!BP90</f>
        <v/>
      </c>
      <c r="AB54" s="38">
        <f>'總表'!BA90</f>
        <v/>
      </c>
      <c r="AC54" s="38">
        <f>'總表'!BB90</f>
        <v/>
      </c>
      <c r="AD54" s="38">
        <f>'總表'!BC90</f>
        <v/>
      </c>
      <c r="AE54" s="49">
        <f>'總表'!AW90</f>
        <v/>
      </c>
      <c r="AF54" s="52">
        <f>'總表'!BR90</f>
        <v/>
      </c>
      <c r="AG54" s="52">
        <f>'總表'!BS90</f>
        <v/>
      </c>
      <c r="AH54" s="52">
        <f>'總表'!BT90</f>
        <v/>
      </c>
      <c r="AI54" s="52">
        <f>'總表'!BU90</f>
        <v/>
      </c>
      <c r="AJ54" s="53">
        <f>'總表'!BV90</f>
        <v/>
      </c>
      <c r="AK54" s="38">
        <f>'總表'!A90</f>
        <v/>
      </c>
      <c r="AL54" s="38">
        <f>'總表'!B90</f>
        <v/>
      </c>
      <c r="AM54" s="38">
        <f>'總表'!BW90</f>
        <v/>
      </c>
    </row>
    <row r="55">
      <c r="A55" s="38" t="n">
        <v>54</v>
      </c>
      <c r="B55" s="39" t="inlineStr">
        <is>
          <t>DELL</t>
        </is>
      </c>
      <c r="C55" s="38">
        <f>'總表'!D92</f>
        <v/>
      </c>
      <c r="D55" s="38">
        <f>'總表'!F92</f>
        <v/>
      </c>
      <c r="E55" s="38">
        <f>'總表'!G92</f>
        <v/>
      </c>
      <c r="F55" s="38">
        <f>'總表'!I92</f>
        <v/>
      </c>
      <c r="G55" s="64">
        <f>'總表'!H92</f>
        <v/>
      </c>
      <c r="H55" s="65">
        <f>'總表'!J92</f>
        <v/>
      </c>
      <c r="I55" s="42">
        <f>'總表'!L92</f>
        <v/>
      </c>
      <c r="J55" s="65">
        <f>'總表'!R92</f>
        <v/>
      </c>
      <c r="K55" s="65">
        <f>'總表'!S92</f>
        <v/>
      </c>
      <c r="L55" s="42">
        <f>'總表'!W92</f>
        <v/>
      </c>
      <c r="M55" s="42">
        <f>'總表'!X92</f>
        <v/>
      </c>
      <c r="N55" s="44">
        <f>'總表'!AA92</f>
        <v/>
      </c>
      <c r="O55" s="44">
        <f>'總表'!AB92</f>
        <v/>
      </c>
      <c r="P55" s="38">
        <f>'總表'!AD92</f>
        <v/>
      </c>
      <c r="Q55" s="42">
        <f>'總表'!U92</f>
        <v/>
      </c>
      <c r="R55" s="38">
        <f>'總表'!AE92</f>
        <v/>
      </c>
      <c r="S55" s="38">
        <f>'總表'!AI92</f>
        <v/>
      </c>
      <c r="T55" s="38">
        <f>'總表'!AJ92</f>
        <v/>
      </c>
      <c r="U55" s="38">
        <f>'總表'!AK92</f>
        <v/>
      </c>
      <c r="V55" s="38">
        <f>'總表'!AL92</f>
        <v/>
      </c>
      <c r="W55" s="42">
        <f>'總表'!AQ92</f>
        <v/>
      </c>
      <c r="X55" s="42">
        <f>'總表'!AS92</f>
        <v/>
      </c>
      <c r="Y55" s="38">
        <f>'總表'!BE92</f>
        <v/>
      </c>
      <c r="Z55" s="44">
        <f>'總表'!BH92</f>
        <v/>
      </c>
      <c r="AA55" s="52">
        <f>'總表'!BP92</f>
        <v/>
      </c>
      <c r="AB55" s="38">
        <f>'總表'!BA92</f>
        <v/>
      </c>
      <c r="AC55" s="38">
        <f>'總表'!BB92</f>
        <v/>
      </c>
      <c r="AD55" s="38">
        <f>'總表'!BC92</f>
        <v/>
      </c>
      <c r="AE55" s="49">
        <f>'總表'!AW92</f>
        <v/>
      </c>
      <c r="AF55" s="52">
        <f>'總表'!BR92</f>
        <v/>
      </c>
      <c r="AG55" s="52">
        <f>'總表'!BS92</f>
        <v/>
      </c>
      <c r="AH55" s="52">
        <f>'總表'!BT92</f>
        <v/>
      </c>
      <c r="AI55" s="52">
        <f>'總表'!BU92</f>
        <v/>
      </c>
      <c r="AJ55" s="53">
        <f>'總表'!BV92</f>
        <v/>
      </c>
      <c r="AK55" s="38">
        <f>'總表'!A92</f>
        <v/>
      </c>
      <c r="AL55" s="38">
        <f>'總表'!B92</f>
        <v/>
      </c>
      <c r="AM55" s="38">
        <f>'總表'!BW92</f>
        <v/>
      </c>
    </row>
    <row r="56">
      <c r="A56" s="38" t="n">
        <v>55</v>
      </c>
      <c r="B56" s="39" t="inlineStr">
        <is>
          <t>EXEL</t>
        </is>
      </c>
      <c r="C56" s="38">
        <f>'總表'!D93</f>
        <v/>
      </c>
      <c r="D56" s="38">
        <f>'總表'!F93</f>
        <v/>
      </c>
      <c r="E56" s="38">
        <f>'總表'!G93</f>
        <v/>
      </c>
      <c r="F56" s="38">
        <f>'總表'!I93</f>
        <v/>
      </c>
      <c r="G56" s="64">
        <f>'總表'!H93</f>
        <v/>
      </c>
      <c r="H56" s="65">
        <f>'總表'!J93</f>
        <v/>
      </c>
      <c r="I56" s="42">
        <f>'總表'!L93</f>
        <v/>
      </c>
      <c r="J56" s="65">
        <f>'總表'!R93</f>
        <v/>
      </c>
      <c r="K56" s="65">
        <f>'總表'!S93</f>
        <v/>
      </c>
      <c r="L56" s="42">
        <f>'總表'!W93</f>
        <v/>
      </c>
      <c r="M56" s="42">
        <f>'總表'!X93</f>
        <v/>
      </c>
      <c r="N56" s="44">
        <f>'總表'!AA93</f>
        <v/>
      </c>
      <c r="O56" s="44">
        <f>'總表'!AB93</f>
        <v/>
      </c>
      <c r="P56" s="38">
        <f>'總表'!AD93</f>
        <v/>
      </c>
      <c r="Q56" s="42">
        <f>'總表'!U93</f>
        <v/>
      </c>
      <c r="R56" s="38">
        <f>'總表'!AE93</f>
        <v/>
      </c>
      <c r="S56" s="38">
        <f>'總表'!AI93</f>
        <v/>
      </c>
      <c r="T56" s="38">
        <f>'總表'!AJ93</f>
        <v/>
      </c>
      <c r="U56" s="38">
        <f>'總表'!AK93</f>
        <v/>
      </c>
      <c r="V56" s="38">
        <f>'總表'!AL93</f>
        <v/>
      </c>
      <c r="W56" s="42">
        <f>'總表'!AQ93</f>
        <v/>
      </c>
      <c r="X56" s="42">
        <f>'總表'!AS93</f>
        <v/>
      </c>
      <c r="Y56" s="38">
        <f>'總表'!BE93</f>
        <v/>
      </c>
      <c r="Z56" s="44">
        <f>'總表'!BH93</f>
        <v/>
      </c>
      <c r="AA56" s="52">
        <f>'總表'!BP93</f>
        <v/>
      </c>
      <c r="AB56" s="38">
        <f>'總表'!BA93</f>
        <v/>
      </c>
      <c r="AC56" s="38">
        <f>'總表'!BB93</f>
        <v/>
      </c>
      <c r="AD56" s="38">
        <f>'總表'!BC93</f>
        <v/>
      </c>
      <c r="AE56" s="49">
        <f>'總表'!AW93</f>
        <v/>
      </c>
      <c r="AF56" s="52">
        <f>'總表'!BR93</f>
        <v/>
      </c>
      <c r="AG56" s="52">
        <f>'總表'!BS93</f>
        <v/>
      </c>
      <c r="AH56" s="52">
        <f>'總表'!BT93</f>
        <v/>
      </c>
      <c r="AI56" s="52">
        <f>'總表'!BU93</f>
        <v/>
      </c>
      <c r="AJ56" s="53">
        <f>'總表'!BV93</f>
        <v/>
      </c>
      <c r="AK56" s="38">
        <f>'總表'!A93</f>
        <v/>
      </c>
      <c r="AL56" s="38">
        <f>'總表'!B93</f>
        <v/>
      </c>
      <c r="AM56" s="38">
        <f>'總表'!BW93</f>
        <v/>
      </c>
    </row>
    <row r="57">
      <c r="A57" s="38" t="n">
        <v>56</v>
      </c>
      <c r="B57" s="39" t="inlineStr">
        <is>
          <t>OSPN</t>
        </is>
      </c>
      <c r="C57" s="38">
        <f>'總表'!D94</f>
        <v/>
      </c>
      <c r="D57" s="38">
        <f>'總表'!F94</f>
        <v/>
      </c>
      <c r="E57" s="38">
        <f>'總表'!G94</f>
        <v/>
      </c>
      <c r="F57" s="38">
        <f>'總表'!I94</f>
        <v/>
      </c>
      <c r="G57" s="64">
        <f>'總表'!H94</f>
        <v/>
      </c>
      <c r="H57" s="65">
        <f>'總表'!J94</f>
        <v/>
      </c>
      <c r="I57" s="42">
        <f>'總表'!L94</f>
        <v/>
      </c>
      <c r="J57" s="65">
        <f>'總表'!R94</f>
        <v/>
      </c>
      <c r="K57" s="65">
        <f>'總表'!S94</f>
        <v/>
      </c>
      <c r="L57" s="42">
        <f>'總表'!W94</f>
        <v/>
      </c>
      <c r="M57" s="42">
        <f>'總表'!X94</f>
        <v/>
      </c>
      <c r="N57" s="44">
        <f>'總表'!AA94</f>
        <v/>
      </c>
      <c r="O57" s="44">
        <f>'總表'!AB94</f>
        <v/>
      </c>
      <c r="P57" s="38">
        <f>'總表'!AD94</f>
        <v/>
      </c>
      <c r="Q57" s="42">
        <f>'總表'!U94</f>
        <v/>
      </c>
      <c r="R57" s="38">
        <f>'總表'!AE94</f>
        <v/>
      </c>
      <c r="S57" s="38">
        <f>'總表'!AI94</f>
        <v/>
      </c>
      <c r="T57" s="38">
        <f>'總表'!AJ94</f>
        <v/>
      </c>
      <c r="U57" s="38">
        <f>'總表'!AK94</f>
        <v/>
      </c>
      <c r="V57" s="38">
        <f>'總表'!AL94</f>
        <v/>
      </c>
      <c r="W57" s="42">
        <f>'總表'!AQ94</f>
        <v/>
      </c>
      <c r="X57" s="42">
        <f>'總表'!AS94</f>
        <v/>
      </c>
      <c r="Y57" s="38">
        <f>'總表'!BE94</f>
        <v/>
      </c>
      <c r="Z57" s="44">
        <f>'總表'!BH94</f>
        <v/>
      </c>
      <c r="AA57" s="52">
        <f>'總表'!BP94</f>
        <v/>
      </c>
      <c r="AB57" s="38">
        <f>'總表'!BA94</f>
        <v/>
      </c>
      <c r="AC57" s="38">
        <f>'總表'!BB94</f>
        <v/>
      </c>
      <c r="AD57" s="38">
        <f>'總表'!BC94</f>
        <v/>
      </c>
      <c r="AE57" s="49">
        <f>'總表'!AW94</f>
        <v/>
      </c>
      <c r="AF57" s="52">
        <f>'總表'!BR94</f>
        <v/>
      </c>
      <c r="AG57" s="52">
        <f>'總表'!BS94</f>
        <v/>
      </c>
      <c r="AH57" s="52">
        <f>'總表'!BT94</f>
        <v/>
      </c>
      <c r="AI57" s="52">
        <f>'總表'!BU94</f>
        <v/>
      </c>
      <c r="AJ57" s="53">
        <f>'總表'!BV94</f>
        <v/>
      </c>
      <c r="AK57" s="38">
        <f>'總表'!A94</f>
        <v/>
      </c>
      <c r="AL57" s="38">
        <f>'總表'!B94</f>
        <v/>
      </c>
      <c r="AM57" s="38">
        <f>'總表'!BW94</f>
        <v/>
      </c>
    </row>
    <row r="58">
      <c r="A58" s="38" t="n">
        <v>57</v>
      </c>
      <c r="B58" s="39" t="inlineStr">
        <is>
          <t>CSTL</t>
        </is>
      </c>
      <c r="C58" s="38">
        <f>'總表'!D95</f>
        <v/>
      </c>
      <c r="D58" s="38">
        <f>'總表'!F95</f>
        <v/>
      </c>
      <c r="E58" s="38">
        <f>'總表'!G95</f>
        <v/>
      </c>
      <c r="F58" s="38">
        <f>'總表'!I95</f>
        <v/>
      </c>
      <c r="G58" s="64">
        <f>'總表'!H95</f>
        <v/>
      </c>
      <c r="H58" s="65">
        <f>'總表'!J95</f>
        <v/>
      </c>
      <c r="I58" s="42">
        <f>'總表'!L95</f>
        <v/>
      </c>
      <c r="J58" s="65">
        <f>'總表'!R95</f>
        <v/>
      </c>
      <c r="K58" s="65">
        <f>'總表'!S95</f>
        <v/>
      </c>
      <c r="L58" s="42">
        <f>'總表'!W95</f>
        <v/>
      </c>
      <c r="M58" s="42">
        <f>'總表'!X95</f>
        <v/>
      </c>
      <c r="N58" s="44">
        <f>'總表'!AA95</f>
        <v/>
      </c>
      <c r="O58" s="44">
        <f>'總表'!AB95</f>
        <v/>
      </c>
      <c r="P58" s="38">
        <f>'總表'!AD95</f>
        <v/>
      </c>
      <c r="Q58" s="42">
        <f>'總表'!U95</f>
        <v/>
      </c>
      <c r="R58" s="38">
        <f>'總表'!AE95</f>
        <v/>
      </c>
      <c r="S58" s="38">
        <f>'總表'!AI95</f>
        <v/>
      </c>
      <c r="T58" s="38">
        <f>'總表'!AJ95</f>
        <v/>
      </c>
      <c r="U58" s="38">
        <f>'總表'!AK95</f>
        <v/>
      </c>
      <c r="V58" s="38">
        <f>'總表'!AL95</f>
        <v/>
      </c>
      <c r="W58" s="42">
        <f>'總表'!AQ95</f>
        <v/>
      </c>
      <c r="X58" s="42">
        <f>'總表'!AS95</f>
        <v/>
      </c>
      <c r="Y58" s="38">
        <f>'總表'!BE95</f>
        <v/>
      </c>
      <c r="Z58" s="44">
        <f>'總表'!BH95</f>
        <v/>
      </c>
      <c r="AA58" s="52">
        <f>'總表'!BP95</f>
        <v/>
      </c>
      <c r="AB58" s="38">
        <f>'總表'!BA95</f>
        <v/>
      </c>
      <c r="AC58" s="38">
        <f>'總表'!BB95</f>
        <v/>
      </c>
      <c r="AD58" s="38">
        <f>'總表'!BC95</f>
        <v/>
      </c>
      <c r="AE58" s="49">
        <f>'總表'!AW95</f>
        <v/>
      </c>
      <c r="AF58" s="52">
        <f>'總表'!BR95</f>
        <v/>
      </c>
      <c r="AG58" s="52">
        <f>'總表'!BS95</f>
        <v/>
      </c>
      <c r="AH58" s="52">
        <f>'總表'!BT95</f>
        <v/>
      </c>
      <c r="AI58" s="52">
        <f>'總表'!BU95</f>
        <v/>
      </c>
      <c r="AJ58" s="53">
        <f>'總表'!BV95</f>
        <v/>
      </c>
      <c r="AK58" s="38">
        <f>'總表'!A95</f>
        <v/>
      </c>
      <c r="AL58" s="38">
        <f>'總表'!B95</f>
        <v/>
      </c>
      <c r="AM58" s="38">
        <f>'總表'!BW95</f>
        <v/>
      </c>
    </row>
    <row r="59">
      <c r="A59" s="38" t="n">
        <v>58</v>
      </c>
      <c r="B59" s="39" t="inlineStr">
        <is>
          <t>BRKR</t>
        </is>
      </c>
      <c r="C59" s="38">
        <f>'總表'!D96</f>
        <v/>
      </c>
      <c r="D59" s="38">
        <f>'總表'!F96</f>
        <v/>
      </c>
      <c r="E59" s="38">
        <f>'總表'!G96</f>
        <v/>
      </c>
      <c r="F59" s="38">
        <f>'總表'!I96</f>
        <v/>
      </c>
      <c r="G59" s="64">
        <f>'總表'!H96</f>
        <v/>
      </c>
      <c r="H59" s="65">
        <f>'總表'!J96</f>
        <v/>
      </c>
      <c r="I59" s="42">
        <f>'總表'!L96</f>
        <v/>
      </c>
      <c r="J59" s="65">
        <f>'總表'!R96</f>
        <v/>
      </c>
      <c r="K59" s="65">
        <f>'總表'!S96</f>
        <v/>
      </c>
      <c r="L59" s="42">
        <f>'總表'!W96</f>
        <v/>
      </c>
      <c r="M59" s="42">
        <f>'總表'!X96</f>
        <v/>
      </c>
      <c r="N59" s="44">
        <f>'總表'!AA96</f>
        <v/>
      </c>
      <c r="O59" s="44">
        <f>'總表'!AB96</f>
        <v/>
      </c>
      <c r="P59" s="38">
        <f>'總表'!AD96</f>
        <v/>
      </c>
      <c r="Q59" s="42">
        <f>'總表'!U96</f>
        <v/>
      </c>
      <c r="R59" s="38">
        <f>'總表'!AE96</f>
        <v/>
      </c>
      <c r="S59" s="38">
        <f>'總表'!AI96</f>
        <v/>
      </c>
      <c r="T59" s="38">
        <f>'總表'!AJ96</f>
        <v/>
      </c>
      <c r="U59" s="38">
        <f>'總表'!AK96</f>
        <v/>
      </c>
      <c r="V59" s="38">
        <f>'總表'!AL96</f>
        <v/>
      </c>
      <c r="W59" s="42">
        <f>'總表'!AQ96</f>
        <v/>
      </c>
      <c r="X59" s="42">
        <f>'總表'!AS96</f>
        <v/>
      </c>
      <c r="Y59" s="38">
        <f>'總表'!BE96</f>
        <v/>
      </c>
      <c r="Z59" s="44">
        <f>'總表'!BH96</f>
        <v/>
      </c>
      <c r="AA59" s="52">
        <f>'總表'!BP96</f>
        <v/>
      </c>
      <c r="AB59" s="38">
        <f>'總表'!BA96</f>
        <v/>
      </c>
      <c r="AC59" s="38">
        <f>'總表'!BB96</f>
        <v/>
      </c>
      <c r="AD59" s="38">
        <f>'總表'!BC96</f>
        <v/>
      </c>
      <c r="AE59" s="49">
        <f>'總表'!AW96</f>
        <v/>
      </c>
      <c r="AF59" s="52">
        <f>'總表'!BR96</f>
        <v/>
      </c>
      <c r="AG59" s="52">
        <f>'總表'!BS96</f>
        <v/>
      </c>
      <c r="AH59" s="52">
        <f>'總表'!BT96</f>
        <v/>
      </c>
      <c r="AI59" s="52">
        <f>'總表'!BU96</f>
        <v/>
      </c>
      <c r="AJ59" s="53">
        <f>'總表'!BV96</f>
        <v/>
      </c>
      <c r="AK59" s="38">
        <f>'總表'!A96</f>
        <v/>
      </c>
      <c r="AL59" s="38">
        <f>'總表'!B96</f>
        <v/>
      </c>
      <c r="AM59" s="38">
        <f>'總表'!BW96</f>
        <v/>
      </c>
    </row>
    <row r="60">
      <c r="A60" s="38" t="n">
        <v>59</v>
      </c>
      <c r="B60" s="39" t="inlineStr">
        <is>
          <t>NGVC</t>
        </is>
      </c>
      <c r="C60" s="38">
        <f>'總表'!D98</f>
        <v/>
      </c>
      <c r="D60" s="38">
        <f>'總表'!F98</f>
        <v/>
      </c>
      <c r="E60" s="38">
        <f>'總表'!G98</f>
        <v/>
      </c>
      <c r="F60" s="38">
        <f>'總表'!I98</f>
        <v/>
      </c>
      <c r="G60" s="64">
        <f>'總表'!H98</f>
        <v/>
      </c>
      <c r="H60" s="65">
        <f>'總表'!J98</f>
        <v/>
      </c>
      <c r="I60" s="42">
        <f>'總表'!L98</f>
        <v/>
      </c>
      <c r="J60" s="65">
        <f>'總表'!R98</f>
        <v/>
      </c>
      <c r="K60" s="65">
        <f>'總表'!S98</f>
        <v/>
      </c>
      <c r="L60" s="42">
        <f>'總表'!W98</f>
        <v/>
      </c>
      <c r="M60" s="42">
        <f>'總表'!X98</f>
        <v/>
      </c>
      <c r="N60" s="44">
        <f>'總表'!AA98</f>
        <v/>
      </c>
      <c r="O60" s="44">
        <f>'總表'!AB98</f>
        <v/>
      </c>
      <c r="P60" s="38">
        <f>'總表'!AD98</f>
        <v/>
      </c>
      <c r="Q60" s="42">
        <f>'總表'!U98</f>
        <v/>
      </c>
      <c r="R60" s="38">
        <f>'總表'!AE98</f>
        <v/>
      </c>
      <c r="S60" s="38">
        <f>'總表'!AI98</f>
        <v/>
      </c>
      <c r="T60" s="38">
        <f>'總表'!AJ98</f>
        <v/>
      </c>
      <c r="U60" s="38">
        <f>'總表'!AK98</f>
        <v/>
      </c>
      <c r="V60" s="38">
        <f>'總表'!AL98</f>
        <v/>
      </c>
      <c r="W60" s="42">
        <f>'總表'!AQ98</f>
        <v/>
      </c>
      <c r="X60" s="42">
        <f>'總表'!AS98</f>
        <v/>
      </c>
      <c r="Y60" s="38">
        <f>'總表'!BE98</f>
        <v/>
      </c>
      <c r="Z60" s="44">
        <f>'總表'!BH98</f>
        <v/>
      </c>
      <c r="AA60" s="52">
        <f>'總表'!BP98</f>
        <v/>
      </c>
      <c r="AB60" s="38">
        <f>'總表'!BA98</f>
        <v/>
      </c>
      <c r="AC60" s="38">
        <f>'總表'!BB98</f>
        <v/>
      </c>
      <c r="AD60" s="38">
        <f>'總表'!BC98</f>
        <v/>
      </c>
      <c r="AE60" s="49">
        <f>'總表'!AW98</f>
        <v/>
      </c>
      <c r="AF60" s="52">
        <f>'總表'!BR98</f>
        <v/>
      </c>
      <c r="AG60" s="52">
        <f>'總表'!BS98</f>
        <v/>
      </c>
      <c r="AH60" s="52">
        <f>'總表'!BT98</f>
        <v/>
      </c>
      <c r="AI60" s="52">
        <f>'總表'!BU98</f>
        <v/>
      </c>
      <c r="AJ60" s="53">
        <f>'總表'!BV98</f>
        <v/>
      </c>
      <c r="AK60" s="38">
        <f>'總表'!A98</f>
        <v/>
      </c>
      <c r="AL60" s="38">
        <f>'總表'!B98</f>
        <v/>
      </c>
      <c r="AM60" s="38">
        <f>'總表'!BW98</f>
        <v/>
      </c>
    </row>
    <row r="61">
      <c r="A61" s="38" t="n">
        <v>60</v>
      </c>
      <c r="B61" s="39" t="inlineStr">
        <is>
          <t>MAZE</t>
        </is>
      </c>
      <c r="C61" s="38">
        <f>'總表'!D100</f>
        <v/>
      </c>
      <c r="D61" s="38">
        <f>'總表'!F100</f>
        <v/>
      </c>
      <c r="E61" s="38">
        <f>'總表'!G100</f>
        <v/>
      </c>
      <c r="F61" s="38">
        <f>'總表'!I100</f>
        <v/>
      </c>
      <c r="G61" s="64">
        <f>'總表'!H100</f>
        <v/>
      </c>
      <c r="H61" s="65">
        <f>'總表'!J100</f>
        <v/>
      </c>
      <c r="I61" s="42">
        <f>'總表'!L100</f>
        <v/>
      </c>
      <c r="J61" s="65">
        <f>'總表'!R100</f>
        <v/>
      </c>
      <c r="K61" s="65">
        <f>'總表'!S100</f>
        <v/>
      </c>
      <c r="L61" s="42">
        <f>'總表'!W100</f>
        <v/>
      </c>
      <c r="M61" s="42">
        <f>'總表'!X100</f>
        <v/>
      </c>
      <c r="N61" s="44">
        <f>'總表'!AA100</f>
        <v/>
      </c>
      <c r="O61" s="44">
        <f>'總表'!AB100</f>
        <v/>
      </c>
      <c r="P61" s="38">
        <f>'總表'!AD100</f>
        <v/>
      </c>
      <c r="Q61" s="42">
        <f>'總表'!U100</f>
        <v/>
      </c>
      <c r="R61" s="38">
        <f>'總表'!AE100</f>
        <v/>
      </c>
      <c r="S61" s="38">
        <f>'總表'!AI100</f>
        <v/>
      </c>
      <c r="T61" s="38">
        <f>'總表'!AJ100</f>
        <v/>
      </c>
      <c r="U61" s="38">
        <f>'總表'!AK100</f>
        <v/>
      </c>
      <c r="V61" s="38">
        <f>'總表'!AL100</f>
        <v/>
      </c>
      <c r="W61" s="42">
        <f>'總表'!AQ100</f>
        <v/>
      </c>
      <c r="X61" s="42">
        <f>'總表'!AS100</f>
        <v/>
      </c>
      <c r="Y61" s="38">
        <f>'總表'!BE100</f>
        <v/>
      </c>
      <c r="Z61" s="44">
        <f>'總表'!BH100</f>
        <v/>
      </c>
      <c r="AA61" s="52">
        <f>'總表'!BP100</f>
        <v/>
      </c>
      <c r="AB61" s="38">
        <f>'總表'!BA100</f>
        <v/>
      </c>
      <c r="AC61" s="38">
        <f>'總表'!BB100</f>
        <v/>
      </c>
      <c r="AD61" s="38">
        <f>'總表'!BC100</f>
        <v/>
      </c>
      <c r="AE61" s="49">
        <f>'總表'!AW100</f>
        <v/>
      </c>
      <c r="AF61" s="52">
        <f>'總表'!BR100</f>
        <v/>
      </c>
      <c r="AG61" s="52">
        <f>'總表'!BS100</f>
        <v/>
      </c>
      <c r="AH61" s="52">
        <f>'總表'!BT100</f>
        <v/>
      </c>
      <c r="AI61" s="52">
        <f>'總表'!BU100</f>
        <v/>
      </c>
      <c r="AJ61" s="53">
        <f>'總表'!BV100</f>
        <v/>
      </c>
      <c r="AK61" s="38">
        <f>'總表'!A100</f>
        <v/>
      </c>
      <c r="AL61" s="38">
        <f>'總表'!B100</f>
        <v/>
      </c>
      <c r="AM61" s="38">
        <f>'總表'!BW100</f>
        <v/>
      </c>
    </row>
    <row r="62">
      <c r="A62" s="38" t="n">
        <v>61</v>
      </c>
      <c r="B62" s="39" t="inlineStr">
        <is>
          <t>VLGEA</t>
        </is>
      </c>
      <c r="C62" s="38">
        <f>'總表'!D101</f>
        <v/>
      </c>
      <c r="D62" s="38">
        <f>'總表'!F101</f>
        <v/>
      </c>
      <c r="E62" s="38">
        <f>'總表'!G101</f>
        <v/>
      </c>
      <c r="F62" s="38">
        <f>'總表'!I101</f>
        <v/>
      </c>
      <c r="G62" s="64">
        <f>'總表'!H101</f>
        <v/>
      </c>
      <c r="H62" s="65">
        <f>'總表'!J101</f>
        <v/>
      </c>
      <c r="I62" s="42">
        <f>'總表'!L101</f>
        <v/>
      </c>
      <c r="J62" s="65">
        <f>'總表'!R101</f>
        <v/>
      </c>
      <c r="K62" s="65">
        <f>'總表'!S101</f>
        <v/>
      </c>
      <c r="L62" s="42">
        <f>'總表'!W101</f>
        <v/>
      </c>
      <c r="M62" s="42">
        <f>'總表'!X101</f>
        <v/>
      </c>
      <c r="N62" s="44">
        <f>'總表'!AA101</f>
        <v/>
      </c>
      <c r="O62" s="44">
        <f>'總表'!AB101</f>
        <v/>
      </c>
      <c r="P62" s="38">
        <f>'總表'!AD101</f>
        <v/>
      </c>
      <c r="Q62" s="42">
        <f>'總表'!U101</f>
        <v/>
      </c>
      <c r="R62" s="38">
        <f>'總表'!AE101</f>
        <v/>
      </c>
      <c r="S62" s="38">
        <f>'總表'!AI101</f>
        <v/>
      </c>
      <c r="T62" s="38">
        <f>'總表'!AJ101</f>
        <v/>
      </c>
      <c r="U62" s="38">
        <f>'總表'!AK101</f>
        <v/>
      </c>
      <c r="V62" s="38">
        <f>'總表'!AL101</f>
        <v/>
      </c>
      <c r="W62" s="42">
        <f>'總表'!AQ101</f>
        <v/>
      </c>
      <c r="X62" s="42">
        <f>'總表'!AS101</f>
        <v/>
      </c>
      <c r="Y62" s="38">
        <f>'總表'!BE101</f>
        <v/>
      </c>
      <c r="Z62" s="44">
        <f>'總表'!BH101</f>
        <v/>
      </c>
      <c r="AA62" s="52">
        <f>'總表'!BP101</f>
        <v/>
      </c>
      <c r="AB62" s="38">
        <f>'總表'!BA101</f>
        <v/>
      </c>
      <c r="AC62" s="38">
        <f>'總表'!BB101</f>
        <v/>
      </c>
      <c r="AD62" s="38">
        <f>'總表'!BC101</f>
        <v/>
      </c>
      <c r="AE62" s="49">
        <f>'總表'!AW101</f>
        <v/>
      </c>
      <c r="AF62" s="52">
        <f>'總表'!BR101</f>
        <v/>
      </c>
      <c r="AG62" s="52">
        <f>'總表'!BS101</f>
        <v/>
      </c>
      <c r="AH62" s="52">
        <f>'總表'!BT101</f>
        <v/>
      </c>
      <c r="AI62" s="52">
        <f>'總表'!BU101</f>
        <v/>
      </c>
      <c r="AJ62" s="53">
        <f>'總表'!BV101</f>
        <v/>
      </c>
      <c r="AK62" s="38">
        <f>'總表'!A101</f>
        <v/>
      </c>
      <c r="AL62" s="38">
        <f>'總表'!B101</f>
        <v/>
      </c>
      <c r="AM62" s="38">
        <f>'總表'!BW101</f>
        <v/>
      </c>
    </row>
    <row r="63">
      <c r="A63" s="38" t="n">
        <v>62</v>
      </c>
      <c r="B63" s="39" t="inlineStr">
        <is>
          <t>BWIN</t>
        </is>
      </c>
      <c r="C63" s="38">
        <f>'總表'!D103</f>
        <v/>
      </c>
      <c r="D63" s="38">
        <f>'總表'!F103</f>
        <v/>
      </c>
      <c r="E63" s="38">
        <f>'總表'!G103</f>
        <v/>
      </c>
      <c r="F63" s="38">
        <f>'總表'!I103</f>
        <v/>
      </c>
      <c r="G63" s="64">
        <f>'總表'!H103</f>
        <v/>
      </c>
      <c r="H63" s="65">
        <f>'總表'!J103</f>
        <v/>
      </c>
      <c r="I63" s="42">
        <f>'總表'!L103</f>
        <v/>
      </c>
      <c r="J63" s="65">
        <f>'總表'!R103</f>
        <v/>
      </c>
      <c r="K63" s="65">
        <f>'總表'!S103</f>
        <v/>
      </c>
      <c r="L63" s="42">
        <f>'總表'!W103</f>
        <v/>
      </c>
      <c r="M63" s="42">
        <f>'總表'!X103</f>
        <v/>
      </c>
      <c r="N63" s="44">
        <f>'總表'!AA103</f>
        <v/>
      </c>
      <c r="O63" s="44">
        <f>'總表'!AB103</f>
        <v/>
      </c>
      <c r="P63" s="38">
        <f>'總表'!AD103</f>
        <v/>
      </c>
      <c r="Q63" s="42">
        <f>'總表'!U103</f>
        <v/>
      </c>
      <c r="R63" s="38">
        <f>'總表'!AE103</f>
        <v/>
      </c>
      <c r="S63" s="38">
        <f>'總表'!AI103</f>
        <v/>
      </c>
      <c r="T63" s="38">
        <f>'總表'!AJ103</f>
        <v/>
      </c>
      <c r="U63" s="38">
        <f>'總表'!AK103</f>
        <v/>
      </c>
      <c r="V63" s="38">
        <f>'總表'!AL103</f>
        <v/>
      </c>
      <c r="W63" s="42">
        <f>'總表'!AQ103</f>
        <v/>
      </c>
      <c r="X63" s="42">
        <f>'總表'!AS103</f>
        <v/>
      </c>
      <c r="Y63" s="38">
        <f>'總表'!BE103</f>
        <v/>
      </c>
      <c r="Z63" s="44">
        <f>'總表'!BH103</f>
        <v/>
      </c>
      <c r="AA63" s="52">
        <f>'總表'!BP103</f>
        <v/>
      </c>
      <c r="AB63" s="38">
        <f>'總表'!BA103</f>
        <v/>
      </c>
      <c r="AC63" s="38">
        <f>'總表'!BB103</f>
        <v/>
      </c>
      <c r="AD63" s="38">
        <f>'總表'!BC103</f>
        <v/>
      </c>
      <c r="AE63" s="49">
        <f>'總表'!AW103</f>
        <v/>
      </c>
      <c r="AF63" s="52">
        <f>'總表'!BR103</f>
        <v/>
      </c>
      <c r="AG63" s="52">
        <f>'總表'!BS103</f>
        <v/>
      </c>
      <c r="AH63" s="52">
        <f>'總表'!BT103</f>
        <v/>
      </c>
      <c r="AI63" s="52">
        <f>'總表'!BU103</f>
        <v/>
      </c>
      <c r="AJ63" s="53">
        <f>'總表'!BV103</f>
        <v/>
      </c>
      <c r="AK63" s="38">
        <f>'總表'!A103</f>
        <v/>
      </c>
      <c r="AL63" s="38">
        <f>'總表'!B103</f>
        <v/>
      </c>
      <c r="AM63" s="38">
        <f>'總表'!BW103</f>
        <v/>
      </c>
    </row>
    <row r="64">
      <c r="A64" s="38" t="n">
        <v>63</v>
      </c>
      <c r="B64" s="39" t="inlineStr">
        <is>
          <t>DJCO</t>
        </is>
      </c>
      <c r="C64" s="38">
        <f>'總表'!D105</f>
        <v/>
      </c>
      <c r="D64" s="38">
        <f>'總表'!F105</f>
        <v/>
      </c>
      <c r="E64" s="38">
        <f>'總表'!G105</f>
        <v/>
      </c>
      <c r="F64" s="38">
        <f>'總表'!I105</f>
        <v/>
      </c>
      <c r="G64" s="64">
        <f>'總表'!H105</f>
        <v/>
      </c>
      <c r="H64" s="65">
        <f>'總表'!J105</f>
        <v/>
      </c>
      <c r="I64" s="42">
        <f>'總表'!L105</f>
        <v/>
      </c>
      <c r="J64" s="65">
        <f>'總表'!R105</f>
        <v/>
      </c>
      <c r="K64" s="65">
        <f>'總表'!S105</f>
        <v/>
      </c>
      <c r="L64" s="42">
        <f>'總表'!W105</f>
        <v/>
      </c>
      <c r="M64" s="42">
        <f>'總表'!X105</f>
        <v/>
      </c>
      <c r="N64" s="44">
        <f>'總表'!AA105</f>
        <v/>
      </c>
      <c r="O64" s="44">
        <f>'總表'!AB105</f>
        <v/>
      </c>
      <c r="P64" s="38">
        <f>'總表'!AD105</f>
        <v/>
      </c>
      <c r="Q64" s="42">
        <f>'總表'!U105</f>
        <v/>
      </c>
      <c r="R64" s="38">
        <f>'總表'!AE105</f>
        <v/>
      </c>
      <c r="S64" s="38">
        <f>'總表'!AI105</f>
        <v/>
      </c>
      <c r="T64" s="38">
        <f>'總表'!AJ105</f>
        <v/>
      </c>
      <c r="U64" s="38">
        <f>'總表'!AK105</f>
        <v/>
      </c>
      <c r="V64" s="38">
        <f>'總表'!AL105</f>
        <v/>
      </c>
      <c r="W64" s="42">
        <f>'總表'!AQ105</f>
        <v/>
      </c>
      <c r="X64" s="42">
        <f>'總表'!AS105</f>
        <v/>
      </c>
      <c r="Y64" s="38">
        <f>'總表'!BE105</f>
        <v/>
      </c>
      <c r="Z64" s="44">
        <f>'總表'!BH105</f>
        <v/>
      </c>
      <c r="AA64" s="52">
        <f>'總表'!BP105</f>
        <v/>
      </c>
      <c r="AB64" s="38">
        <f>'總表'!BA105</f>
        <v/>
      </c>
      <c r="AC64" s="38">
        <f>'總表'!BB105</f>
        <v/>
      </c>
      <c r="AD64" s="38">
        <f>'總表'!BC105</f>
        <v/>
      </c>
      <c r="AE64" s="49">
        <f>'總表'!AW105</f>
        <v/>
      </c>
      <c r="AF64" s="52">
        <f>'總表'!BR105</f>
        <v/>
      </c>
      <c r="AG64" s="52">
        <f>'總表'!BS105</f>
        <v/>
      </c>
      <c r="AH64" s="52">
        <f>'總表'!BT105</f>
        <v/>
      </c>
      <c r="AI64" s="52">
        <f>'總表'!BU105</f>
        <v/>
      </c>
      <c r="AJ64" s="53">
        <f>'總表'!BV105</f>
        <v/>
      </c>
      <c r="AK64" s="38">
        <f>'總表'!A105</f>
        <v/>
      </c>
      <c r="AL64" s="38">
        <f>'總表'!B105</f>
        <v/>
      </c>
      <c r="AM64" s="38">
        <f>'總表'!BW105</f>
        <v/>
      </c>
    </row>
    <row r="65">
      <c r="A65" s="38" t="n">
        <v>64</v>
      </c>
      <c r="B65" s="39" t="inlineStr">
        <is>
          <t>M</t>
        </is>
      </c>
      <c r="C65" s="38">
        <f>'總表'!D107</f>
        <v/>
      </c>
      <c r="D65" s="38">
        <f>'總表'!F107</f>
        <v/>
      </c>
      <c r="E65" s="38">
        <f>'總表'!G107</f>
        <v/>
      </c>
      <c r="F65" s="38">
        <f>'總表'!I107</f>
        <v/>
      </c>
      <c r="G65" s="64">
        <f>'總表'!H107</f>
        <v/>
      </c>
      <c r="H65" s="65">
        <f>'總表'!J107</f>
        <v/>
      </c>
      <c r="I65" s="42">
        <f>'總表'!L107</f>
        <v/>
      </c>
      <c r="J65" s="65">
        <f>'總表'!R107</f>
        <v/>
      </c>
      <c r="K65" s="65">
        <f>'總表'!S107</f>
        <v/>
      </c>
      <c r="L65" s="42">
        <f>'總表'!W107</f>
        <v/>
      </c>
      <c r="M65" s="42">
        <f>'總表'!X107</f>
        <v/>
      </c>
      <c r="N65" s="44">
        <f>'總表'!AA107</f>
        <v/>
      </c>
      <c r="O65" s="44">
        <f>'總表'!AB107</f>
        <v/>
      </c>
      <c r="P65" s="38">
        <f>'總表'!AD107</f>
        <v/>
      </c>
      <c r="Q65" s="42">
        <f>'總表'!U107</f>
        <v/>
      </c>
      <c r="R65" s="38">
        <f>'總表'!AE107</f>
        <v/>
      </c>
      <c r="S65" s="38">
        <f>'總表'!AI107</f>
        <v/>
      </c>
      <c r="T65" s="38">
        <f>'總表'!AJ107</f>
        <v/>
      </c>
      <c r="U65" s="38">
        <f>'總表'!AK107</f>
        <v/>
      </c>
      <c r="V65" s="38">
        <f>'總表'!AL107</f>
        <v/>
      </c>
      <c r="W65" s="42">
        <f>'總表'!AQ107</f>
        <v/>
      </c>
      <c r="X65" s="42">
        <f>'總表'!AS107</f>
        <v/>
      </c>
      <c r="Y65" s="38">
        <f>'總表'!BE107</f>
        <v/>
      </c>
      <c r="Z65" s="44">
        <f>'總表'!BH107</f>
        <v/>
      </c>
      <c r="AA65" s="52">
        <f>'總表'!BP107</f>
        <v/>
      </c>
      <c r="AB65" s="38">
        <f>'總表'!BA107</f>
        <v/>
      </c>
      <c r="AC65" s="38">
        <f>'總表'!BB107</f>
        <v/>
      </c>
      <c r="AD65" s="38">
        <f>'總表'!BC107</f>
        <v/>
      </c>
      <c r="AE65" s="49">
        <f>'總表'!AW107</f>
        <v/>
      </c>
      <c r="AF65" s="52">
        <f>'總表'!BR107</f>
        <v/>
      </c>
      <c r="AG65" s="52">
        <f>'總表'!BS107</f>
        <v/>
      </c>
      <c r="AH65" s="52">
        <f>'總表'!BT107</f>
        <v/>
      </c>
      <c r="AI65" s="52">
        <f>'總表'!BU107</f>
        <v/>
      </c>
      <c r="AJ65" s="53">
        <f>'總表'!BV107</f>
        <v/>
      </c>
      <c r="AK65" s="38">
        <f>'總表'!A107</f>
        <v/>
      </c>
      <c r="AL65" s="38">
        <f>'總表'!B107</f>
        <v/>
      </c>
      <c r="AM65" s="38">
        <f>'總表'!BW107</f>
        <v/>
      </c>
    </row>
    <row r="66">
      <c r="A66" s="38" t="n">
        <v>65</v>
      </c>
      <c r="B66" s="39" t="inlineStr">
        <is>
          <t>DE</t>
        </is>
      </c>
      <c r="C66" s="38">
        <f>'總表'!D109</f>
        <v/>
      </c>
      <c r="D66" s="38">
        <f>'總表'!F109</f>
        <v/>
      </c>
      <c r="E66" s="38">
        <f>'總表'!G109</f>
        <v/>
      </c>
      <c r="F66" s="38">
        <f>'總表'!I109</f>
        <v/>
      </c>
      <c r="G66" s="64">
        <f>'總表'!H109</f>
        <v/>
      </c>
      <c r="H66" s="65">
        <f>'總表'!J109</f>
        <v/>
      </c>
      <c r="I66" s="42">
        <f>'總表'!L109</f>
        <v/>
      </c>
      <c r="J66" s="65">
        <f>'總表'!R109</f>
        <v/>
      </c>
      <c r="K66" s="65">
        <f>'總表'!S109</f>
        <v/>
      </c>
      <c r="L66" s="42">
        <f>'總表'!W109</f>
        <v/>
      </c>
      <c r="M66" s="42">
        <f>'總表'!X109</f>
        <v/>
      </c>
      <c r="N66" s="44">
        <f>'總表'!AA109</f>
        <v/>
      </c>
      <c r="O66" s="44">
        <f>'總表'!AB109</f>
        <v/>
      </c>
      <c r="P66" s="38">
        <f>'總表'!AD109</f>
        <v/>
      </c>
      <c r="Q66" s="42">
        <f>'總表'!U109</f>
        <v/>
      </c>
      <c r="R66" s="38">
        <f>'總表'!AE109</f>
        <v/>
      </c>
      <c r="S66" s="38">
        <f>'總表'!AI109</f>
        <v/>
      </c>
      <c r="T66" s="38">
        <f>'總表'!AJ109</f>
        <v/>
      </c>
      <c r="U66" s="38">
        <f>'總表'!AK109</f>
        <v/>
      </c>
      <c r="V66" s="38">
        <f>'總表'!AL109</f>
        <v/>
      </c>
      <c r="W66" s="42">
        <f>'總表'!AQ109</f>
        <v/>
      </c>
      <c r="X66" s="42">
        <f>'總表'!AS109</f>
        <v/>
      </c>
      <c r="Y66" s="38">
        <f>'總表'!BE109</f>
        <v/>
      </c>
      <c r="Z66" s="44">
        <f>'總表'!BH109</f>
        <v/>
      </c>
      <c r="AA66" s="52">
        <f>'總表'!BP109</f>
        <v/>
      </c>
      <c r="AB66" s="38">
        <f>'總表'!BA109</f>
        <v/>
      </c>
      <c r="AC66" s="38">
        <f>'總表'!BB109</f>
        <v/>
      </c>
      <c r="AD66" s="38">
        <f>'總表'!BC109</f>
        <v/>
      </c>
      <c r="AE66" s="49">
        <f>'總表'!AW109</f>
        <v/>
      </c>
      <c r="AF66" s="52">
        <f>'總表'!BR109</f>
        <v/>
      </c>
      <c r="AG66" s="52">
        <f>'總表'!BS109</f>
        <v/>
      </c>
      <c r="AH66" s="52">
        <f>'總表'!BT109</f>
        <v/>
      </c>
      <c r="AI66" s="52">
        <f>'總表'!BU109</f>
        <v/>
      </c>
      <c r="AJ66" s="53">
        <f>'總表'!BV109</f>
        <v/>
      </c>
      <c r="AK66" s="38">
        <f>'總表'!A109</f>
        <v/>
      </c>
      <c r="AL66" s="38">
        <f>'總表'!B109</f>
        <v/>
      </c>
      <c r="AM66" s="38">
        <f>'總表'!BW109</f>
        <v/>
      </c>
    </row>
    <row r="67">
      <c r="A67" s="38" t="n">
        <v>66</v>
      </c>
      <c r="B67" s="39" t="inlineStr">
        <is>
          <t>ATII</t>
        </is>
      </c>
      <c r="C67" s="38">
        <f>'總表'!D110</f>
        <v/>
      </c>
      <c r="D67" s="38">
        <f>'總表'!F110</f>
        <v/>
      </c>
      <c r="E67" s="38">
        <f>'總表'!G110</f>
        <v/>
      </c>
      <c r="F67" s="38">
        <f>'總表'!I110</f>
        <v/>
      </c>
      <c r="G67" s="64">
        <f>'總表'!H110</f>
        <v/>
      </c>
      <c r="H67" s="65">
        <f>'總表'!J110</f>
        <v/>
      </c>
      <c r="I67" s="42">
        <f>'總表'!L110</f>
        <v/>
      </c>
      <c r="J67" s="65">
        <f>'總表'!R110</f>
        <v/>
      </c>
      <c r="K67" s="65">
        <f>'總表'!S110</f>
        <v/>
      </c>
      <c r="L67" s="42">
        <f>'總表'!W110</f>
        <v/>
      </c>
      <c r="M67" s="42">
        <f>'總表'!X110</f>
        <v/>
      </c>
      <c r="N67" s="44">
        <f>'總表'!AA110</f>
        <v/>
      </c>
      <c r="O67" s="44">
        <f>'總表'!AB110</f>
        <v/>
      </c>
      <c r="P67" s="38">
        <f>'總表'!AD110</f>
        <v/>
      </c>
      <c r="Q67" s="42">
        <f>'總表'!U110</f>
        <v/>
      </c>
      <c r="R67" s="38">
        <f>'總表'!AE110</f>
        <v/>
      </c>
      <c r="S67" s="38">
        <f>'總表'!AI110</f>
        <v/>
      </c>
      <c r="T67" s="38">
        <f>'總表'!AJ110</f>
        <v/>
      </c>
      <c r="U67" s="38">
        <f>'總表'!AK110</f>
        <v/>
      </c>
      <c r="V67" s="38">
        <f>'總表'!AL110</f>
        <v/>
      </c>
      <c r="W67" s="42">
        <f>'總表'!AQ110</f>
        <v/>
      </c>
      <c r="X67" s="42">
        <f>'總表'!AS110</f>
        <v/>
      </c>
      <c r="Y67" s="38">
        <f>'總表'!BE110</f>
        <v/>
      </c>
      <c r="Z67" s="44">
        <f>'總表'!BH110</f>
        <v/>
      </c>
      <c r="AA67" s="52">
        <f>'總表'!BP110</f>
        <v/>
      </c>
      <c r="AB67" s="38">
        <f>'總表'!BA110</f>
        <v/>
      </c>
      <c r="AC67" s="38">
        <f>'總表'!BB110</f>
        <v/>
      </c>
      <c r="AD67" s="38">
        <f>'總表'!BC110</f>
        <v/>
      </c>
      <c r="AE67" s="49">
        <f>'總表'!AW110</f>
        <v/>
      </c>
      <c r="AF67" s="52">
        <f>'總表'!BR110</f>
        <v/>
      </c>
      <c r="AG67" s="52">
        <f>'總表'!BS110</f>
        <v/>
      </c>
      <c r="AH67" s="52">
        <f>'總表'!BT110</f>
        <v/>
      </c>
      <c r="AI67" s="52">
        <f>'總表'!BU110</f>
        <v/>
      </c>
      <c r="AJ67" s="53">
        <f>'總表'!BV110</f>
        <v/>
      </c>
      <c r="AK67" s="38">
        <f>'總表'!A110</f>
        <v/>
      </c>
      <c r="AL67" s="38">
        <f>'總表'!B110</f>
        <v/>
      </c>
      <c r="AM67" s="38">
        <f>'總表'!BW110</f>
        <v/>
      </c>
    </row>
    <row r="68">
      <c r="A68" s="38" t="n">
        <v>67</v>
      </c>
      <c r="B68" s="39" t="inlineStr">
        <is>
          <t>GNE</t>
        </is>
      </c>
      <c r="C68" s="38">
        <f>'總表'!D111</f>
        <v/>
      </c>
      <c r="D68" s="38">
        <f>'總表'!F111</f>
        <v/>
      </c>
      <c r="E68" s="38">
        <f>'總表'!G111</f>
        <v/>
      </c>
      <c r="F68" s="38">
        <f>'總表'!I111</f>
        <v/>
      </c>
      <c r="G68" s="64">
        <f>'總表'!H111</f>
        <v/>
      </c>
      <c r="H68" s="65">
        <f>'總表'!J111</f>
        <v/>
      </c>
      <c r="I68" s="42">
        <f>'總表'!L111</f>
        <v/>
      </c>
      <c r="J68" s="65">
        <f>'總表'!R111</f>
        <v/>
      </c>
      <c r="K68" s="65">
        <f>'總表'!S111</f>
        <v/>
      </c>
      <c r="L68" s="42">
        <f>'總表'!W111</f>
        <v/>
      </c>
      <c r="M68" s="42">
        <f>'總表'!X111</f>
        <v/>
      </c>
      <c r="N68" s="44">
        <f>'總表'!AA111</f>
        <v/>
      </c>
      <c r="O68" s="44">
        <f>'總表'!AB111</f>
        <v/>
      </c>
      <c r="P68" s="38">
        <f>'總表'!AD111</f>
        <v/>
      </c>
      <c r="Q68" s="42">
        <f>'總表'!U111</f>
        <v/>
      </c>
      <c r="R68" s="38">
        <f>'總表'!AE111</f>
        <v/>
      </c>
      <c r="S68" s="38">
        <f>'總表'!AI111</f>
        <v/>
      </c>
      <c r="T68" s="38">
        <f>'總表'!AJ111</f>
        <v/>
      </c>
      <c r="U68" s="38">
        <f>'總表'!AK111</f>
        <v/>
      </c>
      <c r="V68" s="38">
        <f>'總表'!AL111</f>
        <v/>
      </c>
      <c r="W68" s="42">
        <f>'總表'!AQ111</f>
        <v/>
      </c>
      <c r="X68" s="42">
        <f>'總表'!AS111</f>
        <v/>
      </c>
      <c r="Y68" s="38">
        <f>'總表'!BE111</f>
        <v/>
      </c>
      <c r="Z68" s="44">
        <f>'總表'!BH111</f>
        <v/>
      </c>
      <c r="AA68" s="52">
        <f>'總表'!BP111</f>
        <v/>
      </c>
      <c r="AB68" s="38">
        <f>'總表'!BA111</f>
        <v/>
      </c>
      <c r="AC68" s="38">
        <f>'總表'!BB111</f>
        <v/>
      </c>
      <c r="AD68" s="38">
        <f>'總表'!BC111</f>
        <v/>
      </c>
      <c r="AE68" s="49">
        <f>'總表'!AW111</f>
        <v/>
      </c>
      <c r="AF68" s="52">
        <f>'總表'!BR111</f>
        <v/>
      </c>
      <c r="AG68" s="52">
        <f>'總表'!BS111</f>
        <v/>
      </c>
      <c r="AH68" s="52">
        <f>'總表'!BT111</f>
        <v/>
      </c>
      <c r="AI68" s="52">
        <f>'總表'!BU111</f>
        <v/>
      </c>
      <c r="AJ68" s="53">
        <f>'總表'!BV111</f>
        <v/>
      </c>
      <c r="AK68" s="38">
        <f>'總表'!A111</f>
        <v/>
      </c>
      <c r="AL68" s="38">
        <f>'總表'!B111</f>
        <v/>
      </c>
      <c r="AM68" s="38">
        <f>'總表'!BW111</f>
        <v/>
      </c>
    </row>
    <row r="69">
      <c r="A69" s="38" t="n">
        <v>68</v>
      </c>
      <c r="B69" s="39" t="inlineStr">
        <is>
          <t>CRUS</t>
        </is>
      </c>
      <c r="C69" s="38">
        <f>'總表'!D112</f>
        <v/>
      </c>
      <c r="D69" s="38">
        <f>'總表'!F112</f>
        <v/>
      </c>
      <c r="E69" s="38">
        <f>'總表'!G112</f>
        <v/>
      </c>
      <c r="F69" s="38">
        <f>'總表'!I112</f>
        <v/>
      </c>
      <c r="G69" s="64">
        <f>'總表'!H112</f>
        <v/>
      </c>
      <c r="H69" s="65">
        <f>'總表'!J112</f>
        <v/>
      </c>
      <c r="I69" s="42">
        <f>'總表'!L112</f>
        <v/>
      </c>
      <c r="J69" s="65">
        <f>'總表'!R112</f>
        <v/>
      </c>
      <c r="K69" s="65">
        <f>'總表'!S112</f>
        <v/>
      </c>
      <c r="L69" s="42">
        <f>'總表'!W112</f>
        <v/>
      </c>
      <c r="M69" s="42">
        <f>'總表'!X112</f>
        <v/>
      </c>
      <c r="N69" s="44">
        <f>'總表'!AA112</f>
        <v/>
      </c>
      <c r="O69" s="44">
        <f>'總表'!AB112</f>
        <v/>
      </c>
      <c r="P69" s="38">
        <f>'總表'!AD112</f>
        <v/>
      </c>
      <c r="Q69" s="42">
        <f>'總表'!U112</f>
        <v/>
      </c>
      <c r="R69" s="38">
        <f>'總表'!AE112</f>
        <v/>
      </c>
      <c r="S69" s="38">
        <f>'總表'!AI112</f>
        <v/>
      </c>
      <c r="T69" s="38">
        <f>'總表'!AJ112</f>
        <v/>
      </c>
      <c r="U69" s="38">
        <f>'總表'!AK112</f>
        <v/>
      </c>
      <c r="V69" s="38">
        <f>'總表'!AL112</f>
        <v/>
      </c>
      <c r="W69" s="42">
        <f>'總表'!AQ112</f>
        <v/>
      </c>
      <c r="X69" s="42">
        <f>'總表'!AS112</f>
        <v/>
      </c>
      <c r="Y69" s="38">
        <f>'總表'!BE112</f>
        <v/>
      </c>
      <c r="Z69" s="44">
        <f>'總表'!BH112</f>
        <v/>
      </c>
      <c r="AA69" s="52">
        <f>'總表'!BP112</f>
        <v/>
      </c>
      <c r="AB69" s="38">
        <f>'總表'!BA112</f>
        <v/>
      </c>
      <c r="AC69" s="38">
        <f>'總表'!BB112</f>
        <v/>
      </c>
      <c r="AD69" s="38">
        <f>'總表'!BC112</f>
        <v/>
      </c>
      <c r="AE69" s="49">
        <f>'總表'!AW112</f>
        <v/>
      </c>
      <c r="AF69" s="52">
        <f>'總表'!BR112</f>
        <v/>
      </c>
      <c r="AG69" s="52">
        <f>'總表'!BS112</f>
        <v/>
      </c>
      <c r="AH69" s="52">
        <f>'總表'!BT112</f>
        <v/>
      </c>
      <c r="AI69" s="52">
        <f>'總表'!BU112</f>
        <v/>
      </c>
      <c r="AJ69" s="53">
        <f>'總表'!BV112</f>
        <v/>
      </c>
      <c r="AK69" s="38">
        <f>'總表'!A112</f>
        <v/>
      </c>
      <c r="AL69" s="38">
        <f>'總表'!B112</f>
        <v/>
      </c>
      <c r="AM69" s="38">
        <f>'總表'!BW112</f>
        <v/>
      </c>
    </row>
    <row r="70">
      <c r="A70" s="38" t="n">
        <v>69</v>
      </c>
      <c r="B70" s="39" t="inlineStr">
        <is>
          <t>INFU</t>
        </is>
      </c>
      <c r="C70" s="38">
        <f>'總表'!D113</f>
        <v/>
      </c>
      <c r="D70" s="38">
        <f>'總表'!F113</f>
        <v/>
      </c>
      <c r="E70" s="38">
        <f>'總表'!G113</f>
        <v/>
      </c>
      <c r="F70" s="38">
        <f>'總表'!I113</f>
        <v/>
      </c>
      <c r="G70" s="64">
        <f>'總表'!H113</f>
        <v/>
      </c>
      <c r="H70" s="65">
        <f>'總表'!J113</f>
        <v/>
      </c>
      <c r="I70" s="42">
        <f>'總表'!L113</f>
        <v/>
      </c>
      <c r="J70" s="65">
        <f>'總表'!R113</f>
        <v/>
      </c>
      <c r="K70" s="65">
        <f>'總表'!S113</f>
        <v/>
      </c>
      <c r="L70" s="42">
        <f>'總表'!W113</f>
        <v/>
      </c>
      <c r="M70" s="42">
        <f>'總表'!X113</f>
        <v/>
      </c>
      <c r="N70" s="44">
        <f>'總表'!AA113</f>
        <v/>
      </c>
      <c r="O70" s="44">
        <f>'總表'!AB113</f>
        <v/>
      </c>
      <c r="P70" s="38">
        <f>'總表'!AD113</f>
        <v/>
      </c>
      <c r="Q70" s="42">
        <f>'總表'!U113</f>
        <v/>
      </c>
      <c r="R70" s="38">
        <f>'總表'!AE113</f>
        <v/>
      </c>
      <c r="S70" s="38">
        <f>'總表'!AI113</f>
        <v/>
      </c>
      <c r="T70" s="38">
        <f>'總表'!AJ113</f>
        <v/>
      </c>
      <c r="U70" s="38">
        <f>'總表'!AK113</f>
        <v/>
      </c>
      <c r="V70" s="38">
        <f>'總表'!AL113</f>
        <v/>
      </c>
      <c r="W70" s="42">
        <f>'總表'!AQ113</f>
        <v/>
      </c>
      <c r="X70" s="42">
        <f>'總表'!AS113</f>
        <v/>
      </c>
      <c r="Y70" s="38">
        <f>'總表'!BE113</f>
        <v/>
      </c>
      <c r="Z70" s="44">
        <f>'總表'!BH113</f>
        <v/>
      </c>
      <c r="AA70" s="52">
        <f>'總表'!BP113</f>
        <v/>
      </c>
      <c r="AB70" s="38">
        <f>'總表'!BA113</f>
        <v/>
      </c>
      <c r="AC70" s="38">
        <f>'總表'!BB113</f>
        <v/>
      </c>
      <c r="AD70" s="38">
        <f>'總表'!BC113</f>
        <v/>
      </c>
      <c r="AE70" s="49">
        <f>'總表'!AW113</f>
        <v/>
      </c>
      <c r="AF70" s="52">
        <f>'總表'!BR113</f>
        <v/>
      </c>
      <c r="AG70" s="52">
        <f>'總表'!BS113</f>
        <v/>
      </c>
      <c r="AH70" s="52">
        <f>'總表'!BT113</f>
        <v/>
      </c>
      <c r="AI70" s="52">
        <f>'總表'!BU113</f>
        <v/>
      </c>
      <c r="AJ70" s="53">
        <f>'總表'!BV113</f>
        <v/>
      </c>
      <c r="AK70" s="38">
        <f>'總表'!A113</f>
        <v/>
      </c>
      <c r="AL70" s="38">
        <f>'總表'!B113</f>
        <v/>
      </c>
      <c r="AM70" s="38">
        <f>'總表'!BW113</f>
        <v/>
      </c>
    </row>
    <row r="71">
      <c r="A71" s="38" t="n">
        <v>70</v>
      </c>
      <c r="B71" s="39" t="inlineStr">
        <is>
          <t>AAPL</t>
        </is>
      </c>
      <c r="C71" s="38">
        <f>'總表'!D115</f>
        <v/>
      </c>
      <c r="D71" s="38">
        <f>'總表'!F115</f>
        <v/>
      </c>
      <c r="E71" s="38">
        <f>'總表'!G115</f>
        <v/>
      </c>
      <c r="F71" s="38">
        <f>'總表'!I115</f>
        <v/>
      </c>
      <c r="G71" s="64">
        <f>'總表'!H115</f>
        <v/>
      </c>
      <c r="H71" s="65">
        <f>'總表'!J115</f>
        <v/>
      </c>
      <c r="I71" s="42">
        <f>'總表'!L115</f>
        <v/>
      </c>
      <c r="J71" s="65">
        <f>'總表'!R115</f>
        <v/>
      </c>
      <c r="K71" s="65">
        <f>'總表'!S115</f>
        <v/>
      </c>
      <c r="L71" s="42">
        <f>'總表'!W115</f>
        <v/>
      </c>
      <c r="M71" s="42">
        <f>'總表'!X115</f>
        <v/>
      </c>
      <c r="N71" s="44">
        <f>'總表'!AA115</f>
        <v/>
      </c>
      <c r="O71" s="44">
        <f>'總表'!AB115</f>
        <v/>
      </c>
      <c r="P71" s="38">
        <f>'總表'!AD115</f>
        <v/>
      </c>
      <c r="Q71" s="42">
        <f>'總表'!U115</f>
        <v/>
      </c>
      <c r="R71" s="38">
        <f>'總表'!AE115</f>
        <v/>
      </c>
      <c r="S71" s="38">
        <f>'總表'!AI115</f>
        <v/>
      </c>
      <c r="T71" s="38">
        <f>'總表'!AJ115</f>
        <v/>
      </c>
      <c r="U71" s="38">
        <f>'總表'!AK115</f>
        <v/>
      </c>
      <c r="V71" s="38">
        <f>'總表'!AL115</f>
        <v/>
      </c>
      <c r="W71" s="42">
        <f>'總表'!AQ115</f>
        <v/>
      </c>
      <c r="X71" s="42">
        <f>'總表'!AS115</f>
        <v/>
      </c>
      <c r="Y71" s="38">
        <f>'總表'!BE115</f>
        <v/>
      </c>
      <c r="Z71" s="44">
        <f>'總表'!BH115</f>
        <v/>
      </c>
      <c r="AA71" s="52">
        <f>'總表'!BP115</f>
        <v/>
      </c>
      <c r="AB71" s="38">
        <f>'總表'!BA115</f>
        <v/>
      </c>
      <c r="AC71" s="38">
        <f>'總表'!BB115</f>
        <v/>
      </c>
      <c r="AD71" s="38">
        <f>'總表'!BC115</f>
        <v/>
      </c>
      <c r="AE71" s="49">
        <f>'總表'!AW115</f>
        <v/>
      </c>
      <c r="AF71" s="52">
        <f>'總表'!BR115</f>
        <v/>
      </c>
      <c r="AG71" s="52">
        <f>'總表'!BS115</f>
        <v/>
      </c>
      <c r="AH71" s="52">
        <f>'總表'!BT115</f>
        <v/>
      </c>
      <c r="AI71" s="52">
        <f>'總表'!BU115</f>
        <v/>
      </c>
      <c r="AJ71" s="53">
        <f>'總表'!BV115</f>
        <v/>
      </c>
      <c r="AK71" s="38">
        <f>'總表'!A115</f>
        <v/>
      </c>
      <c r="AL71" s="38">
        <f>'總表'!B115</f>
        <v/>
      </c>
      <c r="AM71" s="38">
        <f>'總表'!BW115</f>
        <v/>
      </c>
    </row>
    <row r="72">
      <c r="A72" s="38" t="n">
        <v>71</v>
      </c>
      <c r="B72" s="39" t="inlineStr">
        <is>
          <t>SLP</t>
        </is>
      </c>
      <c r="C72" s="38">
        <f>'總表'!D116</f>
        <v/>
      </c>
      <c r="D72" s="38">
        <f>'總表'!F116</f>
        <v/>
      </c>
      <c r="E72" s="38">
        <f>'總表'!G116</f>
        <v/>
      </c>
      <c r="F72" s="38">
        <f>'總表'!I116</f>
        <v/>
      </c>
      <c r="G72" s="64">
        <f>'總表'!H116</f>
        <v/>
      </c>
      <c r="H72" s="65">
        <f>'總表'!J116</f>
        <v/>
      </c>
      <c r="I72" s="42">
        <f>'總表'!L116</f>
        <v/>
      </c>
      <c r="J72" s="65">
        <f>'總表'!R116</f>
        <v/>
      </c>
      <c r="K72" s="65">
        <f>'總表'!S116</f>
        <v/>
      </c>
      <c r="L72" s="42">
        <f>'總表'!W116</f>
        <v/>
      </c>
      <c r="M72" s="42">
        <f>'總表'!X116</f>
        <v/>
      </c>
      <c r="N72" s="44">
        <f>'總表'!AA116</f>
        <v/>
      </c>
      <c r="O72" s="44">
        <f>'總表'!AB116</f>
        <v/>
      </c>
      <c r="P72" s="38">
        <f>'總表'!AD116</f>
        <v/>
      </c>
      <c r="Q72" s="42">
        <f>'總表'!U116</f>
        <v/>
      </c>
      <c r="R72" s="38">
        <f>'總表'!AE116</f>
        <v/>
      </c>
      <c r="S72" s="38">
        <f>'總表'!AI116</f>
        <v/>
      </c>
      <c r="T72" s="38">
        <f>'總表'!AJ116</f>
        <v/>
      </c>
      <c r="U72" s="38">
        <f>'總表'!AK116</f>
        <v/>
      </c>
      <c r="V72" s="38">
        <f>'總表'!AL116</f>
        <v/>
      </c>
      <c r="W72" s="42">
        <f>'總表'!AQ116</f>
        <v/>
      </c>
      <c r="X72" s="42">
        <f>'總表'!AS116</f>
        <v/>
      </c>
      <c r="Y72" s="38">
        <f>'總表'!BE116</f>
        <v/>
      </c>
      <c r="Z72" s="44">
        <f>'總表'!BH116</f>
        <v/>
      </c>
      <c r="AA72" s="52">
        <f>'總表'!BP116</f>
        <v/>
      </c>
      <c r="AB72" s="38">
        <f>'總表'!BA116</f>
        <v/>
      </c>
      <c r="AC72" s="38">
        <f>'總表'!BB116</f>
        <v/>
      </c>
      <c r="AD72" s="38">
        <f>'總表'!BC116</f>
        <v/>
      </c>
      <c r="AE72" s="49">
        <f>'總表'!AW116</f>
        <v/>
      </c>
      <c r="AF72" s="52">
        <f>'總表'!BR116</f>
        <v/>
      </c>
      <c r="AG72" s="52">
        <f>'總表'!BS116</f>
        <v/>
      </c>
      <c r="AH72" s="52">
        <f>'總表'!BT116</f>
        <v/>
      </c>
      <c r="AI72" s="52">
        <f>'總表'!BU116</f>
        <v/>
      </c>
      <c r="AJ72" s="53">
        <f>'總表'!BV116</f>
        <v/>
      </c>
      <c r="AK72" s="38">
        <f>'總表'!A116</f>
        <v/>
      </c>
      <c r="AL72" s="38">
        <f>'總表'!B116</f>
        <v/>
      </c>
      <c r="AM72" s="38">
        <f>'總表'!BW116</f>
        <v/>
      </c>
    </row>
    <row r="73">
      <c r="A73" s="38" t="n">
        <v>72</v>
      </c>
      <c r="B73" s="39" t="inlineStr">
        <is>
          <t>REX</t>
        </is>
      </c>
      <c r="C73" s="38">
        <f>'總表'!D118</f>
        <v/>
      </c>
      <c r="D73" s="38">
        <f>'總表'!F118</f>
        <v/>
      </c>
      <c r="E73" s="38">
        <f>'總表'!G118</f>
        <v/>
      </c>
      <c r="F73" s="38">
        <f>'總表'!I118</f>
        <v/>
      </c>
      <c r="G73" s="64">
        <f>'總表'!H118</f>
        <v/>
      </c>
      <c r="H73" s="65">
        <f>'總表'!J118</f>
        <v/>
      </c>
      <c r="I73" s="42">
        <f>'總表'!L118</f>
        <v/>
      </c>
      <c r="J73" s="65">
        <f>'總表'!R118</f>
        <v/>
      </c>
      <c r="K73" s="65">
        <f>'總表'!S118</f>
        <v/>
      </c>
      <c r="L73" s="42">
        <f>'總表'!W118</f>
        <v/>
      </c>
      <c r="M73" s="42">
        <f>'總表'!X118</f>
        <v/>
      </c>
      <c r="N73" s="44">
        <f>'總表'!AA118</f>
        <v/>
      </c>
      <c r="O73" s="44">
        <f>'總表'!AB118</f>
        <v/>
      </c>
      <c r="P73" s="38">
        <f>'總表'!AD118</f>
        <v/>
      </c>
      <c r="Q73" s="42">
        <f>'總表'!U118</f>
        <v/>
      </c>
      <c r="R73" s="38">
        <f>'總表'!AE118</f>
        <v/>
      </c>
      <c r="S73" s="38">
        <f>'總表'!AI118</f>
        <v/>
      </c>
      <c r="T73" s="38">
        <f>'總表'!AJ118</f>
        <v/>
      </c>
      <c r="U73" s="38">
        <f>'總表'!AK118</f>
        <v/>
      </c>
      <c r="V73" s="38">
        <f>'總表'!AL118</f>
        <v/>
      </c>
      <c r="W73" s="42">
        <f>'總表'!AQ118</f>
        <v/>
      </c>
      <c r="X73" s="42">
        <f>'總表'!AS118</f>
        <v/>
      </c>
      <c r="Y73" s="38">
        <f>'總表'!BE118</f>
        <v/>
      </c>
      <c r="Z73" s="44">
        <f>'總表'!BH118</f>
        <v/>
      </c>
      <c r="AA73" s="52">
        <f>'總表'!BP118</f>
        <v/>
      </c>
      <c r="AB73" s="38">
        <f>'總表'!BA118</f>
        <v/>
      </c>
      <c r="AC73" s="38">
        <f>'總表'!BB118</f>
        <v/>
      </c>
      <c r="AD73" s="38">
        <f>'總表'!BC118</f>
        <v/>
      </c>
      <c r="AE73" s="49">
        <f>'總表'!AW118</f>
        <v/>
      </c>
      <c r="AF73" s="52">
        <f>'總表'!BR118</f>
        <v/>
      </c>
      <c r="AG73" s="52">
        <f>'總表'!BS118</f>
        <v/>
      </c>
      <c r="AH73" s="52">
        <f>'總表'!BT118</f>
        <v/>
      </c>
      <c r="AI73" s="52">
        <f>'總表'!BU118</f>
        <v/>
      </c>
      <c r="AJ73" s="53">
        <f>'總表'!BV118</f>
        <v/>
      </c>
      <c r="AK73" s="38">
        <f>'總表'!A118</f>
        <v/>
      </c>
      <c r="AL73" s="38">
        <f>'總表'!B118</f>
        <v/>
      </c>
      <c r="AM73" s="38">
        <f>'總表'!BW118</f>
        <v/>
      </c>
    </row>
    <row r="74">
      <c r="A74" s="38" t="n">
        <v>73</v>
      </c>
      <c r="B74" s="39" t="inlineStr">
        <is>
          <t>GCT</t>
        </is>
      </c>
      <c r="C74" s="38">
        <f>'總表'!D120</f>
        <v/>
      </c>
      <c r="D74" s="38">
        <f>'總表'!F120</f>
        <v/>
      </c>
      <c r="E74" s="38">
        <f>'總表'!G120</f>
        <v/>
      </c>
      <c r="F74" s="38">
        <f>'總表'!I120</f>
        <v/>
      </c>
      <c r="G74" s="64">
        <f>'總表'!H120</f>
        <v/>
      </c>
      <c r="H74" s="65">
        <f>'總表'!J120</f>
        <v/>
      </c>
      <c r="I74" s="42">
        <f>'總表'!L120</f>
        <v/>
      </c>
      <c r="J74" s="65">
        <f>'總表'!R120</f>
        <v/>
      </c>
      <c r="K74" s="65">
        <f>'總表'!S120</f>
        <v/>
      </c>
      <c r="L74" s="42">
        <f>'總表'!W120</f>
        <v/>
      </c>
      <c r="M74" s="42">
        <f>'總表'!X120</f>
        <v/>
      </c>
      <c r="N74" s="44">
        <f>'總表'!AA120</f>
        <v/>
      </c>
      <c r="O74" s="44">
        <f>'總表'!AB120</f>
        <v/>
      </c>
      <c r="P74" s="38">
        <f>'總表'!AD120</f>
        <v/>
      </c>
      <c r="Q74" s="42">
        <f>'總表'!U120</f>
        <v/>
      </c>
      <c r="R74" s="38">
        <f>'總表'!AE120</f>
        <v/>
      </c>
      <c r="S74" s="38">
        <f>'總表'!AI120</f>
        <v/>
      </c>
      <c r="T74" s="38">
        <f>'總表'!AJ120</f>
        <v/>
      </c>
      <c r="U74" s="38">
        <f>'總表'!AK120</f>
        <v/>
      </c>
      <c r="V74" s="38">
        <f>'總表'!AL120</f>
        <v/>
      </c>
      <c r="W74" s="42">
        <f>'總表'!AQ120</f>
        <v/>
      </c>
      <c r="X74" s="42">
        <f>'總表'!AS120</f>
        <v/>
      </c>
      <c r="Y74" s="38">
        <f>'總表'!BE120</f>
        <v/>
      </c>
      <c r="Z74" s="44">
        <f>'總表'!BH120</f>
        <v/>
      </c>
      <c r="AA74" s="52">
        <f>'總表'!BP120</f>
        <v/>
      </c>
      <c r="AB74" s="38">
        <f>'總表'!BA120</f>
        <v/>
      </c>
      <c r="AC74" s="38">
        <f>'總表'!BB120</f>
        <v/>
      </c>
      <c r="AD74" s="38">
        <f>'總表'!BC120</f>
        <v/>
      </c>
      <c r="AE74" s="49">
        <f>'總表'!AW120</f>
        <v/>
      </c>
      <c r="AF74" s="52">
        <f>'總表'!BR120</f>
        <v/>
      </c>
      <c r="AG74" s="52">
        <f>'總表'!BS120</f>
        <v/>
      </c>
      <c r="AH74" s="52">
        <f>'總表'!BT120</f>
        <v/>
      </c>
      <c r="AI74" s="52">
        <f>'總表'!BU120</f>
        <v/>
      </c>
      <c r="AJ74" s="53">
        <f>'總表'!BV120</f>
        <v/>
      </c>
      <c r="AK74" s="38">
        <f>'總表'!A120</f>
        <v/>
      </c>
      <c r="AL74" s="38">
        <f>'總表'!B120</f>
        <v/>
      </c>
      <c r="AM74" s="38">
        <f>'總表'!BW120</f>
        <v/>
      </c>
    </row>
    <row r="75">
      <c r="A75" s="38" t="n">
        <v>74</v>
      </c>
      <c r="B75" s="39" t="inlineStr">
        <is>
          <t>UTMD</t>
        </is>
      </c>
      <c r="C75" s="38">
        <f>'總表'!D121</f>
        <v/>
      </c>
      <c r="D75" s="38">
        <f>'總表'!F121</f>
        <v/>
      </c>
      <c r="E75" s="38">
        <f>'總表'!G121</f>
        <v/>
      </c>
      <c r="F75" s="38">
        <f>'總表'!I121</f>
        <v/>
      </c>
      <c r="G75" s="64">
        <f>'總表'!H121</f>
        <v/>
      </c>
      <c r="H75" s="65">
        <f>'總表'!J121</f>
        <v/>
      </c>
      <c r="I75" s="42">
        <f>'總表'!L121</f>
        <v/>
      </c>
      <c r="J75" s="65">
        <f>'總表'!R121</f>
        <v/>
      </c>
      <c r="K75" s="65">
        <f>'總表'!S121</f>
        <v/>
      </c>
      <c r="L75" s="42">
        <f>'總表'!W121</f>
        <v/>
      </c>
      <c r="M75" s="42">
        <f>'總表'!X121</f>
        <v/>
      </c>
      <c r="N75" s="44">
        <f>'總表'!AA121</f>
        <v/>
      </c>
      <c r="O75" s="44">
        <f>'總表'!AB121</f>
        <v/>
      </c>
      <c r="P75" s="38">
        <f>'總表'!AD121</f>
        <v/>
      </c>
      <c r="Q75" s="42">
        <f>'總表'!U121</f>
        <v/>
      </c>
      <c r="R75" s="38">
        <f>'總表'!AE121</f>
        <v/>
      </c>
      <c r="S75" s="38">
        <f>'總表'!AI121</f>
        <v/>
      </c>
      <c r="T75" s="38">
        <f>'總表'!AJ121</f>
        <v/>
      </c>
      <c r="U75" s="38">
        <f>'總表'!AK121</f>
        <v/>
      </c>
      <c r="V75" s="38">
        <f>'總表'!AL121</f>
        <v/>
      </c>
      <c r="W75" s="42">
        <f>'總表'!AQ121</f>
        <v/>
      </c>
      <c r="X75" s="42">
        <f>'總表'!AS121</f>
        <v/>
      </c>
      <c r="Y75" s="38">
        <f>'總表'!BE121</f>
        <v/>
      </c>
      <c r="Z75" s="44">
        <f>'總表'!BH121</f>
        <v/>
      </c>
      <c r="AA75" s="52">
        <f>'總表'!BP121</f>
        <v/>
      </c>
      <c r="AB75" s="38">
        <f>'總表'!BA121</f>
        <v/>
      </c>
      <c r="AC75" s="38">
        <f>'總表'!BB121</f>
        <v/>
      </c>
      <c r="AD75" s="38">
        <f>'總表'!BC121</f>
        <v/>
      </c>
      <c r="AE75" s="49">
        <f>'總表'!AW121</f>
        <v/>
      </c>
      <c r="AF75" s="52">
        <f>'總表'!BR121</f>
        <v/>
      </c>
      <c r="AG75" s="52">
        <f>'總表'!BS121</f>
        <v/>
      </c>
      <c r="AH75" s="52">
        <f>'總表'!BT121</f>
        <v/>
      </c>
      <c r="AI75" s="52">
        <f>'總表'!BU121</f>
        <v/>
      </c>
      <c r="AJ75" s="53">
        <f>'總表'!BV121</f>
        <v/>
      </c>
      <c r="AK75" s="38">
        <f>'總表'!A121</f>
        <v/>
      </c>
      <c r="AL75" s="38">
        <f>'總表'!B121</f>
        <v/>
      </c>
      <c r="AM75" s="38">
        <f>'總表'!BW121</f>
        <v/>
      </c>
    </row>
    <row r="76">
      <c r="A76" s="38" t="n">
        <v>75</v>
      </c>
      <c r="B76" s="39" t="inlineStr">
        <is>
          <t>FET</t>
        </is>
      </c>
      <c r="C76" s="38">
        <f>'總表'!D122</f>
        <v/>
      </c>
      <c r="D76" s="38">
        <f>'總表'!F122</f>
        <v/>
      </c>
      <c r="E76" s="38">
        <f>'總表'!G122</f>
        <v/>
      </c>
      <c r="F76" s="38">
        <f>'總表'!I122</f>
        <v/>
      </c>
      <c r="G76" s="64">
        <f>'總表'!H122</f>
        <v/>
      </c>
      <c r="H76" s="65">
        <f>'總表'!J122</f>
        <v/>
      </c>
      <c r="I76" s="42">
        <f>'總表'!L122</f>
        <v/>
      </c>
      <c r="J76" s="65">
        <f>'總表'!R122</f>
        <v/>
      </c>
      <c r="K76" s="65">
        <f>'總表'!S122</f>
        <v/>
      </c>
      <c r="L76" s="42">
        <f>'總表'!W122</f>
        <v/>
      </c>
      <c r="M76" s="42">
        <f>'總表'!X122</f>
        <v/>
      </c>
      <c r="N76" s="44">
        <f>'總表'!AA122</f>
        <v/>
      </c>
      <c r="O76" s="44">
        <f>'總表'!AB122</f>
        <v/>
      </c>
      <c r="P76" s="38">
        <f>'總表'!AD122</f>
        <v/>
      </c>
      <c r="Q76" s="42">
        <f>'總表'!U122</f>
        <v/>
      </c>
      <c r="R76" s="38">
        <f>'總表'!AE122</f>
        <v/>
      </c>
      <c r="S76" s="38">
        <f>'總表'!AI122</f>
        <v/>
      </c>
      <c r="T76" s="38">
        <f>'總表'!AJ122</f>
        <v/>
      </c>
      <c r="U76" s="38">
        <f>'總表'!AK122</f>
        <v/>
      </c>
      <c r="V76" s="38">
        <f>'總表'!AL122</f>
        <v/>
      </c>
      <c r="W76" s="42">
        <f>'總表'!AQ122</f>
        <v/>
      </c>
      <c r="X76" s="42">
        <f>'總表'!AS122</f>
        <v/>
      </c>
      <c r="Y76" s="38">
        <f>'總表'!BE122</f>
        <v/>
      </c>
      <c r="Z76" s="44">
        <f>'總表'!BH122</f>
        <v/>
      </c>
      <c r="AA76" s="52">
        <f>'總表'!BP122</f>
        <v/>
      </c>
      <c r="AB76" s="38">
        <f>'總表'!BA122</f>
        <v/>
      </c>
      <c r="AC76" s="38">
        <f>'總表'!BB122</f>
        <v/>
      </c>
      <c r="AD76" s="38">
        <f>'總表'!BC122</f>
        <v/>
      </c>
      <c r="AE76" s="49">
        <f>'總表'!AW122</f>
        <v/>
      </c>
      <c r="AF76" s="52">
        <f>'總表'!BR122</f>
        <v/>
      </c>
      <c r="AG76" s="52">
        <f>'總表'!BS122</f>
        <v/>
      </c>
      <c r="AH76" s="52">
        <f>'總表'!BT122</f>
        <v/>
      </c>
      <c r="AI76" s="52">
        <f>'總表'!BU122</f>
        <v/>
      </c>
      <c r="AJ76" s="53">
        <f>'總表'!BV122</f>
        <v/>
      </c>
      <c r="AK76" s="38">
        <f>'總表'!A122</f>
        <v/>
      </c>
      <c r="AL76" s="38">
        <f>'總表'!B122</f>
        <v/>
      </c>
      <c r="AM76" s="38">
        <f>'總表'!BW122</f>
        <v/>
      </c>
    </row>
    <row r="77">
      <c r="A77" s="38" t="n">
        <v>76</v>
      </c>
      <c r="B77" s="39" t="inlineStr">
        <is>
          <t>ITGR</t>
        </is>
      </c>
      <c r="C77" s="38">
        <f>'總表'!D123</f>
        <v/>
      </c>
      <c r="D77" s="38">
        <f>'總表'!F123</f>
        <v/>
      </c>
      <c r="E77" s="38">
        <f>'總表'!G123</f>
        <v/>
      </c>
      <c r="F77" s="38">
        <f>'總表'!I123</f>
        <v/>
      </c>
      <c r="G77" s="64">
        <f>'總表'!H123</f>
        <v/>
      </c>
      <c r="H77" s="65">
        <f>'總表'!J123</f>
        <v/>
      </c>
      <c r="I77" s="42">
        <f>'總表'!L123</f>
        <v/>
      </c>
      <c r="J77" s="65">
        <f>'總表'!R123</f>
        <v/>
      </c>
      <c r="K77" s="65">
        <f>'總表'!S123</f>
        <v/>
      </c>
      <c r="L77" s="42">
        <f>'總表'!W123</f>
        <v/>
      </c>
      <c r="M77" s="42">
        <f>'總表'!X123</f>
        <v/>
      </c>
      <c r="N77" s="44">
        <f>'總表'!AA123</f>
        <v/>
      </c>
      <c r="O77" s="44">
        <f>'總表'!AB123</f>
        <v/>
      </c>
      <c r="P77" s="38">
        <f>'總表'!AD123</f>
        <v/>
      </c>
      <c r="Q77" s="42">
        <f>'總表'!U123</f>
        <v/>
      </c>
      <c r="R77" s="38">
        <f>'總表'!AE123</f>
        <v/>
      </c>
      <c r="S77" s="38">
        <f>'總表'!AI123</f>
        <v/>
      </c>
      <c r="T77" s="38">
        <f>'總表'!AJ123</f>
        <v/>
      </c>
      <c r="U77" s="38">
        <f>'總表'!AK123</f>
        <v/>
      </c>
      <c r="V77" s="38">
        <f>'總表'!AL123</f>
        <v/>
      </c>
      <c r="W77" s="42">
        <f>'總表'!AQ123</f>
        <v/>
      </c>
      <c r="X77" s="42">
        <f>'總表'!AS123</f>
        <v/>
      </c>
      <c r="Y77" s="38">
        <f>'總表'!BE123</f>
        <v/>
      </c>
      <c r="Z77" s="44">
        <f>'總表'!BH123</f>
        <v/>
      </c>
      <c r="AA77" s="52">
        <f>'總表'!BP123</f>
        <v/>
      </c>
      <c r="AB77" s="38">
        <f>'總表'!BA123</f>
        <v/>
      </c>
      <c r="AC77" s="38">
        <f>'總表'!BB123</f>
        <v/>
      </c>
      <c r="AD77" s="38">
        <f>'總表'!BC123</f>
        <v/>
      </c>
      <c r="AE77" s="49">
        <f>'總表'!AW123</f>
        <v/>
      </c>
      <c r="AF77" s="52">
        <f>'總表'!BR123</f>
        <v/>
      </c>
      <c r="AG77" s="52">
        <f>'總表'!BS123</f>
        <v/>
      </c>
      <c r="AH77" s="52">
        <f>'總表'!BT123</f>
        <v/>
      </c>
      <c r="AI77" s="52">
        <f>'總表'!BU123</f>
        <v/>
      </c>
      <c r="AJ77" s="53">
        <f>'總表'!BV123</f>
        <v/>
      </c>
      <c r="AK77" s="38">
        <f>'總表'!A123</f>
        <v/>
      </c>
      <c r="AL77" s="38">
        <f>'總表'!B123</f>
        <v/>
      </c>
      <c r="AM77" s="38">
        <f>'總表'!BW123</f>
        <v/>
      </c>
    </row>
    <row r="78">
      <c r="A78" s="38" t="n">
        <v>77</v>
      </c>
      <c r="B78" s="39" t="inlineStr">
        <is>
          <t>ATKR</t>
        </is>
      </c>
      <c r="C78" s="38">
        <f>'總表'!D124</f>
        <v/>
      </c>
      <c r="D78" s="38">
        <f>'總表'!F124</f>
        <v/>
      </c>
      <c r="E78" s="38">
        <f>'總表'!G124</f>
        <v/>
      </c>
      <c r="F78" s="38">
        <f>'總表'!I124</f>
        <v/>
      </c>
      <c r="G78" s="64">
        <f>'總表'!H124</f>
        <v/>
      </c>
      <c r="H78" s="65">
        <f>'總表'!J124</f>
        <v/>
      </c>
      <c r="I78" s="42">
        <f>'總表'!L124</f>
        <v/>
      </c>
      <c r="J78" s="65">
        <f>'總表'!R124</f>
        <v/>
      </c>
      <c r="K78" s="65">
        <f>'總表'!S124</f>
        <v/>
      </c>
      <c r="L78" s="42">
        <f>'總表'!W124</f>
        <v/>
      </c>
      <c r="M78" s="42">
        <f>'總表'!X124</f>
        <v/>
      </c>
      <c r="N78" s="44">
        <f>'總表'!AA124</f>
        <v/>
      </c>
      <c r="O78" s="44">
        <f>'總表'!AB124</f>
        <v/>
      </c>
      <c r="P78" s="38">
        <f>'總表'!AD124</f>
        <v/>
      </c>
      <c r="Q78" s="42">
        <f>'總表'!U124</f>
        <v/>
      </c>
      <c r="R78" s="38">
        <f>'總表'!AE124</f>
        <v/>
      </c>
      <c r="S78" s="38">
        <f>'總表'!AI124</f>
        <v/>
      </c>
      <c r="T78" s="38">
        <f>'總表'!AJ124</f>
        <v/>
      </c>
      <c r="U78" s="38">
        <f>'總表'!AK124</f>
        <v/>
      </c>
      <c r="V78" s="38">
        <f>'總表'!AL124</f>
        <v/>
      </c>
      <c r="W78" s="42">
        <f>'總表'!AQ124</f>
        <v/>
      </c>
      <c r="X78" s="42">
        <f>'總表'!AS124</f>
        <v/>
      </c>
      <c r="Y78" s="38">
        <f>'總表'!BE124</f>
        <v/>
      </c>
      <c r="Z78" s="44">
        <f>'總表'!BH124</f>
        <v/>
      </c>
      <c r="AA78" s="52">
        <f>'總表'!BP124</f>
        <v/>
      </c>
      <c r="AB78" s="38">
        <f>'總表'!BA124</f>
        <v/>
      </c>
      <c r="AC78" s="38">
        <f>'總表'!BB124</f>
        <v/>
      </c>
      <c r="AD78" s="38">
        <f>'總表'!BC124</f>
        <v/>
      </c>
      <c r="AE78" s="49">
        <f>'總表'!AW124</f>
        <v/>
      </c>
      <c r="AF78" s="52">
        <f>'總表'!BR124</f>
        <v/>
      </c>
      <c r="AG78" s="52">
        <f>'總表'!BS124</f>
        <v/>
      </c>
      <c r="AH78" s="52">
        <f>'總表'!BT124</f>
        <v/>
      </c>
      <c r="AI78" s="52">
        <f>'總表'!BU124</f>
        <v/>
      </c>
      <c r="AJ78" s="53">
        <f>'總表'!BV124</f>
        <v/>
      </c>
      <c r="AK78" s="38">
        <f>'總表'!A124</f>
        <v/>
      </c>
      <c r="AL78" s="38">
        <f>'總表'!B124</f>
        <v/>
      </c>
      <c r="AM78" s="38">
        <f>'總表'!BW124</f>
        <v/>
      </c>
    </row>
    <row r="79">
      <c r="A79" s="38" t="n">
        <v>78</v>
      </c>
      <c r="B79" s="39" t="inlineStr">
        <is>
          <t>AMG</t>
        </is>
      </c>
      <c r="C79" s="38">
        <f>'總表'!D125</f>
        <v/>
      </c>
      <c r="D79" s="38">
        <f>'總表'!F125</f>
        <v/>
      </c>
      <c r="E79" s="38">
        <f>'總表'!G125</f>
        <v/>
      </c>
      <c r="F79" s="38">
        <f>'總表'!I125</f>
        <v/>
      </c>
      <c r="G79" s="64">
        <f>'總表'!H125</f>
        <v/>
      </c>
      <c r="H79" s="65">
        <f>'總表'!J125</f>
        <v/>
      </c>
      <c r="I79" s="42">
        <f>'總表'!L125</f>
        <v/>
      </c>
      <c r="J79" s="65">
        <f>'總表'!R125</f>
        <v/>
      </c>
      <c r="K79" s="65">
        <f>'總表'!S125</f>
        <v/>
      </c>
      <c r="L79" s="42">
        <f>'總表'!W125</f>
        <v/>
      </c>
      <c r="M79" s="42">
        <f>'總表'!X125</f>
        <v/>
      </c>
      <c r="N79" s="44">
        <f>'總表'!AA125</f>
        <v/>
      </c>
      <c r="O79" s="44">
        <f>'總表'!AB125</f>
        <v/>
      </c>
      <c r="P79" s="38">
        <f>'總表'!AD125</f>
        <v/>
      </c>
      <c r="Q79" s="42">
        <f>'總表'!U125</f>
        <v/>
      </c>
      <c r="R79" s="38">
        <f>'總表'!AE125</f>
        <v/>
      </c>
      <c r="S79" s="38">
        <f>'總表'!AI125</f>
        <v/>
      </c>
      <c r="T79" s="38">
        <f>'總表'!AJ125</f>
        <v/>
      </c>
      <c r="U79" s="38">
        <f>'總表'!AK125</f>
        <v/>
      </c>
      <c r="V79" s="38">
        <f>'總表'!AL125</f>
        <v/>
      </c>
      <c r="W79" s="42">
        <f>'總表'!AQ125</f>
        <v/>
      </c>
      <c r="X79" s="42">
        <f>'總表'!AS125</f>
        <v/>
      </c>
      <c r="Y79" s="38">
        <f>'總表'!BE125</f>
        <v/>
      </c>
      <c r="Z79" s="44">
        <f>'總表'!BH125</f>
        <v/>
      </c>
      <c r="AA79" s="52">
        <f>'總表'!BP125</f>
        <v/>
      </c>
      <c r="AB79" s="38">
        <f>'總表'!BA125</f>
        <v/>
      </c>
      <c r="AC79" s="38">
        <f>'總表'!BB125</f>
        <v/>
      </c>
      <c r="AD79" s="38">
        <f>'總表'!BC125</f>
        <v/>
      </c>
      <c r="AE79" s="49">
        <f>'總表'!AW125</f>
        <v/>
      </c>
      <c r="AF79" s="52">
        <f>'總表'!BR125</f>
        <v/>
      </c>
      <c r="AG79" s="52">
        <f>'總表'!BS125</f>
        <v/>
      </c>
      <c r="AH79" s="52">
        <f>'總表'!BT125</f>
        <v/>
      </c>
      <c r="AI79" s="52">
        <f>'總表'!BU125</f>
        <v/>
      </c>
      <c r="AJ79" s="53">
        <f>'總表'!BV125</f>
        <v/>
      </c>
      <c r="AK79" s="38">
        <f>'總表'!A125</f>
        <v/>
      </c>
      <c r="AL79" s="38">
        <f>'總表'!B125</f>
        <v/>
      </c>
      <c r="AM79" s="38">
        <f>'總表'!BW125</f>
        <v/>
      </c>
    </row>
    <row r="80">
      <c r="A80" s="38" t="n">
        <v>79</v>
      </c>
      <c r="B80" s="39" t="inlineStr">
        <is>
          <t>RBKB</t>
        </is>
      </c>
      <c r="C80" s="38">
        <f>'總表'!D126</f>
        <v/>
      </c>
      <c r="D80" s="38">
        <f>'總表'!F126</f>
        <v/>
      </c>
      <c r="E80" s="38">
        <f>'總表'!G126</f>
        <v/>
      </c>
      <c r="F80" s="38">
        <f>'總表'!I126</f>
        <v/>
      </c>
      <c r="G80" s="64">
        <f>'總表'!H126</f>
        <v/>
      </c>
      <c r="H80" s="65">
        <f>'總表'!J126</f>
        <v/>
      </c>
      <c r="I80" s="42">
        <f>'總表'!L126</f>
        <v/>
      </c>
      <c r="J80" s="65">
        <f>'總表'!R126</f>
        <v/>
      </c>
      <c r="K80" s="65">
        <f>'總表'!S126</f>
        <v/>
      </c>
      <c r="L80" s="42">
        <f>'總表'!W126</f>
        <v/>
      </c>
      <c r="M80" s="42">
        <f>'總表'!X126</f>
        <v/>
      </c>
      <c r="N80" s="44">
        <f>'總表'!AA126</f>
        <v/>
      </c>
      <c r="O80" s="44">
        <f>'總表'!AB126</f>
        <v/>
      </c>
      <c r="P80" s="38">
        <f>'總表'!AD126</f>
        <v/>
      </c>
      <c r="Q80" s="42">
        <f>'總表'!U126</f>
        <v/>
      </c>
      <c r="R80" s="38">
        <f>'總表'!AE126</f>
        <v/>
      </c>
      <c r="S80" s="38">
        <f>'總表'!AI126</f>
        <v/>
      </c>
      <c r="T80" s="38">
        <f>'總表'!AJ126</f>
        <v/>
      </c>
      <c r="U80" s="38">
        <f>'總表'!AK126</f>
        <v/>
      </c>
      <c r="V80" s="38">
        <f>'總表'!AL126</f>
        <v/>
      </c>
      <c r="W80" s="42">
        <f>'總表'!AQ126</f>
        <v/>
      </c>
      <c r="X80" s="42">
        <f>'總表'!AS126</f>
        <v/>
      </c>
      <c r="Y80" s="38">
        <f>'總表'!BE126</f>
        <v/>
      </c>
      <c r="Z80" s="44">
        <f>'總表'!BH126</f>
        <v/>
      </c>
      <c r="AA80" s="52">
        <f>'總表'!BP126</f>
        <v/>
      </c>
      <c r="AB80" s="38">
        <f>'總表'!BA126</f>
        <v/>
      </c>
      <c r="AC80" s="38">
        <f>'總表'!BB126</f>
        <v/>
      </c>
      <c r="AD80" s="38">
        <f>'總表'!BC126</f>
        <v/>
      </c>
      <c r="AE80" s="49">
        <f>'總表'!AW126</f>
        <v/>
      </c>
      <c r="AF80" s="52">
        <f>'總表'!BR126</f>
        <v/>
      </c>
      <c r="AG80" s="52">
        <f>'總表'!BS126</f>
        <v/>
      </c>
      <c r="AH80" s="52">
        <f>'總表'!BT126</f>
        <v/>
      </c>
      <c r="AI80" s="52">
        <f>'總表'!BU126</f>
        <v/>
      </c>
      <c r="AJ80" s="53">
        <f>'總表'!BV126</f>
        <v/>
      </c>
      <c r="AK80" s="38">
        <f>'總表'!A126</f>
        <v/>
      </c>
      <c r="AL80" s="38">
        <f>'總表'!B126</f>
        <v/>
      </c>
      <c r="AM80" s="38">
        <f>'總表'!BW126</f>
        <v/>
      </c>
    </row>
    <row r="81">
      <c r="A81" s="38" t="n">
        <v>80</v>
      </c>
      <c r="B81" s="39" t="inlineStr">
        <is>
          <t>PKOH</t>
        </is>
      </c>
      <c r="C81" s="38">
        <f>'總表'!D127</f>
        <v/>
      </c>
      <c r="D81" s="38">
        <f>'總表'!F127</f>
        <v/>
      </c>
      <c r="E81" s="38">
        <f>'總表'!G127</f>
        <v/>
      </c>
      <c r="F81" s="38">
        <f>'總表'!I127</f>
        <v/>
      </c>
      <c r="G81" s="64">
        <f>'總表'!H127</f>
        <v/>
      </c>
      <c r="H81" s="65">
        <f>'總表'!J127</f>
        <v/>
      </c>
      <c r="I81" s="42">
        <f>'總表'!L127</f>
        <v/>
      </c>
      <c r="J81" s="65">
        <f>'總表'!R127</f>
        <v/>
      </c>
      <c r="K81" s="65">
        <f>'總表'!S127</f>
        <v/>
      </c>
      <c r="L81" s="42">
        <f>'總表'!W127</f>
        <v/>
      </c>
      <c r="M81" s="42">
        <f>'總表'!X127</f>
        <v/>
      </c>
      <c r="N81" s="44">
        <f>'總表'!AA127</f>
        <v/>
      </c>
      <c r="O81" s="44">
        <f>'總表'!AB127</f>
        <v/>
      </c>
      <c r="P81" s="38">
        <f>'總表'!AD127</f>
        <v/>
      </c>
      <c r="Q81" s="42">
        <f>'總表'!U127</f>
        <v/>
      </c>
      <c r="R81" s="38">
        <f>'總表'!AE127</f>
        <v/>
      </c>
      <c r="S81" s="38">
        <f>'總表'!AI127</f>
        <v/>
      </c>
      <c r="T81" s="38">
        <f>'總表'!AJ127</f>
        <v/>
      </c>
      <c r="U81" s="38">
        <f>'總表'!AK127</f>
        <v/>
      </c>
      <c r="V81" s="38">
        <f>'總表'!AL127</f>
        <v/>
      </c>
      <c r="W81" s="42">
        <f>'總表'!AQ127</f>
        <v/>
      </c>
      <c r="X81" s="42">
        <f>'總表'!AS127</f>
        <v/>
      </c>
      <c r="Y81" s="38">
        <f>'總表'!BE127</f>
        <v/>
      </c>
      <c r="Z81" s="44">
        <f>'總表'!BH127</f>
        <v/>
      </c>
      <c r="AA81" s="52">
        <f>'總表'!BP127</f>
        <v/>
      </c>
      <c r="AB81" s="38">
        <f>'總表'!BA127</f>
        <v/>
      </c>
      <c r="AC81" s="38">
        <f>'總表'!BB127</f>
        <v/>
      </c>
      <c r="AD81" s="38">
        <f>'總表'!BC127</f>
        <v/>
      </c>
      <c r="AE81" s="49">
        <f>'總表'!AW127</f>
        <v/>
      </c>
      <c r="AF81" s="52">
        <f>'總表'!BR127</f>
        <v/>
      </c>
      <c r="AG81" s="52">
        <f>'總表'!BS127</f>
        <v/>
      </c>
      <c r="AH81" s="52">
        <f>'總表'!BT127</f>
        <v/>
      </c>
      <c r="AI81" s="52">
        <f>'總表'!BU127</f>
        <v/>
      </c>
      <c r="AJ81" s="53">
        <f>'總表'!BV127</f>
        <v/>
      </c>
      <c r="AK81" s="38">
        <f>'總表'!A127</f>
        <v/>
      </c>
      <c r="AL81" s="38">
        <f>'總表'!B127</f>
        <v/>
      </c>
      <c r="AM81" s="38">
        <f>'總表'!BW127</f>
        <v/>
      </c>
    </row>
    <row r="82">
      <c r="A82" s="38" t="n">
        <v>81</v>
      </c>
      <c r="B82" s="39" t="inlineStr">
        <is>
          <t>TXNM</t>
        </is>
      </c>
      <c r="C82" s="38">
        <f>'總表'!D128</f>
        <v/>
      </c>
      <c r="D82" s="38">
        <f>'總表'!F128</f>
        <v/>
      </c>
      <c r="E82" s="38">
        <f>'總表'!G128</f>
        <v/>
      </c>
      <c r="F82" s="38">
        <f>'總表'!I128</f>
        <v/>
      </c>
      <c r="G82" s="64">
        <f>'總表'!H128</f>
        <v/>
      </c>
      <c r="H82" s="65">
        <f>'總表'!J128</f>
        <v/>
      </c>
      <c r="I82" s="42">
        <f>'總表'!L128</f>
        <v/>
      </c>
      <c r="J82" s="65">
        <f>'總表'!R128</f>
        <v/>
      </c>
      <c r="K82" s="65">
        <f>'總表'!S128</f>
        <v/>
      </c>
      <c r="L82" s="42">
        <f>'總表'!W128</f>
        <v/>
      </c>
      <c r="M82" s="42">
        <f>'總表'!X128</f>
        <v/>
      </c>
      <c r="N82" s="44">
        <f>'總表'!AA128</f>
        <v/>
      </c>
      <c r="O82" s="44">
        <f>'總表'!AB128</f>
        <v/>
      </c>
      <c r="P82" s="38">
        <f>'總表'!AD128</f>
        <v/>
      </c>
      <c r="Q82" s="42">
        <f>'總表'!U128</f>
        <v/>
      </c>
      <c r="R82" s="38">
        <f>'總表'!AE128</f>
        <v/>
      </c>
      <c r="S82" s="38">
        <f>'總表'!AI128</f>
        <v/>
      </c>
      <c r="T82" s="38">
        <f>'總表'!AJ128</f>
        <v/>
      </c>
      <c r="U82" s="38">
        <f>'總表'!AK128</f>
        <v/>
      </c>
      <c r="V82" s="38">
        <f>'總表'!AL128</f>
        <v/>
      </c>
      <c r="W82" s="42">
        <f>'總表'!AQ128</f>
        <v/>
      </c>
      <c r="X82" s="42">
        <f>'總表'!AS128</f>
        <v/>
      </c>
      <c r="Y82" s="38">
        <f>'總表'!BE128</f>
        <v/>
      </c>
      <c r="Z82" s="44">
        <f>'總表'!BH128</f>
        <v/>
      </c>
      <c r="AA82" s="52">
        <f>'總表'!BP128</f>
        <v/>
      </c>
      <c r="AB82" s="38">
        <f>'總表'!BA128</f>
        <v/>
      </c>
      <c r="AC82" s="38">
        <f>'總表'!BB128</f>
        <v/>
      </c>
      <c r="AD82" s="38">
        <f>'總表'!BC128</f>
        <v/>
      </c>
      <c r="AE82" s="49">
        <f>'總表'!AW128</f>
        <v/>
      </c>
      <c r="AF82" s="52">
        <f>'總表'!BR128</f>
        <v/>
      </c>
      <c r="AG82" s="52">
        <f>'總表'!BS128</f>
        <v/>
      </c>
      <c r="AH82" s="52">
        <f>'總表'!BT128</f>
        <v/>
      </c>
      <c r="AI82" s="52">
        <f>'總表'!BU128</f>
        <v/>
      </c>
      <c r="AJ82" s="53">
        <f>'總表'!BV128</f>
        <v/>
      </c>
      <c r="AK82" s="38">
        <f>'總表'!A128</f>
        <v/>
      </c>
      <c r="AL82" s="38">
        <f>'總表'!B128</f>
        <v/>
      </c>
      <c r="AM82" s="38">
        <f>'總表'!BW128</f>
        <v/>
      </c>
    </row>
    <row r="83">
      <c r="A83" s="38" t="n">
        <v>82</v>
      </c>
      <c r="B83" s="39" t="inlineStr">
        <is>
          <t>DSGR</t>
        </is>
      </c>
      <c r="C83" s="38">
        <f>'總表'!D129</f>
        <v/>
      </c>
      <c r="D83" s="38">
        <f>'總表'!F129</f>
        <v/>
      </c>
      <c r="E83" s="38">
        <f>'總表'!G129</f>
        <v/>
      </c>
      <c r="F83" s="38">
        <f>'總表'!I129</f>
        <v/>
      </c>
      <c r="G83" s="64">
        <f>'總表'!H129</f>
        <v/>
      </c>
      <c r="H83" s="65">
        <f>'總表'!J129</f>
        <v/>
      </c>
      <c r="I83" s="42">
        <f>'總表'!L129</f>
        <v/>
      </c>
      <c r="J83" s="65">
        <f>'總表'!R129</f>
        <v/>
      </c>
      <c r="K83" s="65">
        <f>'總表'!S129</f>
        <v/>
      </c>
      <c r="L83" s="42">
        <f>'總表'!W129</f>
        <v/>
      </c>
      <c r="M83" s="42">
        <f>'總表'!X129</f>
        <v/>
      </c>
      <c r="N83" s="44">
        <f>'總表'!AA129</f>
        <v/>
      </c>
      <c r="O83" s="44">
        <f>'總表'!AB129</f>
        <v/>
      </c>
      <c r="P83" s="38">
        <f>'總表'!AD129</f>
        <v/>
      </c>
      <c r="Q83" s="42">
        <f>'總表'!U129</f>
        <v/>
      </c>
      <c r="R83" s="38">
        <f>'總表'!AE129</f>
        <v/>
      </c>
      <c r="S83" s="38">
        <f>'總表'!AI129</f>
        <v/>
      </c>
      <c r="T83" s="38">
        <f>'總表'!AJ129</f>
        <v/>
      </c>
      <c r="U83" s="38">
        <f>'總表'!AK129</f>
        <v/>
      </c>
      <c r="V83" s="38">
        <f>'總表'!AL129</f>
        <v/>
      </c>
      <c r="W83" s="42">
        <f>'總表'!AQ129</f>
        <v/>
      </c>
      <c r="X83" s="42">
        <f>'總表'!AS129</f>
        <v/>
      </c>
      <c r="Y83" s="38">
        <f>'總表'!BE129</f>
        <v/>
      </c>
      <c r="Z83" s="44">
        <f>'總表'!BH129</f>
        <v/>
      </c>
      <c r="AA83" s="52">
        <f>'總表'!BP129</f>
        <v/>
      </c>
      <c r="AB83" s="38">
        <f>'總表'!BA129</f>
        <v/>
      </c>
      <c r="AC83" s="38">
        <f>'總表'!BB129</f>
        <v/>
      </c>
      <c r="AD83" s="38">
        <f>'總表'!BC129</f>
        <v/>
      </c>
      <c r="AE83" s="49">
        <f>'總表'!AW129</f>
        <v/>
      </c>
      <c r="AF83" s="52">
        <f>'總表'!BR129</f>
        <v/>
      </c>
      <c r="AG83" s="52">
        <f>'總表'!BS129</f>
        <v/>
      </c>
      <c r="AH83" s="52">
        <f>'總表'!BT129</f>
        <v/>
      </c>
      <c r="AI83" s="52">
        <f>'總表'!BU129</f>
        <v/>
      </c>
      <c r="AJ83" s="53">
        <f>'總表'!BV129</f>
        <v/>
      </c>
      <c r="AK83" s="38">
        <f>'總表'!A129</f>
        <v/>
      </c>
      <c r="AL83" s="38">
        <f>'總表'!B129</f>
        <v/>
      </c>
      <c r="AM83" s="38">
        <f>'總表'!BW129</f>
        <v/>
      </c>
    </row>
    <row r="84">
      <c r="A84" s="38" t="n">
        <v>83</v>
      </c>
      <c r="B84" s="39" t="inlineStr">
        <is>
          <t>FSBW</t>
        </is>
      </c>
      <c r="C84" s="38">
        <f>'總表'!D130</f>
        <v/>
      </c>
      <c r="D84" s="38">
        <f>'總表'!F130</f>
        <v/>
      </c>
      <c r="E84" s="38">
        <f>'總表'!G130</f>
        <v/>
      </c>
      <c r="F84" s="38">
        <f>'總表'!I130</f>
        <v/>
      </c>
      <c r="G84" s="64">
        <f>'總表'!H130</f>
        <v/>
      </c>
      <c r="H84" s="65">
        <f>'總表'!J130</f>
        <v/>
      </c>
      <c r="I84" s="42">
        <f>'總表'!L130</f>
        <v/>
      </c>
      <c r="J84" s="65">
        <f>'總表'!R130</f>
        <v/>
      </c>
      <c r="K84" s="65">
        <f>'總表'!S130</f>
        <v/>
      </c>
      <c r="L84" s="42">
        <f>'總表'!W130</f>
        <v/>
      </c>
      <c r="M84" s="42">
        <f>'總表'!X130</f>
        <v/>
      </c>
      <c r="N84" s="44">
        <f>'總表'!AA130</f>
        <v/>
      </c>
      <c r="O84" s="44">
        <f>'總表'!AB130</f>
        <v/>
      </c>
      <c r="P84" s="38">
        <f>'總表'!AD130</f>
        <v/>
      </c>
      <c r="Q84" s="42">
        <f>'總表'!U130</f>
        <v/>
      </c>
      <c r="R84" s="38">
        <f>'總表'!AE130</f>
        <v/>
      </c>
      <c r="S84" s="38">
        <f>'總表'!AI130</f>
        <v/>
      </c>
      <c r="T84" s="38">
        <f>'總表'!AJ130</f>
        <v/>
      </c>
      <c r="U84" s="38">
        <f>'總表'!AK130</f>
        <v/>
      </c>
      <c r="V84" s="38">
        <f>'總表'!AL130</f>
        <v/>
      </c>
      <c r="W84" s="42">
        <f>'總表'!AQ130</f>
        <v/>
      </c>
      <c r="X84" s="42">
        <f>'總表'!AS130</f>
        <v/>
      </c>
      <c r="Y84" s="38">
        <f>'總表'!BE130</f>
        <v/>
      </c>
      <c r="Z84" s="44">
        <f>'總表'!BH130</f>
        <v/>
      </c>
      <c r="AA84" s="52">
        <f>'總表'!BP130</f>
        <v/>
      </c>
      <c r="AB84" s="38">
        <f>'總表'!BA130</f>
        <v/>
      </c>
      <c r="AC84" s="38">
        <f>'總表'!BB130</f>
        <v/>
      </c>
      <c r="AD84" s="38">
        <f>'總表'!BC130</f>
        <v/>
      </c>
      <c r="AE84" s="49">
        <f>'總表'!AW130</f>
        <v/>
      </c>
      <c r="AF84" s="52">
        <f>'總表'!BR130</f>
        <v/>
      </c>
      <c r="AG84" s="52">
        <f>'總表'!BS130</f>
        <v/>
      </c>
      <c r="AH84" s="52">
        <f>'總表'!BT130</f>
        <v/>
      </c>
      <c r="AI84" s="52">
        <f>'總表'!BU130</f>
        <v/>
      </c>
      <c r="AJ84" s="53">
        <f>'總表'!BV130</f>
        <v/>
      </c>
      <c r="AK84" s="38">
        <f>'總表'!A130</f>
        <v/>
      </c>
      <c r="AL84" s="38">
        <f>'總表'!B130</f>
        <v/>
      </c>
      <c r="AM84" s="38">
        <f>'總表'!BW130</f>
        <v/>
      </c>
    </row>
    <row r="85">
      <c r="A85" s="38" t="n">
        <v>84</v>
      </c>
      <c r="B85" s="39" t="inlineStr">
        <is>
          <t>AES</t>
        </is>
      </c>
      <c r="C85" s="38">
        <f>'總表'!D131</f>
        <v/>
      </c>
      <c r="D85" s="38">
        <f>'總表'!F131</f>
        <v/>
      </c>
      <c r="E85" s="38">
        <f>'總表'!G131</f>
        <v/>
      </c>
      <c r="F85" s="38">
        <f>'總表'!I131</f>
        <v/>
      </c>
      <c r="G85" s="64">
        <f>'總表'!H131</f>
        <v/>
      </c>
      <c r="H85" s="65">
        <f>'總表'!J131</f>
        <v/>
      </c>
      <c r="I85" s="42">
        <f>'總表'!L131</f>
        <v/>
      </c>
      <c r="J85" s="65">
        <f>'總表'!R131</f>
        <v/>
      </c>
      <c r="K85" s="65">
        <f>'總表'!S131</f>
        <v/>
      </c>
      <c r="L85" s="42">
        <f>'總表'!W131</f>
        <v/>
      </c>
      <c r="M85" s="42">
        <f>'總表'!X131</f>
        <v/>
      </c>
      <c r="N85" s="44">
        <f>'總表'!AA131</f>
        <v/>
      </c>
      <c r="O85" s="44">
        <f>'總表'!AB131</f>
        <v/>
      </c>
      <c r="P85" s="38">
        <f>'總表'!AD131</f>
        <v/>
      </c>
      <c r="Q85" s="42">
        <f>'總表'!U131</f>
        <v/>
      </c>
      <c r="R85" s="38">
        <f>'總表'!AE131</f>
        <v/>
      </c>
      <c r="S85" s="38">
        <f>'總表'!AI131</f>
        <v/>
      </c>
      <c r="T85" s="38">
        <f>'總表'!AJ131</f>
        <v/>
      </c>
      <c r="U85" s="38">
        <f>'總表'!AK131</f>
        <v/>
      </c>
      <c r="V85" s="38">
        <f>'總表'!AL131</f>
        <v/>
      </c>
      <c r="W85" s="42">
        <f>'總表'!AQ131</f>
        <v/>
      </c>
      <c r="X85" s="42">
        <f>'總表'!AS131</f>
        <v/>
      </c>
      <c r="Y85" s="38">
        <f>'總表'!BE131</f>
        <v/>
      </c>
      <c r="Z85" s="44">
        <f>'總表'!BH131</f>
        <v/>
      </c>
      <c r="AA85" s="52">
        <f>'總表'!BP131</f>
        <v/>
      </c>
      <c r="AB85" s="38">
        <f>'總表'!BA131</f>
        <v/>
      </c>
      <c r="AC85" s="38">
        <f>'總表'!BB131</f>
        <v/>
      </c>
      <c r="AD85" s="38">
        <f>'總表'!BC131</f>
        <v/>
      </c>
      <c r="AE85" s="49">
        <f>'總表'!AW131</f>
        <v/>
      </c>
      <c r="AF85" s="52">
        <f>'總表'!BR131</f>
        <v/>
      </c>
      <c r="AG85" s="52">
        <f>'總表'!BS131</f>
        <v/>
      </c>
      <c r="AH85" s="52">
        <f>'總表'!BT131</f>
        <v/>
      </c>
      <c r="AI85" s="52">
        <f>'總表'!BU131</f>
        <v/>
      </c>
      <c r="AJ85" s="53">
        <f>'總表'!BV131</f>
        <v/>
      </c>
      <c r="AK85" s="38">
        <f>'總表'!A131</f>
        <v/>
      </c>
      <c r="AL85" s="38">
        <f>'總表'!B131</f>
        <v/>
      </c>
      <c r="AM85" s="38">
        <f>'總表'!BW131</f>
        <v/>
      </c>
    </row>
    <row r="86">
      <c r="A86" s="38" t="n">
        <v>85</v>
      </c>
      <c r="B86" s="39" t="inlineStr">
        <is>
          <t>CON</t>
        </is>
      </c>
      <c r="C86" s="38">
        <f>'總表'!D132</f>
        <v/>
      </c>
      <c r="D86" s="38">
        <f>'總表'!F132</f>
        <v/>
      </c>
      <c r="E86" s="38">
        <f>'總表'!G132</f>
        <v/>
      </c>
      <c r="F86" s="38">
        <f>'總表'!I132</f>
        <v/>
      </c>
      <c r="G86" s="64">
        <f>'總表'!H132</f>
        <v/>
      </c>
      <c r="H86" s="65">
        <f>'總表'!J132</f>
        <v/>
      </c>
      <c r="I86" s="42">
        <f>'總表'!L132</f>
        <v/>
      </c>
      <c r="J86" s="65">
        <f>'總表'!R132</f>
        <v/>
      </c>
      <c r="K86" s="65">
        <f>'總表'!S132</f>
        <v/>
      </c>
      <c r="L86" s="42">
        <f>'總表'!W132</f>
        <v/>
      </c>
      <c r="M86" s="42">
        <f>'總表'!X132</f>
        <v/>
      </c>
      <c r="N86" s="44">
        <f>'總表'!AA132</f>
        <v/>
      </c>
      <c r="O86" s="44">
        <f>'總表'!AB132</f>
        <v/>
      </c>
      <c r="P86" s="38">
        <f>'總表'!AD132</f>
        <v/>
      </c>
      <c r="Q86" s="42">
        <f>'總表'!U132</f>
        <v/>
      </c>
      <c r="R86" s="38">
        <f>'總表'!AE132</f>
        <v/>
      </c>
      <c r="S86" s="38">
        <f>'總表'!AI132</f>
        <v/>
      </c>
      <c r="T86" s="38">
        <f>'總表'!AJ132</f>
        <v/>
      </c>
      <c r="U86" s="38">
        <f>'總表'!AK132</f>
        <v/>
      </c>
      <c r="V86" s="38">
        <f>'總表'!AL132</f>
        <v/>
      </c>
      <c r="W86" s="42">
        <f>'總表'!AQ132</f>
        <v/>
      </c>
      <c r="X86" s="42">
        <f>'總表'!AS132</f>
        <v/>
      </c>
      <c r="Y86" s="38">
        <f>'總表'!BE132</f>
        <v/>
      </c>
      <c r="Z86" s="44">
        <f>'總表'!BH132</f>
        <v/>
      </c>
      <c r="AA86" s="52">
        <f>'總表'!BP132</f>
        <v/>
      </c>
      <c r="AB86" s="38">
        <f>'總表'!BA132</f>
        <v/>
      </c>
      <c r="AC86" s="38">
        <f>'總表'!BB132</f>
        <v/>
      </c>
      <c r="AD86" s="38">
        <f>'總表'!BC132</f>
        <v/>
      </c>
      <c r="AE86" s="49">
        <f>'總表'!AW132</f>
        <v/>
      </c>
      <c r="AF86" s="52">
        <f>'總表'!BR132</f>
        <v/>
      </c>
      <c r="AG86" s="52">
        <f>'總表'!BS132</f>
        <v/>
      </c>
      <c r="AH86" s="52">
        <f>'總表'!BT132</f>
        <v/>
      </c>
      <c r="AI86" s="52">
        <f>'總表'!BU132</f>
        <v/>
      </c>
      <c r="AJ86" s="53">
        <f>'總表'!BV132</f>
        <v/>
      </c>
      <c r="AK86" s="38">
        <f>'總表'!A132</f>
        <v/>
      </c>
      <c r="AL86" s="38">
        <f>'總表'!B132</f>
        <v/>
      </c>
      <c r="AM86" s="38">
        <f>'總表'!BW132</f>
        <v/>
      </c>
    </row>
    <row r="87">
      <c r="A87" s="38" t="n">
        <v>86</v>
      </c>
      <c r="B87" s="39" t="inlineStr">
        <is>
          <t>XOM</t>
        </is>
      </c>
      <c r="C87" s="38">
        <f>'總表'!D133</f>
        <v/>
      </c>
      <c r="D87" s="38">
        <f>'總表'!F133</f>
        <v/>
      </c>
      <c r="E87" s="38">
        <f>'總表'!G133</f>
        <v/>
      </c>
      <c r="F87" s="38">
        <f>'總表'!I133</f>
        <v/>
      </c>
      <c r="G87" s="64">
        <f>'總表'!H133</f>
        <v/>
      </c>
      <c r="H87" s="65">
        <f>'總表'!J133</f>
        <v/>
      </c>
      <c r="I87" s="42">
        <f>'總表'!L133</f>
        <v/>
      </c>
      <c r="J87" s="65">
        <f>'總表'!R133</f>
        <v/>
      </c>
      <c r="K87" s="65">
        <f>'總表'!S133</f>
        <v/>
      </c>
      <c r="L87" s="42">
        <f>'總表'!W133</f>
        <v/>
      </c>
      <c r="M87" s="42">
        <f>'總表'!X133</f>
        <v/>
      </c>
      <c r="N87" s="44">
        <f>'總表'!AA133</f>
        <v/>
      </c>
      <c r="O87" s="44">
        <f>'總表'!AB133</f>
        <v/>
      </c>
      <c r="P87" s="38">
        <f>'總表'!AD133</f>
        <v/>
      </c>
      <c r="Q87" s="42">
        <f>'總表'!U133</f>
        <v/>
      </c>
      <c r="R87" s="38">
        <f>'總表'!AE133</f>
        <v/>
      </c>
      <c r="S87" s="38">
        <f>'總表'!AI133</f>
        <v/>
      </c>
      <c r="T87" s="38">
        <f>'總表'!AJ133</f>
        <v/>
      </c>
      <c r="U87" s="38">
        <f>'總表'!AK133</f>
        <v/>
      </c>
      <c r="V87" s="38">
        <f>'總表'!AL133</f>
        <v/>
      </c>
      <c r="W87" s="42">
        <f>'總表'!AQ133</f>
        <v/>
      </c>
      <c r="X87" s="42">
        <f>'總表'!AS133</f>
        <v/>
      </c>
      <c r="Y87" s="38">
        <f>'總表'!BE133</f>
        <v/>
      </c>
      <c r="Z87" s="44">
        <f>'總表'!BH133</f>
        <v/>
      </c>
      <c r="AA87" s="52">
        <f>'總表'!BP133</f>
        <v/>
      </c>
      <c r="AB87" s="38">
        <f>'總表'!BA133</f>
        <v/>
      </c>
      <c r="AC87" s="38">
        <f>'總表'!BB133</f>
        <v/>
      </c>
      <c r="AD87" s="38">
        <f>'總表'!BC133</f>
        <v/>
      </c>
      <c r="AE87" s="49">
        <f>'總表'!AW133</f>
        <v/>
      </c>
      <c r="AF87" s="52">
        <f>'總表'!BR133</f>
        <v/>
      </c>
      <c r="AG87" s="52">
        <f>'總表'!BS133</f>
        <v/>
      </c>
      <c r="AH87" s="52">
        <f>'總表'!BT133</f>
        <v/>
      </c>
      <c r="AI87" s="52">
        <f>'總表'!BU133</f>
        <v/>
      </c>
      <c r="AJ87" s="53">
        <f>'總表'!BV133</f>
        <v/>
      </c>
      <c r="AK87" s="38">
        <f>'總表'!A133</f>
        <v/>
      </c>
      <c r="AL87" s="38">
        <f>'總表'!B133</f>
        <v/>
      </c>
      <c r="AM87" s="38">
        <f>'總表'!BW133</f>
        <v/>
      </c>
    </row>
    <row r="89">
      <c r="A89" s="66" t="inlineStr">
        <is>
          <t>核心六條件全過，而且收市離 EMA9 ≤3% 兼（≤0.75 ATR14 或近 3 日最低價觸及 EMA9），而且唔喺 b 頁（呢頁係較淺嘅回調）。 第一梯隊 18 隻；灰底＝第二梯隊（只差一項）10 隻；橙底＝第三梯隊（價格四項過、只差 MACD 慢線／柱轉勢，候補）58 隻；「唔過嘅條件」欄列明。每格引用總表同一行，改總表會跟住變。</t>
        </is>
      </c>
    </row>
  </sheetData>
  <autoFilter ref="A1:AM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6" customWidth="1" min="25" max="25"/>
    <col width="9" customWidth="1" min="26" max="26"/>
    <col width="6" customWidth="1" min="27" max="27"/>
    <col width="26" customWidth="1" min="28" max="28"/>
    <col width="13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6" customWidth="1" min="37" max="37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MACD</t>
        </is>
      </c>
      <c r="S1" s="4" t="inlineStr">
        <is>
          <t>MACD慢線</t>
        </is>
      </c>
      <c r="T1" s="4" t="inlineStr">
        <is>
          <t>慢線（前日）</t>
        </is>
      </c>
      <c r="U1" s="4" t="inlineStr">
        <is>
          <t>慢線斜率</t>
        </is>
      </c>
      <c r="V1" s="4" t="inlineStr">
        <is>
          <t>柱（今日）</t>
        </is>
      </c>
      <c r="W1" s="4" t="inlineStr">
        <is>
          <t>柱（前日）</t>
        </is>
      </c>
      <c r="X1" s="4" t="inlineStr">
        <is>
          <t>柱（前2日）</t>
        </is>
      </c>
      <c r="Y1" s="4" t="inlineStr">
        <is>
          <t>柱顏色</t>
        </is>
      </c>
      <c r="Z1" s="4" t="inlineStr">
        <is>
          <t>柱轉勢</t>
        </is>
      </c>
      <c r="AA1" s="4" t="inlineStr">
        <is>
          <t>轉勢幾日前</t>
        </is>
      </c>
      <c r="AB1" s="4" t="inlineStr">
        <is>
          <t>柱顏色序列（舊→新）</t>
        </is>
      </c>
      <c r="AC1" s="4" t="inlineStr">
        <is>
          <t>形態（25日）</t>
        </is>
      </c>
      <c r="AD1" s="4" t="inlineStr">
        <is>
          <t>重心</t>
        </is>
      </c>
      <c r="AE1" s="4" t="inlineStr">
        <is>
          <t>RS21%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總表排名</t>
        </is>
      </c>
    </row>
    <row r="2">
      <c r="A2" s="5" t="n">
        <v>1</v>
      </c>
      <c r="B2" s="6" t="inlineStr">
        <is>
          <t>FFIV</t>
        </is>
      </c>
      <c r="C2" s="5">
        <f>'總表'!D5</f>
        <v/>
      </c>
      <c r="D2" s="5">
        <f>'總表'!F5</f>
        <v/>
      </c>
      <c r="E2" s="5">
        <f>'總表'!G5</f>
        <v/>
      </c>
      <c r="F2" s="60">
        <f>'總表'!H5</f>
        <v/>
      </c>
      <c r="G2" s="61">
        <f>'總表'!J5</f>
        <v/>
      </c>
      <c r="H2" s="9">
        <f>'總表'!L5</f>
        <v/>
      </c>
      <c r="I2" s="61">
        <f>'總表'!R5</f>
        <v/>
      </c>
      <c r="J2" s="61">
        <f>'總表'!S5</f>
        <v/>
      </c>
      <c r="K2" s="9">
        <f>'總表'!W5</f>
        <v/>
      </c>
      <c r="L2" s="9">
        <f>'總表'!X5</f>
        <v/>
      </c>
      <c r="M2" s="9">
        <f>'總表'!U5</f>
        <v/>
      </c>
      <c r="N2" s="5">
        <f>'總表'!AE5</f>
        <v/>
      </c>
      <c r="O2" s="5">
        <f>'總表'!AJ5</f>
        <v/>
      </c>
      <c r="P2" s="5">
        <f>'總表'!AK5</f>
        <v/>
      </c>
      <c r="Q2" s="9">
        <f>'總表'!AS5</f>
        <v/>
      </c>
      <c r="R2" s="67">
        <f>'總表'!AT5</f>
        <v/>
      </c>
      <c r="S2" s="67">
        <f>'總表'!AU5</f>
        <v/>
      </c>
      <c r="T2" s="67">
        <f>'總表'!AV5</f>
        <v/>
      </c>
      <c r="U2" s="16">
        <f>'總表'!AW5</f>
        <v/>
      </c>
      <c r="V2" s="67">
        <f>'總表'!AX5</f>
        <v/>
      </c>
      <c r="W2" s="67">
        <f>'總表'!AY5</f>
        <v/>
      </c>
      <c r="X2" s="67">
        <f>'總表'!AZ5</f>
        <v/>
      </c>
      <c r="Y2" s="5">
        <f>'總表'!BA5</f>
        <v/>
      </c>
      <c r="Z2" s="5">
        <f>'總表'!BB5</f>
        <v/>
      </c>
      <c r="AA2" s="5">
        <f>'總表'!BC5</f>
        <v/>
      </c>
      <c r="AB2" s="5">
        <f>'總表'!BD5</f>
        <v/>
      </c>
      <c r="AC2" s="5">
        <f>'總表'!BE5</f>
        <v/>
      </c>
      <c r="AD2" s="11">
        <f>'總表'!BH5</f>
        <v/>
      </c>
      <c r="AE2" s="19">
        <f>'總表'!BP5</f>
        <v/>
      </c>
      <c r="AF2" s="19">
        <f>'總表'!BR5</f>
        <v/>
      </c>
      <c r="AG2" s="19">
        <f>'總表'!BS5</f>
        <v/>
      </c>
      <c r="AH2" s="19">
        <f>'總表'!BT5</f>
        <v/>
      </c>
      <c r="AI2" s="19">
        <f>'總表'!BU5</f>
        <v/>
      </c>
      <c r="AJ2" s="20">
        <f>'總表'!BV5</f>
        <v/>
      </c>
      <c r="AK2" s="5">
        <f>'總表'!B5</f>
        <v/>
      </c>
    </row>
    <row r="3">
      <c r="A3" s="5" t="n">
        <v>2</v>
      </c>
      <c r="B3" s="6" t="inlineStr">
        <is>
          <t>ANET</t>
        </is>
      </c>
      <c r="C3" s="5">
        <f>'總表'!D6</f>
        <v/>
      </c>
      <c r="D3" s="5">
        <f>'總表'!F6</f>
        <v/>
      </c>
      <c r="E3" s="5">
        <f>'總表'!G6</f>
        <v/>
      </c>
      <c r="F3" s="60">
        <f>'總表'!H6</f>
        <v/>
      </c>
      <c r="G3" s="61">
        <f>'總表'!J6</f>
        <v/>
      </c>
      <c r="H3" s="9">
        <f>'總表'!L6</f>
        <v/>
      </c>
      <c r="I3" s="61">
        <f>'總表'!R6</f>
        <v/>
      </c>
      <c r="J3" s="61">
        <f>'總表'!S6</f>
        <v/>
      </c>
      <c r="K3" s="9">
        <f>'總表'!W6</f>
        <v/>
      </c>
      <c r="L3" s="9">
        <f>'總表'!X6</f>
        <v/>
      </c>
      <c r="M3" s="9">
        <f>'總表'!U6</f>
        <v/>
      </c>
      <c r="N3" s="5">
        <f>'總表'!AE6</f>
        <v/>
      </c>
      <c r="O3" s="5">
        <f>'總表'!AJ6</f>
        <v/>
      </c>
      <c r="P3" s="5">
        <f>'總表'!AK6</f>
        <v/>
      </c>
      <c r="Q3" s="9">
        <f>'總表'!AS6</f>
        <v/>
      </c>
      <c r="R3" s="67">
        <f>'總表'!AT6</f>
        <v/>
      </c>
      <c r="S3" s="67">
        <f>'總表'!AU6</f>
        <v/>
      </c>
      <c r="T3" s="67">
        <f>'總表'!AV6</f>
        <v/>
      </c>
      <c r="U3" s="16">
        <f>'總表'!AW6</f>
        <v/>
      </c>
      <c r="V3" s="67">
        <f>'總表'!AX6</f>
        <v/>
      </c>
      <c r="W3" s="67">
        <f>'總表'!AY6</f>
        <v/>
      </c>
      <c r="X3" s="67">
        <f>'總表'!AZ6</f>
        <v/>
      </c>
      <c r="Y3" s="5">
        <f>'總表'!BA6</f>
        <v/>
      </c>
      <c r="Z3" s="5">
        <f>'總表'!BB6</f>
        <v/>
      </c>
      <c r="AA3" s="5">
        <f>'總表'!BC6</f>
        <v/>
      </c>
      <c r="AB3" s="5">
        <f>'總表'!BD6</f>
        <v/>
      </c>
      <c r="AC3" s="5">
        <f>'總表'!BE6</f>
        <v/>
      </c>
      <c r="AD3" s="11">
        <f>'總表'!BH6</f>
        <v/>
      </c>
      <c r="AE3" s="19">
        <f>'總表'!BP6</f>
        <v/>
      </c>
      <c r="AF3" s="19">
        <f>'總表'!BR6</f>
        <v/>
      </c>
      <c r="AG3" s="19">
        <f>'總表'!BS6</f>
        <v/>
      </c>
      <c r="AH3" s="19">
        <f>'總表'!BT6</f>
        <v/>
      </c>
      <c r="AI3" s="19">
        <f>'總表'!BU6</f>
        <v/>
      </c>
      <c r="AJ3" s="20">
        <f>'總表'!BV6</f>
        <v/>
      </c>
      <c r="AK3" s="5">
        <f>'總表'!B6</f>
        <v/>
      </c>
    </row>
    <row r="4">
      <c r="A4" s="5" t="n">
        <v>3</v>
      </c>
      <c r="B4" s="6" t="inlineStr">
        <is>
          <t>FTNT</t>
        </is>
      </c>
      <c r="C4" s="5">
        <f>'總表'!D7</f>
        <v/>
      </c>
      <c r="D4" s="5">
        <f>'總表'!F7</f>
        <v/>
      </c>
      <c r="E4" s="5">
        <f>'總表'!G7</f>
        <v/>
      </c>
      <c r="F4" s="60">
        <f>'總表'!H7</f>
        <v/>
      </c>
      <c r="G4" s="61">
        <f>'總表'!J7</f>
        <v/>
      </c>
      <c r="H4" s="9">
        <f>'總表'!L7</f>
        <v/>
      </c>
      <c r="I4" s="61">
        <f>'總表'!R7</f>
        <v/>
      </c>
      <c r="J4" s="61">
        <f>'總表'!S7</f>
        <v/>
      </c>
      <c r="K4" s="9">
        <f>'總表'!W7</f>
        <v/>
      </c>
      <c r="L4" s="9">
        <f>'總表'!X7</f>
        <v/>
      </c>
      <c r="M4" s="9">
        <f>'總表'!U7</f>
        <v/>
      </c>
      <c r="N4" s="5">
        <f>'總表'!AE7</f>
        <v/>
      </c>
      <c r="O4" s="5">
        <f>'總表'!AJ7</f>
        <v/>
      </c>
      <c r="P4" s="5">
        <f>'總表'!AK7</f>
        <v/>
      </c>
      <c r="Q4" s="9">
        <f>'總表'!AS7</f>
        <v/>
      </c>
      <c r="R4" s="67">
        <f>'總表'!AT7</f>
        <v/>
      </c>
      <c r="S4" s="67">
        <f>'總表'!AU7</f>
        <v/>
      </c>
      <c r="T4" s="67">
        <f>'總表'!AV7</f>
        <v/>
      </c>
      <c r="U4" s="16">
        <f>'總表'!AW7</f>
        <v/>
      </c>
      <c r="V4" s="67">
        <f>'總表'!AX7</f>
        <v/>
      </c>
      <c r="W4" s="67">
        <f>'總表'!AY7</f>
        <v/>
      </c>
      <c r="X4" s="67">
        <f>'總表'!AZ7</f>
        <v/>
      </c>
      <c r="Y4" s="5">
        <f>'總表'!BA7</f>
        <v/>
      </c>
      <c r="Z4" s="5">
        <f>'總表'!BB7</f>
        <v/>
      </c>
      <c r="AA4" s="5">
        <f>'總表'!BC7</f>
        <v/>
      </c>
      <c r="AB4" s="5">
        <f>'總表'!BD7</f>
        <v/>
      </c>
      <c r="AC4" s="5">
        <f>'總表'!BE7</f>
        <v/>
      </c>
      <c r="AD4" s="11">
        <f>'總表'!BH7</f>
        <v/>
      </c>
      <c r="AE4" s="19">
        <f>'總表'!BP7</f>
        <v/>
      </c>
      <c r="AF4" s="19">
        <f>'總表'!BR7</f>
        <v/>
      </c>
      <c r="AG4" s="19">
        <f>'總表'!BS7</f>
        <v/>
      </c>
      <c r="AH4" s="19">
        <f>'總表'!BT7</f>
        <v/>
      </c>
      <c r="AI4" s="19">
        <f>'總表'!BU7</f>
        <v/>
      </c>
      <c r="AJ4" s="20">
        <f>'總表'!BV7</f>
        <v/>
      </c>
      <c r="AK4" s="5">
        <f>'總表'!B7</f>
        <v/>
      </c>
    </row>
    <row r="5">
      <c r="A5" s="5" t="n">
        <v>4</v>
      </c>
      <c r="B5" s="6" t="inlineStr">
        <is>
          <t>PANW</t>
        </is>
      </c>
      <c r="C5" s="5">
        <f>'總表'!D8</f>
        <v/>
      </c>
      <c r="D5" s="5">
        <f>'總表'!F8</f>
        <v/>
      </c>
      <c r="E5" s="5">
        <f>'總表'!G8</f>
        <v/>
      </c>
      <c r="F5" s="60">
        <f>'總表'!H8</f>
        <v/>
      </c>
      <c r="G5" s="61">
        <f>'總表'!J8</f>
        <v/>
      </c>
      <c r="H5" s="9">
        <f>'總表'!L8</f>
        <v/>
      </c>
      <c r="I5" s="61">
        <f>'總表'!R8</f>
        <v/>
      </c>
      <c r="J5" s="61">
        <f>'總表'!S8</f>
        <v/>
      </c>
      <c r="K5" s="9">
        <f>'總表'!W8</f>
        <v/>
      </c>
      <c r="L5" s="9">
        <f>'總表'!X8</f>
        <v/>
      </c>
      <c r="M5" s="9">
        <f>'總表'!U8</f>
        <v/>
      </c>
      <c r="N5" s="5">
        <f>'總表'!AE8</f>
        <v/>
      </c>
      <c r="O5" s="5">
        <f>'總表'!AJ8</f>
        <v/>
      </c>
      <c r="P5" s="5">
        <f>'總表'!AK8</f>
        <v/>
      </c>
      <c r="Q5" s="9">
        <f>'總表'!AS8</f>
        <v/>
      </c>
      <c r="R5" s="67">
        <f>'總表'!AT8</f>
        <v/>
      </c>
      <c r="S5" s="67">
        <f>'總表'!AU8</f>
        <v/>
      </c>
      <c r="T5" s="67">
        <f>'總表'!AV8</f>
        <v/>
      </c>
      <c r="U5" s="16">
        <f>'總表'!AW8</f>
        <v/>
      </c>
      <c r="V5" s="67">
        <f>'總表'!AX8</f>
        <v/>
      </c>
      <c r="W5" s="67">
        <f>'總表'!AY8</f>
        <v/>
      </c>
      <c r="X5" s="67">
        <f>'總表'!AZ8</f>
        <v/>
      </c>
      <c r="Y5" s="5">
        <f>'總表'!BA8</f>
        <v/>
      </c>
      <c r="Z5" s="5">
        <f>'總表'!BB8</f>
        <v/>
      </c>
      <c r="AA5" s="5">
        <f>'總表'!BC8</f>
        <v/>
      </c>
      <c r="AB5" s="5">
        <f>'總表'!BD8</f>
        <v/>
      </c>
      <c r="AC5" s="5">
        <f>'總表'!BE8</f>
        <v/>
      </c>
      <c r="AD5" s="11">
        <f>'總表'!BH8</f>
        <v/>
      </c>
      <c r="AE5" s="19">
        <f>'總表'!BP8</f>
        <v/>
      </c>
      <c r="AF5" s="19">
        <f>'總表'!BR8</f>
        <v/>
      </c>
      <c r="AG5" s="19">
        <f>'總表'!BS8</f>
        <v/>
      </c>
      <c r="AH5" s="19">
        <f>'總表'!BT8</f>
        <v/>
      </c>
      <c r="AI5" s="19">
        <f>'總表'!BU8</f>
        <v/>
      </c>
      <c r="AJ5" s="20">
        <f>'總表'!BV8</f>
        <v/>
      </c>
      <c r="AK5" s="5">
        <f>'總表'!B8</f>
        <v/>
      </c>
    </row>
    <row r="6">
      <c r="A6" s="5" t="n">
        <v>5</v>
      </c>
      <c r="B6" s="6" t="inlineStr">
        <is>
          <t>NVDA</t>
        </is>
      </c>
      <c r="C6" s="5">
        <f>'總表'!D14</f>
        <v/>
      </c>
      <c r="D6" s="5">
        <f>'總表'!F14</f>
        <v/>
      </c>
      <c r="E6" s="5">
        <f>'總表'!G14</f>
        <v/>
      </c>
      <c r="F6" s="60">
        <f>'總表'!H14</f>
        <v/>
      </c>
      <c r="G6" s="61">
        <f>'總表'!J14</f>
        <v/>
      </c>
      <c r="H6" s="9">
        <f>'總表'!L14</f>
        <v/>
      </c>
      <c r="I6" s="61">
        <f>'總表'!R14</f>
        <v/>
      </c>
      <c r="J6" s="61">
        <f>'總表'!S14</f>
        <v/>
      </c>
      <c r="K6" s="9">
        <f>'總表'!W14</f>
        <v/>
      </c>
      <c r="L6" s="9">
        <f>'總表'!X14</f>
        <v/>
      </c>
      <c r="M6" s="9">
        <f>'總表'!U14</f>
        <v/>
      </c>
      <c r="N6" s="5">
        <f>'總表'!AE14</f>
        <v/>
      </c>
      <c r="O6" s="5">
        <f>'總表'!AJ14</f>
        <v/>
      </c>
      <c r="P6" s="5">
        <f>'總表'!AK14</f>
        <v/>
      </c>
      <c r="Q6" s="9">
        <f>'總表'!AS14</f>
        <v/>
      </c>
      <c r="R6" s="67">
        <f>'總表'!AT14</f>
        <v/>
      </c>
      <c r="S6" s="67">
        <f>'總表'!AU14</f>
        <v/>
      </c>
      <c r="T6" s="67">
        <f>'總表'!AV14</f>
        <v/>
      </c>
      <c r="U6" s="16">
        <f>'總表'!AW14</f>
        <v/>
      </c>
      <c r="V6" s="67">
        <f>'總表'!AX14</f>
        <v/>
      </c>
      <c r="W6" s="67">
        <f>'總表'!AY14</f>
        <v/>
      </c>
      <c r="X6" s="67">
        <f>'總表'!AZ14</f>
        <v/>
      </c>
      <c r="Y6" s="5">
        <f>'總表'!BA14</f>
        <v/>
      </c>
      <c r="Z6" s="5">
        <f>'總表'!BB14</f>
        <v/>
      </c>
      <c r="AA6" s="5">
        <f>'總表'!BC14</f>
        <v/>
      </c>
      <c r="AB6" s="5">
        <f>'總表'!BD14</f>
        <v/>
      </c>
      <c r="AC6" s="5">
        <f>'總表'!BE14</f>
        <v/>
      </c>
      <c r="AD6" s="11">
        <f>'總表'!BH14</f>
        <v/>
      </c>
      <c r="AE6" s="19">
        <f>'總表'!BP14</f>
        <v/>
      </c>
      <c r="AF6" s="19">
        <f>'總表'!BR14</f>
        <v/>
      </c>
      <c r="AG6" s="19">
        <f>'總表'!BS14</f>
        <v/>
      </c>
      <c r="AH6" s="19">
        <f>'總表'!BT14</f>
        <v/>
      </c>
      <c r="AI6" s="19">
        <f>'總表'!BU14</f>
        <v/>
      </c>
      <c r="AJ6" s="20">
        <f>'總表'!BV14</f>
        <v/>
      </c>
      <c r="AK6" s="5">
        <f>'總表'!B14</f>
        <v/>
      </c>
    </row>
    <row r="7">
      <c r="A7" s="5" t="n">
        <v>6</v>
      </c>
      <c r="B7" s="6" t="inlineStr">
        <is>
          <t>FAST</t>
        </is>
      </c>
      <c r="C7" s="5">
        <f>'總表'!D19</f>
        <v/>
      </c>
      <c r="D7" s="5">
        <f>'總表'!F19</f>
        <v/>
      </c>
      <c r="E7" s="5">
        <f>'總表'!G19</f>
        <v/>
      </c>
      <c r="F7" s="60">
        <f>'總表'!H19</f>
        <v/>
      </c>
      <c r="G7" s="61">
        <f>'總表'!J19</f>
        <v/>
      </c>
      <c r="H7" s="9">
        <f>'總表'!L19</f>
        <v/>
      </c>
      <c r="I7" s="61">
        <f>'總表'!R19</f>
        <v/>
      </c>
      <c r="J7" s="61">
        <f>'總表'!S19</f>
        <v/>
      </c>
      <c r="K7" s="9">
        <f>'總表'!W19</f>
        <v/>
      </c>
      <c r="L7" s="9">
        <f>'總表'!X19</f>
        <v/>
      </c>
      <c r="M7" s="9">
        <f>'總表'!U19</f>
        <v/>
      </c>
      <c r="N7" s="5">
        <f>'總表'!AE19</f>
        <v/>
      </c>
      <c r="O7" s="5">
        <f>'總表'!AJ19</f>
        <v/>
      </c>
      <c r="P7" s="5">
        <f>'總表'!AK19</f>
        <v/>
      </c>
      <c r="Q7" s="9">
        <f>'總表'!AS19</f>
        <v/>
      </c>
      <c r="R7" s="67">
        <f>'總表'!AT19</f>
        <v/>
      </c>
      <c r="S7" s="67">
        <f>'總表'!AU19</f>
        <v/>
      </c>
      <c r="T7" s="67">
        <f>'總表'!AV19</f>
        <v/>
      </c>
      <c r="U7" s="16">
        <f>'總表'!AW19</f>
        <v/>
      </c>
      <c r="V7" s="67">
        <f>'總表'!AX19</f>
        <v/>
      </c>
      <c r="W7" s="67">
        <f>'總表'!AY19</f>
        <v/>
      </c>
      <c r="X7" s="67">
        <f>'總表'!AZ19</f>
        <v/>
      </c>
      <c r="Y7" s="5">
        <f>'總表'!BA19</f>
        <v/>
      </c>
      <c r="Z7" s="5">
        <f>'總表'!BB19</f>
        <v/>
      </c>
      <c r="AA7" s="5">
        <f>'總表'!BC19</f>
        <v/>
      </c>
      <c r="AB7" s="5">
        <f>'總表'!BD19</f>
        <v/>
      </c>
      <c r="AC7" s="5">
        <f>'總表'!BE19</f>
        <v/>
      </c>
      <c r="AD7" s="11">
        <f>'總表'!BH19</f>
        <v/>
      </c>
      <c r="AE7" s="19">
        <f>'總表'!BP19</f>
        <v/>
      </c>
      <c r="AF7" s="19">
        <f>'總表'!BR19</f>
        <v/>
      </c>
      <c r="AG7" s="19">
        <f>'總表'!BS19</f>
        <v/>
      </c>
      <c r="AH7" s="19">
        <f>'總表'!BT19</f>
        <v/>
      </c>
      <c r="AI7" s="19">
        <f>'總表'!BU19</f>
        <v/>
      </c>
      <c r="AJ7" s="20">
        <f>'總表'!BV19</f>
        <v/>
      </c>
      <c r="AK7" s="5">
        <f>'總表'!B19</f>
        <v/>
      </c>
    </row>
    <row r="8">
      <c r="A8" s="5" t="n">
        <v>7</v>
      </c>
      <c r="B8" s="6" t="inlineStr">
        <is>
          <t>STRL</t>
        </is>
      </c>
      <c r="C8" s="5">
        <f>'總表'!D20</f>
        <v/>
      </c>
      <c r="D8" s="5">
        <f>'總表'!F20</f>
        <v/>
      </c>
      <c r="E8" s="5">
        <f>'總表'!G20</f>
        <v/>
      </c>
      <c r="F8" s="60">
        <f>'總表'!H20</f>
        <v/>
      </c>
      <c r="G8" s="61">
        <f>'總表'!J20</f>
        <v/>
      </c>
      <c r="H8" s="9">
        <f>'總表'!L20</f>
        <v/>
      </c>
      <c r="I8" s="61">
        <f>'總表'!R20</f>
        <v/>
      </c>
      <c r="J8" s="61">
        <f>'總表'!S20</f>
        <v/>
      </c>
      <c r="K8" s="9">
        <f>'總表'!W20</f>
        <v/>
      </c>
      <c r="L8" s="9">
        <f>'總表'!X20</f>
        <v/>
      </c>
      <c r="M8" s="9">
        <f>'總表'!U20</f>
        <v/>
      </c>
      <c r="N8" s="21">
        <f>'總表'!AE20</f>
        <v/>
      </c>
      <c r="O8" s="5">
        <f>'總表'!AJ20</f>
        <v/>
      </c>
      <c r="P8" s="5">
        <f>'總表'!AK20</f>
        <v/>
      </c>
      <c r="Q8" s="9">
        <f>'總表'!AS20</f>
        <v/>
      </c>
      <c r="R8" s="67">
        <f>'總表'!AT20</f>
        <v/>
      </c>
      <c r="S8" s="67">
        <f>'總表'!AU20</f>
        <v/>
      </c>
      <c r="T8" s="67">
        <f>'總表'!AV20</f>
        <v/>
      </c>
      <c r="U8" s="16">
        <f>'總表'!AW20</f>
        <v/>
      </c>
      <c r="V8" s="67">
        <f>'總表'!AX20</f>
        <v/>
      </c>
      <c r="W8" s="67">
        <f>'總表'!AY20</f>
        <v/>
      </c>
      <c r="X8" s="67">
        <f>'總表'!AZ20</f>
        <v/>
      </c>
      <c r="Y8" s="5">
        <f>'總表'!BA20</f>
        <v/>
      </c>
      <c r="Z8" s="5">
        <f>'總表'!BB20</f>
        <v/>
      </c>
      <c r="AA8" s="5">
        <f>'總表'!BC20</f>
        <v/>
      </c>
      <c r="AB8" s="5">
        <f>'總表'!BD20</f>
        <v/>
      </c>
      <c r="AC8" s="5">
        <f>'總表'!BE20</f>
        <v/>
      </c>
      <c r="AD8" s="11">
        <f>'總表'!BH20</f>
        <v/>
      </c>
      <c r="AE8" s="19">
        <f>'總表'!BP20</f>
        <v/>
      </c>
      <c r="AF8" s="19">
        <f>'總表'!BR20</f>
        <v/>
      </c>
      <c r="AG8" s="19">
        <f>'總表'!BS20</f>
        <v/>
      </c>
      <c r="AH8" s="19">
        <f>'總表'!BT20</f>
        <v/>
      </c>
      <c r="AI8" s="19">
        <f>'總表'!BU20</f>
        <v/>
      </c>
      <c r="AJ8" s="20">
        <f>'總表'!BV20</f>
        <v/>
      </c>
      <c r="AK8" s="5">
        <f>'總表'!B20</f>
        <v/>
      </c>
    </row>
    <row r="9">
      <c r="A9" s="5" t="n">
        <v>8</v>
      </c>
      <c r="B9" s="6" t="inlineStr">
        <is>
          <t>GSAT</t>
        </is>
      </c>
      <c r="C9" s="5">
        <f>'總表'!D22</f>
        <v/>
      </c>
      <c r="D9" s="5">
        <f>'總表'!F22</f>
        <v/>
      </c>
      <c r="E9" s="5">
        <f>'總表'!G22</f>
        <v/>
      </c>
      <c r="F9" s="60">
        <f>'總表'!H22</f>
        <v/>
      </c>
      <c r="G9" s="61">
        <f>'總表'!J22</f>
        <v/>
      </c>
      <c r="H9" s="9">
        <f>'總表'!L22</f>
        <v/>
      </c>
      <c r="I9" s="61">
        <f>'總表'!R22</f>
        <v/>
      </c>
      <c r="J9" s="61">
        <f>'總表'!S22</f>
        <v/>
      </c>
      <c r="K9" s="9">
        <f>'總表'!W22</f>
        <v/>
      </c>
      <c r="L9" s="9">
        <f>'總表'!X22</f>
        <v/>
      </c>
      <c r="M9" s="9">
        <f>'總表'!U22</f>
        <v/>
      </c>
      <c r="N9" s="5">
        <f>'總表'!AE22</f>
        <v/>
      </c>
      <c r="O9" s="5">
        <f>'總表'!AJ22</f>
        <v/>
      </c>
      <c r="P9" s="5">
        <f>'總表'!AK22</f>
        <v/>
      </c>
      <c r="Q9" s="9">
        <f>'總表'!AS22</f>
        <v/>
      </c>
      <c r="R9" s="67">
        <f>'總表'!AT22</f>
        <v/>
      </c>
      <c r="S9" s="67">
        <f>'總表'!AU22</f>
        <v/>
      </c>
      <c r="T9" s="67">
        <f>'總表'!AV22</f>
        <v/>
      </c>
      <c r="U9" s="16">
        <f>'總表'!AW22</f>
        <v/>
      </c>
      <c r="V9" s="67">
        <f>'總表'!AX22</f>
        <v/>
      </c>
      <c r="W9" s="67">
        <f>'總表'!AY22</f>
        <v/>
      </c>
      <c r="X9" s="67">
        <f>'總表'!AZ22</f>
        <v/>
      </c>
      <c r="Y9" s="5">
        <f>'總表'!BA22</f>
        <v/>
      </c>
      <c r="Z9" s="5">
        <f>'總表'!BB22</f>
        <v/>
      </c>
      <c r="AA9" s="5">
        <f>'總表'!BC22</f>
        <v/>
      </c>
      <c r="AB9" s="5">
        <f>'總表'!BD22</f>
        <v/>
      </c>
      <c r="AC9" s="5">
        <f>'總表'!BE22</f>
        <v/>
      </c>
      <c r="AD9" s="11">
        <f>'總表'!BH22</f>
        <v/>
      </c>
      <c r="AE9" s="19">
        <f>'總表'!BP22</f>
        <v/>
      </c>
      <c r="AF9" s="19">
        <f>'總表'!BR22</f>
        <v/>
      </c>
      <c r="AG9" s="19">
        <f>'總表'!BS22</f>
        <v/>
      </c>
      <c r="AH9" s="19">
        <f>'總表'!BT22</f>
        <v/>
      </c>
      <c r="AI9" s="19">
        <f>'總表'!BU22</f>
        <v/>
      </c>
      <c r="AJ9" s="20">
        <f>'總表'!BV22</f>
        <v/>
      </c>
      <c r="AK9" s="5">
        <f>'總表'!B22</f>
        <v/>
      </c>
    </row>
    <row r="10">
      <c r="A10" s="5" t="n">
        <v>9</v>
      </c>
      <c r="B10" s="6" t="inlineStr">
        <is>
          <t>BJ</t>
        </is>
      </c>
      <c r="C10" s="5">
        <f>'總表'!D27</f>
        <v/>
      </c>
      <c r="D10" s="5">
        <f>'總表'!F27</f>
        <v/>
      </c>
      <c r="E10" s="5">
        <f>'總表'!G27</f>
        <v/>
      </c>
      <c r="F10" s="60">
        <f>'總表'!H27</f>
        <v/>
      </c>
      <c r="G10" s="61">
        <f>'總表'!J27</f>
        <v/>
      </c>
      <c r="H10" s="9">
        <f>'總表'!L27</f>
        <v/>
      </c>
      <c r="I10" s="61">
        <f>'總表'!R27</f>
        <v/>
      </c>
      <c r="J10" s="61">
        <f>'總表'!S27</f>
        <v/>
      </c>
      <c r="K10" s="9">
        <f>'總表'!W27</f>
        <v/>
      </c>
      <c r="L10" s="9">
        <f>'總表'!X27</f>
        <v/>
      </c>
      <c r="M10" s="9">
        <f>'總表'!U27</f>
        <v/>
      </c>
      <c r="N10" s="21">
        <f>'總表'!AE27</f>
        <v/>
      </c>
      <c r="O10" s="5">
        <f>'總表'!AJ27</f>
        <v/>
      </c>
      <c r="P10" s="5">
        <f>'總表'!AK27</f>
        <v/>
      </c>
      <c r="Q10" s="9">
        <f>'總表'!AS27</f>
        <v/>
      </c>
      <c r="R10" s="67">
        <f>'總表'!AT27</f>
        <v/>
      </c>
      <c r="S10" s="67">
        <f>'總表'!AU27</f>
        <v/>
      </c>
      <c r="T10" s="67">
        <f>'總表'!AV27</f>
        <v/>
      </c>
      <c r="U10" s="16">
        <f>'總表'!AW27</f>
        <v/>
      </c>
      <c r="V10" s="67">
        <f>'總表'!AX27</f>
        <v/>
      </c>
      <c r="W10" s="67">
        <f>'總表'!AY27</f>
        <v/>
      </c>
      <c r="X10" s="67">
        <f>'總表'!AZ27</f>
        <v/>
      </c>
      <c r="Y10" s="5">
        <f>'總表'!BA27</f>
        <v/>
      </c>
      <c r="Z10" s="5">
        <f>'總表'!BB27</f>
        <v/>
      </c>
      <c r="AA10" s="5">
        <f>'總表'!BC27</f>
        <v/>
      </c>
      <c r="AB10" s="5">
        <f>'總表'!BD27</f>
        <v/>
      </c>
      <c r="AC10" s="5">
        <f>'總表'!BE27</f>
        <v/>
      </c>
      <c r="AD10" s="11">
        <f>'總表'!BH27</f>
        <v/>
      </c>
      <c r="AE10" s="19">
        <f>'總表'!BP27</f>
        <v/>
      </c>
      <c r="AF10" s="19">
        <f>'總表'!BR27</f>
        <v/>
      </c>
      <c r="AG10" s="19">
        <f>'總表'!BS27</f>
        <v/>
      </c>
      <c r="AH10" s="19">
        <f>'總表'!BT27</f>
        <v/>
      </c>
      <c r="AI10" s="19">
        <f>'總表'!BU27</f>
        <v/>
      </c>
      <c r="AJ10" s="20">
        <f>'總表'!BV27</f>
        <v/>
      </c>
      <c r="AK10" s="5">
        <f>'總表'!B27</f>
        <v/>
      </c>
    </row>
    <row r="12">
      <c r="A12" s="66" t="inlineStr">
        <is>
          <t>大型股（市值 ≥ $100 億）：第一梯隊入面屬呢個市值組嘅股票，每格都係引用總表同一行，改總表會跟住變。</t>
        </is>
      </c>
    </row>
  </sheetData>
  <autoFilter ref="A1:AK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6" customWidth="1" min="25" max="25"/>
    <col width="9" customWidth="1" min="26" max="26"/>
    <col width="6" customWidth="1" min="27" max="27"/>
    <col width="26" customWidth="1" min="28" max="28"/>
    <col width="13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6" customWidth="1" min="37" max="37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MACD</t>
        </is>
      </c>
      <c r="S1" s="4" t="inlineStr">
        <is>
          <t>MACD慢線</t>
        </is>
      </c>
      <c r="T1" s="4" t="inlineStr">
        <is>
          <t>慢線（前日）</t>
        </is>
      </c>
      <c r="U1" s="4" t="inlineStr">
        <is>
          <t>慢線斜率</t>
        </is>
      </c>
      <c r="V1" s="4" t="inlineStr">
        <is>
          <t>柱（今日）</t>
        </is>
      </c>
      <c r="W1" s="4" t="inlineStr">
        <is>
          <t>柱（前日）</t>
        </is>
      </c>
      <c r="X1" s="4" t="inlineStr">
        <is>
          <t>柱（前2日）</t>
        </is>
      </c>
      <c r="Y1" s="4" t="inlineStr">
        <is>
          <t>柱顏色</t>
        </is>
      </c>
      <c r="Z1" s="4" t="inlineStr">
        <is>
          <t>柱轉勢</t>
        </is>
      </c>
      <c r="AA1" s="4" t="inlineStr">
        <is>
          <t>轉勢幾日前</t>
        </is>
      </c>
      <c r="AB1" s="4" t="inlineStr">
        <is>
          <t>柱顏色序列（舊→新）</t>
        </is>
      </c>
      <c r="AC1" s="4" t="inlineStr">
        <is>
          <t>形態（25日）</t>
        </is>
      </c>
      <c r="AD1" s="4" t="inlineStr">
        <is>
          <t>重心</t>
        </is>
      </c>
      <c r="AE1" s="4" t="inlineStr">
        <is>
          <t>RS21%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總表排名</t>
        </is>
      </c>
    </row>
    <row r="2">
      <c r="A2" s="5" t="n">
        <v>1</v>
      </c>
      <c r="B2" s="6" t="inlineStr">
        <is>
          <t>SEI</t>
        </is>
      </c>
      <c r="C2" s="5">
        <f>'總表'!D3</f>
        <v/>
      </c>
      <c r="D2" s="5">
        <f>'總表'!F3</f>
        <v/>
      </c>
      <c r="E2" s="5">
        <f>'總表'!G3</f>
        <v/>
      </c>
      <c r="F2" s="60">
        <f>'總表'!H3</f>
        <v/>
      </c>
      <c r="G2" s="61">
        <f>'總表'!J3</f>
        <v/>
      </c>
      <c r="H2" s="9">
        <f>'總表'!L3</f>
        <v/>
      </c>
      <c r="I2" s="61">
        <f>'總表'!R3</f>
        <v/>
      </c>
      <c r="J2" s="61">
        <f>'總表'!S3</f>
        <v/>
      </c>
      <c r="K2" s="9">
        <f>'總表'!W3</f>
        <v/>
      </c>
      <c r="L2" s="9">
        <f>'總表'!X3</f>
        <v/>
      </c>
      <c r="M2" s="9">
        <f>'總表'!U3</f>
        <v/>
      </c>
      <c r="N2" s="5">
        <f>'總表'!AE3</f>
        <v/>
      </c>
      <c r="O2" s="5">
        <f>'總表'!AJ3</f>
        <v/>
      </c>
      <c r="P2" s="5">
        <f>'總表'!AK3</f>
        <v/>
      </c>
      <c r="Q2" s="9">
        <f>'總表'!AS3</f>
        <v/>
      </c>
      <c r="R2" s="67">
        <f>'總表'!AT3</f>
        <v/>
      </c>
      <c r="S2" s="67">
        <f>'總表'!AU3</f>
        <v/>
      </c>
      <c r="T2" s="67">
        <f>'總表'!AV3</f>
        <v/>
      </c>
      <c r="U2" s="16">
        <f>'總表'!AW3</f>
        <v/>
      </c>
      <c r="V2" s="67">
        <f>'總表'!AX3</f>
        <v/>
      </c>
      <c r="W2" s="67">
        <f>'總表'!AY3</f>
        <v/>
      </c>
      <c r="X2" s="67">
        <f>'總表'!AZ3</f>
        <v/>
      </c>
      <c r="Y2" s="5">
        <f>'總表'!BA3</f>
        <v/>
      </c>
      <c r="Z2" s="5">
        <f>'總表'!BB3</f>
        <v/>
      </c>
      <c r="AA2" s="5">
        <f>'總表'!BC3</f>
        <v/>
      </c>
      <c r="AB2" s="5">
        <f>'總表'!BD3</f>
        <v/>
      </c>
      <c r="AC2" s="5">
        <f>'總表'!BE3</f>
        <v/>
      </c>
      <c r="AD2" s="11">
        <f>'總表'!BH3</f>
        <v/>
      </c>
      <c r="AE2" s="19">
        <f>'總表'!BP3</f>
        <v/>
      </c>
      <c r="AF2" s="19">
        <f>'總表'!BR3</f>
        <v/>
      </c>
      <c r="AG2" s="19">
        <f>'總表'!BS3</f>
        <v/>
      </c>
      <c r="AH2" s="19">
        <f>'總表'!BT3</f>
        <v/>
      </c>
      <c r="AI2" s="19">
        <f>'總表'!BU3</f>
        <v/>
      </c>
      <c r="AJ2" s="20">
        <f>'總表'!BV3</f>
        <v/>
      </c>
      <c r="AK2" s="5">
        <f>'總表'!B3</f>
        <v/>
      </c>
    </row>
    <row r="3">
      <c r="A3" s="5" t="n">
        <v>2</v>
      </c>
      <c r="B3" s="6" t="inlineStr">
        <is>
          <t>NEU</t>
        </is>
      </c>
      <c r="C3" s="5">
        <f>'總表'!D9</f>
        <v/>
      </c>
      <c r="D3" s="5">
        <f>'總表'!F9</f>
        <v/>
      </c>
      <c r="E3" s="5">
        <f>'總表'!G9</f>
        <v/>
      </c>
      <c r="F3" s="60">
        <f>'總表'!H9</f>
        <v/>
      </c>
      <c r="G3" s="61">
        <f>'總表'!J9</f>
        <v/>
      </c>
      <c r="H3" s="9">
        <f>'總表'!L9</f>
        <v/>
      </c>
      <c r="I3" s="61">
        <f>'總表'!R9</f>
        <v/>
      </c>
      <c r="J3" s="61">
        <f>'總表'!S9</f>
        <v/>
      </c>
      <c r="K3" s="9">
        <f>'總表'!W9</f>
        <v/>
      </c>
      <c r="L3" s="9">
        <f>'總表'!X9</f>
        <v/>
      </c>
      <c r="M3" s="9">
        <f>'總表'!U9</f>
        <v/>
      </c>
      <c r="N3" s="21">
        <f>'總表'!AE9</f>
        <v/>
      </c>
      <c r="O3" s="5">
        <f>'總表'!AJ9</f>
        <v/>
      </c>
      <c r="P3" s="5">
        <f>'總表'!AK9</f>
        <v/>
      </c>
      <c r="Q3" s="9">
        <f>'總表'!AS9</f>
        <v/>
      </c>
      <c r="R3" s="67">
        <f>'總表'!AT9</f>
        <v/>
      </c>
      <c r="S3" s="67">
        <f>'總表'!AU9</f>
        <v/>
      </c>
      <c r="T3" s="67">
        <f>'總表'!AV9</f>
        <v/>
      </c>
      <c r="U3" s="16">
        <f>'總表'!AW9</f>
        <v/>
      </c>
      <c r="V3" s="67">
        <f>'總表'!AX9</f>
        <v/>
      </c>
      <c r="W3" s="67">
        <f>'總表'!AY9</f>
        <v/>
      </c>
      <c r="X3" s="67">
        <f>'總表'!AZ9</f>
        <v/>
      </c>
      <c r="Y3" s="5">
        <f>'總表'!BA9</f>
        <v/>
      </c>
      <c r="Z3" s="5">
        <f>'總表'!BB9</f>
        <v/>
      </c>
      <c r="AA3" s="5">
        <f>'總表'!BC9</f>
        <v/>
      </c>
      <c r="AB3" s="5">
        <f>'總表'!BD9</f>
        <v/>
      </c>
      <c r="AC3" s="5">
        <f>'總表'!BE9</f>
        <v/>
      </c>
      <c r="AD3" s="11">
        <f>'總表'!BH9</f>
        <v/>
      </c>
      <c r="AE3" s="19">
        <f>'總表'!BP9</f>
        <v/>
      </c>
      <c r="AF3" s="19">
        <f>'總表'!BR9</f>
        <v/>
      </c>
      <c r="AG3" s="19">
        <f>'總表'!BS9</f>
        <v/>
      </c>
      <c r="AH3" s="19">
        <f>'總表'!BT9</f>
        <v/>
      </c>
      <c r="AI3" s="19">
        <f>'總表'!BU9</f>
        <v/>
      </c>
      <c r="AJ3" s="20">
        <f>'總表'!BV9</f>
        <v/>
      </c>
      <c r="AK3" s="5">
        <f>'總表'!B9</f>
        <v/>
      </c>
    </row>
    <row r="4">
      <c r="A4" s="5" t="n">
        <v>3</v>
      </c>
      <c r="B4" s="6" t="inlineStr">
        <is>
          <t>HNGE</t>
        </is>
      </c>
      <c r="C4" s="5">
        <f>'總表'!D10</f>
        <v/>
      </c>
      <c r="D4" s="5">
        <f>'總表'!F10</f>
        <v/>
      </c>
      <c r="E4" s="5">
        <f>'總表'!G10</f>
        <v/>
      </c>
      <c r="F4" s="60">
        <f>'總表'!H10</f>
        <v/>
      </c>
      <c r="G4" s="61">
        <f>'總表'!J10</f>
        <v/>
      </c>
      <c r="H4" s="9">
        <f>'總表'!L10</f>
        <v/>
      </c>
      <c r="I4" s="61">
        <f>'總表'!R10</f>
        <v/>
      </c>
      <c r="J4" s="61">
        <f>'總表'!S10</f>
        <v/>
      </c>
      <c r="K4" s="9">
        <f>'總表'!W10</f>
        <v/>
      </c>
      <c r="L4" s="9">
        <f>'總表'!X10</f>
        <v/>
      </c>
      <c r="M4" s="9">
        <f>'總表'!U10</f>
        <v/>
      </c>
      <c r="N4" s="5">
        <f>'總表'!AE10</f>
        <v/>
      </c>
      <c r="O4" s="5">
        <f>'總表'!AJ10</f>
        <v/>
      </c>
      <c r="P4" s="5">
        <f>'總表'!AK10</f>
        <v/>
      </c>
      <c r="Q4" s="9">
        <f>'總表'!AS10</f>
        <v/>
      </c>
      <c r="R4" s="67">
        <f>'總表'!AT10</f>
        <v/>
      </c>
      <c r="S4" s="67">
        <f>'總表'!AU10</f>
        <v/>
      </c>
      <c r="T4" s="67">
        <f>'總表'!AV10</f>
        <v/>
      </c>
      <c r="U4" s="16">
        <f>'總表'!AW10</f>
        <v/>
      </c>
      <c r="V4" s="67">
        <f>'總表'!AX10</f>
        <v/>
      </c>
      <c r="W4" s="67">
        <f>'總表'!AY10</f>
        <v/>
      </c>
      <c r="X4" s="67">
        <f>'總表'!AZ10</f>
        <v/>
      </c>
      <c r="Y4" s="5">
        <f>'總表'!BA10</f>
        <v/>
      </c>
      <c r="Z4" s="5">
        <f>'總表'!BB10</f>
        <v/>
      </c>
      <c r="AA4" s="5">
        <f>'總表'!BC10</f>
        <v/>
      </c>
      <c r="AB4" s="5">
        <f>'總表'!BD10</f>
        <v/>
      </c>
      <c r="AC4" s="5">
        <f>'總表'!BE10</f>
        <v/>
      </c>
      <c r="AD4" s="11">
        <f>'總表'!BH10</f>
        <v/>
      </c>
      <c r="AE4" s="19">
        <f>'總表'!BP10</f>
        <v/>
      </c>
      <c r="AF4" s="19">
        <f>'總表'!BR10</f>
        <v/>
      </c>
      <c r="AG4" s="19">
        <f>'總表'!BS10</f>
        <v/>
      </c>
      <c r="AH4" s="19">
        <f>'總表'!BT10</f>
        <v/>
      </c>
      <c r="AI4" s="19">
        <f>'總表'!BU10</f>
        <v/>
      </c>
      <c r="AJ4" s="20">
        <f>'總表'!BV10</f>
        <v/>
      </c>
      <c r="AK4" s="5">
        <f>'總表'!B10</f>
        <v/>
      </c>
    </row>
    <row r="5">
      <c r="A5" s="5" t="n">
        <v>4</v>
      </c>
      <c r="B5" s="6" t="inlineStr">
        <is>
          <t>QLYS</t>
        </is>
      </c>
      <c r="C5" s="5">
        <f>'總表'!D11</f>
        <v/>
      </c>
      <c r="D5" s="5">
        <f>'總表'!F11</f>
        <v/>
      </c>
      <c r="E5" s="5">
        <f>'總表'!G11</f>
        <v/>
      </c>
      <c r="F5" s="60">
        <f>'總表'!H11</f>
        <v/>
      </c>
      <c r="G5" s="61">
        <f>'總表'!J11</f>
        <v/>
      </c>
      <c r="H5" s="9">
        <f>'總表'!L11</f>
        <v/>
      </c>
      <c r="I5" s="61">
        <f>'總表'!R11</f>
        <v/>
      </c>
      <c r="J5" s="61">
        <f>'總表'!S11</f>
        <v/>
      </c>
      <c r="K5" s="9">
        <f>'總表'!W11</f>
        <v/>
      </c>
      <c r="L5" s="9">
        <f>'總表'!X11</f>
        <v/>
      </c>
      <c r="M5" s="9">
        <f>'總表'!U11</f>
        <v/>
      </c>
      <c r="N5" s="5">
        <f>'總表'!AE11</f>
        <v/>
      </c>
      <c r="O5" s="5">
        <f>'總表'!AJ11</f>
        <v/>
      </c>
      <c r="P5" s="5">
        <f>'總表'!AK11</f>
        <v/>
      </c>
      <c r="Q5" s="9">
        <f>'總表'!AS11</f>
        <v/>
      </c>
      <c r="R5" s="67">
        <f>'總表'!AT11</f>
        <v/>
      </c>
      <c r="S5" s="67">
        <f>'總表'!AU11</f>
        <v/>
      </c>
      <c r="T5" s="67">
        <f>'總表'!AV11</f>
        <v/>
      </c>
      <c r="U5" s="16">
        <f>'總表'!AW11</f>
        <v/>
      </c>
      <c r="V5" s="67">
        <f>'總表'!AX11</f>
        <v/>
      </c>
      <c r="W5" s="67">
        <f>'總表'!AY11</f>
        <v/>
      </c>
      <c r="X5" s="67">
        <f>'總表'!AZ11</f>
        <v/>
      </c>
      <c r="Y5" s="5">
        <f>'總表'!BA11</f>
        <v/>
      </c>
      <c r="Z5" s="5">
        <f>'總表'!BB11</f>
        <v/>
      </c>
      <c r="AA5" s="5">
        <f>'總表'!BC11</f>
        <v/>
      </c>
      <c r="AB5" s="5">
        <f>'總表'!BD11</f>
        <v/>
      </c>
      <c r="AC5" s="5">
        <f>'總表'!BE11</f>
        <v/>
      </c>
      <c r="AD5" s="11">
        <f>'總表'!BH11</f>
        <v/>
      </c>
      <c r="AE5" s="19">
        <f>'總表'!BP11</f>
        <v/>
      </c>
      <c r="AF5" s="19">
        <f>'總表'!BR11</f>
        <v/>
      </c>
      <c r="AG5" s="19">
        <f>'總表'!BS11</f>
        <v/>
      </c>
      <c r="AH5" s="19">
        <f>'總表'!BT11</f>
        <v/>
      </c>
      <c r="AI5" s="19">
        <f>'總表'!BU11</f>
        <v/>
      </c>
      <c r="AJ5" s="20">
        <f>'總表'!BV11</f>
        <v/>
      </c>
      <c r="AK5" s="5">
        <f>'總表'!B11</f>
        <v/>
      </c>
    </row>
    <row r="6">
      <c r="A6" s="5" t="n">
        <v>5</v>
      </c>
      <c r="B6" s="6" t="inlineStr">
        <is>
          <t>CNXN</t>
        </is>
      </c>
      <c r="C6" s="5">
        <f>'總表'!D12</f>
        <v/>
      </c>
      <c r="D6" s="5">
        <f>'總表'!F12</f>
        <v/>
      </c>
      <c r="E6" s="5">
        <f>'總表'!G12</f>
        <v/>
      </c>
      <c r="F6" s="60">
        <f>'總表'!H12</f>
        <v/>
      </c>
      <c r="G6" s="61">
        <f>'總表'!J12</f>
        <v/>
      </c>
      <c r="H6" s="9">
        <f>'總表'!L12</f>
        <v/>
      </c>
      <c r="I6" s="61">
        <f>'總表'!R12</f>
        <v/>
      </c>
      <c r="J6" s="61">
        <f>'總表'!S12</f>
        <v/>
      </c>
      <c r="K6" s="9">
        <f>'總表'!W12</f>
        <v/>
      </c>
      <c r="L6" s="9">
        <f>'總表'!X12</f>
        <v/>
      </c>
      <c r="M6" s="9">
        <f>'總表'!U12</f>
        <v/>
      </c>
      <c r="N6" s="5">
        <f>'總表'!AE12</f>
        <v/>
      </c>
      <c r="O6" s="5">
        <f>'總表'!AJ12</f>
        <v/>
      </c>
      <c r="P6" s="5">
        <f>'總表'!AK12</f>
        <v/>
      </c>
      <c r="Q6" s="9">
        <f>'總表'!AS12</f>
        <v/>
      </c>
      <c r="R6" s="67">
        <f>'總表'!AT12</f>
        <v/>
      </c>
      <c r="S6" s="67">
        <f>'總表'!AU12</f>
        <v/>
      </c>
      <c r="T6" s="67">
        <f>'總表'!AV12</f>
        <v/>
      </c>
      <c r="U6" s="16">
        <f>'總表'!AW12</f>
        <v/>
      </c>
      <c r="V6" s="67">
        <f>'總表'!AX12</f>
        <v/>
      </c>
      <c r="W6" s="67">
        <f>'總表'!AY12</f>
        <v/>
      </c>
      <c r="X6" s="67">
        <f>'總表'!AZ12</f>
        <v/>
      </c>
      <c r="Y6" s="5">
        <f>'總表'!BA12</f>
        <v/>
      </c>
      <c r="Z6" s="5">
        <f>'總表'!BB12</f>
        <v/>
      </c>
      <c r="AA6" s="5">
        <f>'總表'!BC12</f>
        <v/>
      </c>
      <c r="AB6" s="5">
        <f>'總表'!BD12</f>
        <v/>
      </c>
      <c r="AC6" s="5">
        <f>'總表'!BE12</f>
        <v/>
      </c>
      <c r="AD6" s="11">
        <f>'總表'!BH12</f>
        <v/>
      </c>
      <c r="AE6" s="19">
        <f>'總表'!BP12</f>
        <v/>
      </c>
      <c r="AF6" s="19">
        <f>'總表'!BR12</f>
        <v/>
      </c>
      <c r="AG6" s="19">
        <f>'總表'!BS12</f>
        <v/>
      </c>
      <c r="AH6" s="19">
        <f>'總表'!BT12</f>
        <v/>
      </c>
      <c r="AI6" s="19">
        <f>'總表'!BU12</f>
        <v/>
      </c>
      <c r="AJ6" s="20">
        <f>'總表'!BV12</f>
        <v/>
      </c>
      <c r="AK6" s="5">
        <f>'總表'!B12</f>
        <v/>
      </c>
    </row>
    <row r="7">
      <c r="A7" s="5" t="n">
        <v>6</v>
      </c>
      <c r="B7" s="6" t="inlineStr">
        <is>
          <t>CRVL</t>
        </is>
      </c>
      <c r="C7" s="5">
        <f>'總表'!D13</f>
        <v/>
      </c>
      <c r="D7" s="5">
        <f>'總表'!F13</f>
        <v/>
      </c>
      <c r="E7" s="5">
        <f>'總表'!G13</f>
        <v/>
      </c>
      <c r="F7" s="60">
        <f>'總表'!H13</f>
        <v/>
      </c>
      <c r="G7" s="61">
        <f>'總表'!J13</f>
        <v/>
      </c>
      <c r="H7" s="9">
        <f>'總表'!L13</f>
        <v/>
      </c>
      <c r="I7" s="61">
        <f>'總表'!R13</f>
        <v/>
      </c>
      <c r="J7" s="61">
        <f>'總表'!S13</f>
        <v/>
      </c>
      <c r="K7" s="9">
        <f>'總表'!W13</f>
        <v/>
      </c>
      <c r="L7" s="9">
        <f>'總表'!X13</f>
        <v/>
      </c>
      <c r="M7" s="9">
        <f>'總表'!U13</f>
        <v/>
      </c>
      <c r="N7" s="5">
        <f>'總表'!AE13</f>
        <v/>
      </c>
      <c r="O7" s="5">
        <f>'總表'!AJ13</f>
        <v/>
      </c>
      <c r="P7" s="5">
        <f>'總表'!AK13</f>
        <v/>
      </c>
      <c r="Q7" s="9">
        <f>'總表'!AS13</f>
        <v/>
      </c>
      <c r="R7" s="67">
        <f>'總表'!AT13</f>
        <v/>
      </c>
      <c r="S7" s="67">
        <f>'總表'!AU13</f>
        <v/>
      </c>
      <c r="T7" s="67">
        <f>'總表'!AV13</f>
        <v/>
      </c>
      <c r="U7" s="16">
        <f>'總表'!AW13</f>
        <v/>
      </c>
      <c r="V7" s="67">
        <f>'總表'!AX13</f>
        <v/>
      </c>
      <c r="W7" s="67">
        <f>'總表'!AY13</f>
        <v/>
      </c>
      <c r="X7" s="67">
        <f>'總表'!AZ13</f>
        <v/>
      </c>
      <c r="Y7" s="5">
        <f>'總表'!BA13</f>
        <v/>
      </c>
      <c r="Z7" s="5">
        <f>'總表'!BB13</f>
        <v/>
      </c>
      <c r="AA7" s="5">
        <f>'總表'!BC13</f>
        <v/>
      </c>
      <c r="AB7" s="5">
        <f>'總表'!BD13</f>
        <v/>
      </c>
      <c r="AC7" s="5">
        <f>'總表'!BE13</f>
        <v/>
      </c>
      <c r="AD7" s="11">
        <f>'總表'!BH13</f>
        <v/>
      </c>
      <c r="AE7" s="19">
        <f>'總表'!BP13</f>
        <v/>
      </c>
      <c r="AF7" s="19">
        <f>'總表'!BR13</f>
        <v/>
      </c>
      <c r="AG7" s="19">
        <f>'總表'!BS13</f>
        <v/>
      </c>
      <c r="AH7" s="19">
        <f>'總表'!BT13</f>
        <v/>
      </c>
      <c r="AI7" s="19">
        <f>'總表'!BU13</f>
        <v/>
      </c>
      <c r="AJ7" s="20">
        <f>'總表'!BV13</f>
        <v/>
      </c>
      <c r="AK7" s="5">
        <f>'總表'!B13</f>
        <v/>
      </c>
    </row>
    <row r="8">
      <c r="A8" s="5" t="n">
        <v>7</v>
      </c>
      <c r="B8" s="6" t="inlineStr">
        <is>
          <t>TENB</t>
        </is>
      </c>
      <c r="C8" s="5">
        <f>'總表'!D16</f>
        <v/>
      </c>
      <c r="D8" s="5">
        <f>'總表'!F16</f>
        <v/>
      </c>
      <c r="E8" s="5">
        <f>'總表'!G16</f>
        <v/>
      </c>
      <c r="F8" s="60">
        <f>'總表'!H16</f>
        <v/>
      </c>
      <c r="G8" s="61">
        <f>'總表'!J16</f>
        <v/>
      </c>
      <c r="H8" s="9">
        <f>'總表'!L16</f>
        <v/>
      </c>
      <c r="I8" s="61">
        <f>'總表'!R16</f>
        <v/>
      </c>
      <c r="J8" s="61">
        <f>'總表'!S16</f>
        <v/>
      </c>
      <c r="K8" s="9">
        <f>'總表'!W16</f>
        <v/>
      </c>
      <c r="L8" s="9">
        <f>'總表'!X16</f>
        <v/>
      </c>
      <c r="M8" s="9">
        <f>'總表'!U16</f>
        <v/>
      </c>
      <c r="N8" s="21">
        <f>'總表'!AE16</f>
        <v/>
      </c>
      <c r="O8" s="5">
        <f>'總表'!AJ16</f>
        <v/>
      </c>
      <c r="P8" s="5">
        <f>'總表'!AK16</f>
        <v/>
      </c>
      <c r="Q8" s="9">
        <f>'總表'!AS16</f>
        <v/>
      </c>
      <c r="R8" s="67">
        <f>'總表'!AT16</f>
        <v/>
      </c>
      <c r="S8" s="67">
        <f>'總表'!AU16</f>
        <v/>
      </c>
      <c r="T8" s="67">
        <f>'總表'!AV16</f>
        <v/>
      </c>
      <c r="U8" s="16">
        <f>'總表'!AW16</f>
        <v/>
      </c>
      <c r="V8" s="67">
        <f>'總表'!AX16</f>
        <v/>
      </c>
      <c r="W8" s="67">
        <f>'總表'!AY16</f>
        <v/>
      </c>
      <c r="X8" s="67">
        <f>'總表'!AZ16</f>
        <v/>
      </c>
      <c r="Y8" s="5">
        <f>'總表'!BA16</f>
        <v/>
      </c>
      <c r="Z8" s="5">
        <f>'總表'!BB16</f>
        <v/>
      </c>
      <c r="AA8" s="5">
        <f>'總表'!BC16</f>
        <v/>
      </c>
      <c r="AB8" s="5">
        <f>'總表'!BD16</f>
        <v/>
      </c>
      <c r="AC8" s="5">
        <f>'總表'!BE16</f>
        <v/>
      </c>
      <c r="AD8" s="11">
        <f>'總表'!BH16</f>
        <v/>
      </c>
      <c r="AE8" s="19">
        <f>'總表'!BP16</f>
        <v/>
      </c>
      <c r="AF8" s="19">
        <f>'總表'!BR16</f>
        <v/>
      </c>
      <c r="AG8" s="19">
        <f>'總表'!BS16</f>
        <v/>
      </c>
      <c r="AH8" s="19">
        <f>'總表'!BT16</f>
        <v/>
      </c>
      <c r="AI8" s="19">
        <f>'總表'!BU16</f>
        <v/>
      </c>
      <c r="AJ8" s="20">
        <f>'總表'!BV16</f>
        <v/>
      </c>
      <c r="AK8" s="5">
        <f>'總表'!B16</f>
        <v/>
      </c>
    </row>
    <row r="9">
      <c r="A9" s="5" t="n">
        <v>8</v>
      </c>
      <c r="B9" s="6" t="inlineStr">
        <is>
          <t>NHC</t>
        </is>
      </c>
      <c r="C9" s="5">
        <f>'總表'!D17</f>
        <v/>
      </c>
      <c r="D9" s="5">
        <f>'總表'!F17</f>
        <v/>
      </c>
      <c r="E9" s="5">
        <f>'總表'!G17</f>
        <v/>
      </c>
      <c r="F9" s="60">
        <f>'總表'!H17</f>
        <v/>
      </c>
      <c r="G9" s="61">
        <f>'總表'!J17</f>
        <v/>
      </c>
      <c r="H9" s="9">
        <f>'總表'!L17</f>
        <v/>
      </c>
      <c r="I9" s="61">
        <f>'總表'!R17</f>
        <v/>
      </c>
      <c r="J9" s="61">
        <f>'總表'!S17</f>
        <v/>
      </c>
      <c r="K9" s="9">
        <f>'總表'!W17</f>
        <v/>
      </c>
      <c r="L9" s="9">
        <f>'總表'!X17</f>
        <v/>
      </c>
      <c r="M9" s="9">
        <f>'總表'!U17</f>
        <v/>
      </c>
      <c r="N9" s="21">
        <f>'總表'!AE17</f>
        <v/>
      </c>
      <c r="O9" s="5">
        <f>'總表'!AJ17</f>
        <v/>
      </c>
      <c r="P9" s="5">
        <f>'總表'!AK17</f>
        <v/>
      </c>
      <c r="Q9" s="9">
        <f>'總表'!AS17</f>
        <v/>
      </c>
      <c r="R9" s="67">
        <f>'總表'!AT17</f>
        <v/>
      </c>
      <c r="S9" s="67">
        <f>'總表'!AU17</f>
        <v/>
      </c>
      <c r="T9" s="67">
        <f>'總表'!AV17</f>
        <v/>
      </c>
      <c r="U9" s="16">
        <f>'總表'!AW17</f>
        <v/>
      </c>
      <c r="V9" s="67">
        <f>'總表'!AX17</f>
        <v/>
      </c>
      <c r="W9" s="67">
        <f>'總表'!AY17</f>
        <v/>
      </c>
      <c r="X9" s="67">
        <f>'總表'!AZ17</f>
        <v/>
      </c>
      <c r="Y9" s="5">
        <f>'總表'!BA17</f>
        <v/>
      </c>
      <c r="Z9" s="5">
        <f>'總表'!BB17</f>
        <v/>
      </c>
      <c r="AA9" s="5">
        <f>'總表'!BC17</f>
        <v/>
      </c>
      <c r="AB9" s="5">
        <f>'總表'!BD17</f>
        <v/>
      </c>
      <c r="AC9" s="5">
        <f>'總表'!BE17</f>
        <v/>
      </c>
      <c r="AD9" s="11">
        <f>'總表'!BH17</f>
        <v/>
      </c>
      <c r="AE9" s="19">
        <f>'總表'!BP17</f>
        <v/>
      </c>
      <c r="AF9" s="19">
        <f>'總表'!BR17</f>
        <v/>
      </c>
      <c r="AG9" s="19">
        <f>'總表'!BS17</f>
        <v/>
      </c>
      <c r="AH9" s="19">
        <f>'總表'!BT17</f>
        <v/>
      </c>
      <c r="AI9" s="19">
        <f>'總表'!BU17</f>
        <v/>
      </c>
      <c r="AJ9" s="20">
        <f>'總表'!BV17</f>
        <v/>
      </c>
      <c r="AK9" s="5">
        <f>'總表'!B17</f>
        <v/>
      </c>
    </row>
    <row r="10">
      <c r="A10" s="5" t="n">
        <v>9</v>
      </c>
      <c r="B10" s="6" t="inlineStr">
        <is>
          <t>SLAB</t>
        </is>
      </c>
      <c r="C10" s="5">
        <f>'總表'!D18</f>
        <v/>
      </c>
      <c r="D10" s="5">
        <f>'總表'!F18</f>
        <v/>
      </c>
      <c r="E10" s="5">
        <f>'總表'!G18</f>
        <v/>
      </c>
      <c r="F10" s="60">
        <f>'總表'!H18</f>
        <v/>
      </c>
      <c r="G10" s="61">
        <f>'總表'!J18</f>
        <v/>
      </c>
      <c r="H10" s="9">
        <f>'總表'!L18</f>
        <v/>
      </c>
      <c r="I10" s="61">
        <f>'總表'!R18</f>
        <v/>
      </c>
      <c r="J10" s="61">
        <f>'總表'!S18</f>
        <v/>
      </c>
      <c r="K10" s="9">
        <f>'總表'!W18</f>
        <v/>
      </c>
      <c r="L10" s="9">
        <f>'總表'!X18</f>
        <v/>
      </c>
      <c r="M10" s="9">
        <f>'總表'!U18</f>
        <v/>
      </c>
      <c r="N10" s="5">
        <f>'總表'!AE18</f>
        <v/>
      </c>
      <c r="O10" s="5">
        <f>'總表'!AJ18</f>
        <v/>
      </c>
      <c r="P10" s="5">
        <f>'總表'!AK18</f>
        <v/>
      </c>
      <c r="Q10" s="9">
        <f>'總表'!AS18</f>
        <v/>
      </c>
      <c r="R10" s="67">
        <f>'總表'!AT18</f>
        <v/>
      </c>
      <c r="S10" s="67">
        <f>'總表'!AU18</f>
        <v/>
      </c>
      <c r="T10" s="67">
        <f>'總表'!AV18</f>
        <v/>
      </c>
      <c r="U10" s="16">
        <f>'總表'!AW18</f>
        <v/>
      </c>
      <c r="V10" s="67">
        <f>'總表'!AX18</f>
        <v/>
      </c>
      <c r="W10" s="67">
        <f>'總表'!AY18</f>
        <v/>
      </c>
      <c r="X10" s="67">
        <f>'總表'!AZ18</f>
        <v/>
      </c>
      <c r="Y10" s="5">
        <f>'總表'!BA18</f>
        <v/>
      </c>
      <c r="Z10" s="5">
        <f>'總表'!BB18</f>
        <v/>
      </c>
      <c r="AA10" s="5">
        <f>'總表'!BC18</f>
        <v/>
      </c>
      <c r="AB10" s="5">
        <f>'總表'!BD18</f>
        <v/>
      </c>
      <c r="AC10" s="5">
        <f>'總表'!BE18</f>
        <v/>
      </c>
      <c r="AD10" s="11">
        <f>'總表'!BH18</f>
        <v/>
      </c>
      <c r="AE10" s="19">
        <f>'總表'!BP18</f>
        <v/>
      </c>
      <c r="AF10" s="19">
        <f>'總表'!BR18</f>
        <v/>
      </c>
      <c r="AG10" s="19">
        <f>'總表'!BS18</f>
        <v/>
      </c>
      <c r="AH10" s="19">
        <f>'總表'!BT18</f>
        <v/>
      </c>
      <c r="AI10" s="19">
        <f>'總表'!BU18</f>
        <v/>
      </c>
      <c r="AJ10" s="20">
        <f>'總表'!BV18</f>
        <v/>
      </c>
      <c r="AK10" s="5">
        <f>'總表'!B18</f>
        <v/>
      </c>
    </row>
    <row r="12">
      <c r="A12" s="66" t="inlineStr">
        <is>
          <t>中型股（市值 $20–100 億）：第一梯隊入面屬呢個市值組嘅股票，每格都係引用總表同一行，改總表會跟住變。</t>
        </is>
      </c>
    </row>
  </sheetData>
  <autoFilter ref="A1:AK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24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9" customWidth="1" min="14" max="14"/>
    <col width="6" customWidth="1" min="15" max="15"/>
    <col width="6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6" customWidth="1" min="25" max="25"/>
    <col width="9" customWidth="1" min="26" max="26"/>
    <col width="6" customWidth="1" min="27" max="27"/>
    <col width="26" customWidth="1" min="28" max="28"/>
    <col width="13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6" customWidth="1" min="37" max="37"/>
  </cols>
  <sheetData>
    <row r="1" ht="42" customHeight="1">
      <c r="A1" s="4" t="inlineStr">
        <is>
          <t>組內排名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市值(十億美元)</t>
        </is>
      </c>
      <c r="G1" s="4" t="inlineStr">
        <is>
          <t>收市價</t>
        </is>
      </c>
      <c r="H1" s="4" t="inlineStr">
        <is>
          <t>當日%</t>
        </is>
      </c>
      <c r="I1" s="4" t="inlineStr">
        <is>
          <t>EMA9</t>
        </is>
      </c>
      <c r="J1" s="4" t="inlineStr">
        <is>
          <t>EMA21</t>
        </is>
      </c>
      <c r="K1" s="4" t="inlineStr">
        <is>
          <t>距EMA9%</t>
        </is>
      </c>
      <c r="L1" s="4" t="inlineStr">
        <is>
          <t>距EMA21%</t>
        </is>
      </c>
      <c r="M1" s="4" t="inlineStr">
        <is>
          <t>EMA21 5日斜率%</t>
        </is>
      </c>
      <c r="N1" s="4" t="inlineStr">
        <is>
          <t>9/21狀態</t>
        </is>
      </c>
      <c r="O1" s="4" t="inlineStr">
        <is>
          <t>金叉後日數</t>
        </is>
      </c>
      <c r="P1" s="4" t="inlineStr">
        <is>
          <t>連續上升底數目</t>
        </is>
      </c>
      <c r="Q1" s="4" t="inlineStr">
        <is>
          <t>距15日高%</t>
        </is>
      </c>
      <c r="R1" s="4" t="inlineStr">
        <is>
          <t>MACD</t>
        </is>
      </c>
      <c r="S1" s="4" t="inlineStr">
        <is>
          <t>MACD慢線</t>
        </is>
      </c>
      <c r="T1" s="4" t="inlineStr">
        <is>
          <t>慢線（前日）</t>
        </is>
      </c>
      <c r="U1" s="4" t="inlineStr">
        <is>
          <t>慢線斜率</t>
        </is>
      </c>
      <c r="V1" s="4" t="inlineStr">
        <is>
          <t>柱（今日）</t>
        </is>
      </c>
      <c r="W1" s="4" t="inlineStr">
        <is>
          <t>柱（前日）</t>
        </is>
      </c>
      <c r="X1" s="4" t="inlineStr">
        <is>
          <t>柱（前2日）</t>
        </is>
      </c>
      <c r="Y1" s="4" t="inlineStr">
        <is>
          <t>柱顏色</t>
        </is>
      </c>
      <c r="Z1" s="4" t="inlineStr">
        <is>
          <t>柱轉勢</t>
        </is>
      </c>
      <c r="AA1" s="4" t="inlineStr">
        <is>
          <t>轉勢幾日前</t>
        </is>
      </c>
      <c r="AB1" s="4" t="inlineStr">
        <is>
          <t>柱顏色序列（舊→新）</t>
        </is>
      </c>
      <c r="AC1" s="4" t="inlineStr">
        <is>
          <t>形態（25日）</t>
        </is>
      </c>
      <c r="AD1" s="4" t="inlineStr">
        <is>
          <t>重心</t>
        </is>
      </c>
      <c r="AE1" s="4" t="inlineStr">
        <is>
          <t>RS21%</t>
        </is>
      </c>
      <c r="AF1" s="4" t="inlineStr">
        <is>
          <t>趨勢分數</t>
        </is>
      </c>
      <c r="AG1" s="4" t="inlineStr">
        <is>
          <t>回調質素</t>
        </is>
      </c>
      <c r="AH1" s="4" t="inlineStr">
        <is>
          <t>底部結構</t>
        </is>
      </c>
      <c r="AI1" s="4" t="inlineStr">
        <is>
          <t>三角形分數</t>
        </is>
      </c>
      <c r="AJ1" s="4" t="inlineStr">
        <is>
          <t>綜合分數</t>
        </is>
      </c>
      <c r="AK1" s="4" t="inlineStr">
        <is>
          <t>總表排名</t>
        </is>
      </c>
    </row>
    <row r="2">
      <c r="A2" s="5" t="n">
        <v>1</v>
      </c>
      <c r="B2" s="6" t="inlineStr">
        <is>
          <t>AMN</t>
        </is>
      </c>
      <c r="C2" s="5">
        <f>'總表'!D2</f>
        <v/>
      </c>
      <c r="D2" s="5">
        <f>'總表'!F2</f>
        <v/>
      </c>
      <c r="E2" s="5">
        <f>'總表'!G2</f>
        <v/>
      </c>
      <c r="F2" s="60">
        <f>'總表'!H2</f>
        <v/>
      </c>
      <c r="G2" s="61">
        <f>'總表'!J2</f>
        <v/>
      </c>
      <c r="H2" s="9">
        <f>'總表'!L2</f>
        <v/>
      </c>
      <c r="I2" s="61">
        <f>'總表'!R2</f>
        <v/>
      </c>
      <c r="J2" s="61">
        <f>'總表'!S2</f>
        <v/>
      </c>
      <c r="K2" s="9">
        <f>'總表'!W2</f>
        <v/>
      </c>
      <c r="L2" s="9">
        <f>'總表'!X2</f>
        <v/>
      </c>
      <c r="M2" s="9">
        <f>'總表'!U2</f>
        <v/>
      </c>
      <c r="N2" s="5">
        <f>'總表'!AE2</f>
        <v/>
      </c>
      <c r="O2" s="5">
        <f>'總表'!AJ2</f>
        <v/>
      </c>
      <c r="P2" s="5">
        <f>'總表'!AK2</f>
        <v/>
      </c>
      <c r="Q2" s="9">
        <f>'總表'!AS2</f>
        <v/>
      </c>
      <c r="R2" s="67">
        <f>'總表'!AT2</f>
        <v/>
      </c>
      <c r="S2" s="67">
        <f>'總表'!AU2</f>
        <v/>
      </c>
      <c r="T2" s="67">
        <f>'總表'!AV2</f>
        <v/>
      </c>
      <c r="U2" s="16">
        <f>'總表'!AW2</f>
        <v/>
      </c>
      <c r="V2" s="67">
        <f>'總表'!AX2</f>
        <v/>
      </c>
      <c r="W2" s="67">
        <f>'總表'!AY2</f>
        <v/>
      </c>
      <c r="X2" s="67">
        <f>'總表'!AZ2</f>
        <v/>
      </c>
      <c r="Y2" s="5">
        <f>'總表'!BA2</f>
        <v/>
      </c>
      <c r="Z2" s="5">
        <f>'總表'!BB2</f>
        <v/>
      </c>
      <c r="AA2" s="5">
        <f>'總表'!BC2</f>
        <v/>
      </c>
      <c r="AB2" s="5">
        <f>'總表'!BD2</f>
        <v/>
      </c>
      <c r="AC2" s="5">
        <f>'總表'!BE2</f>
        <v/>
      </c>
      <c r="AD2" s="11">
        <f>'總表'!BH2</f>
        <v/>
      </c>
      <c r="AE2" s="19">
        <f>'總表'!BP2</f>
        <v/>
      </c>
      <c r="AF2" s="19">
        <f>'總表'!BR2</f>
        <v/>
      </c>
      <c r="AG2" s="19">
        <f>'總表'!BS2</f>
        <v/>
      </c>
      <c r="AH2" s="19">
        <f>'總表'!BT2</f>
        <v/>
      </c>
      <c r="AI2" s="19">
        <f>'總表'!BU2</f>
        <v/>
      </c>
      <c r="AJ2" s="20">
        <f>'總表'!BV2</f>
        <v/>
      </c>
      <c r="AK2" s="5">
        <f>'總表'!B2</f>
        <v/>
      </c>
    </row>
    <row r="3">
      <c r="A3" s="5" t="n">
        <v>2</v>
      </c>
      <c r="B3" s="6" t="inlineStr">
        <is>
          <t>DDD</t>
        </is>
      </c>
      <c r="C3" s="5">
        <f>'總表'!D4</f>
        <v/>
      </c>
      <c r="D3" s="5">
        <f>'總表'!F4</f>
        <v/>
      </c>
      <c r="E3" s="5">
        <f>'總表'!G4</f>
        <v/>
      </c>
      <c r="F3" s="60">
        <f>'總表'!H4</f>
        <v/>
      </c>
      <c r="G3" s="61">
        <f>'總表'!J4</f>
        <v/>
      </c>
      <c r="H3" s="9">
        <f>'總表'!L4</f>
        <v/>
      </c>
      <c r="I3" s="61">
        <f>'總表'!R4</f>
        <v/>
      </c>
      <c r="J3" s="61">
        <f>'總表'!S4</f>
        <v/>
      </c>
      <c r="K3" s="9">
        <f>'總表'!W4</f>
        <v/>
      </c>
      <c r="L3" s="9">
        <f>'總表'!X4</f>
        <v/>
      </c>
      <c r="M3" s="9">
        <f>'總表'!U4</f>
        <v/>
      </c>
      <c r="N3" s="5">
        <f>'總表'!AE4</f>
        <v/>
      </c>
      <c r="O3" s="5">
        <f>'總表'!AJ4</f>
        <v/>
      </c>
      <c r="P3" s="5">
        <f>'總表'!AK4</f>
        <v/>
      </c>
      <c r="Q3" s="9">
        <f>'總表'!AS4</f>
        <v/>
      </c>
      <c r="R3" s="67">
        <f>'總表'!AT4</f>
        <v/>
      </c>
      <c r="S3" s="67">
        <f>'總表'!AU4</f>
        <v/>
      </c>
      <c r="T3" s="67">
        <f>'總表'!AV4</f>
        <v/>
      </c>
      <c r="U3" s="16">
        <f>'總表'!AW4</f>
        <v/>
      </c>
      <c r="V3" s="67">
        <f>'總表'!AX4</f>
        <v/>
      </c>
      <c r="W3" s="67">
        <f>'總表'!AY4</f>
        <v/>
      </c>
      <c r="X3" s="67">
        <f>'總表'!AZ4</f>
        <v/>
      </c>
      <c r="Y3" s="5">
        <f>'總表'!BA4</f>
        <v/>
      </c>
      <c r="Z3" s="5">
        <f>'總表'!BB4</f>
        <v/>
      </c>
      <c r="AA3" s="5">
        <f>'總表'!BC4</f>
        <v/>
      </c>
      <c r="AB3" s="5">
        <f>'總表'!BD4</f>
        <v/>
      </c>
      <c r="AC3" s="5">
        <f>'總表'!BE4</f>
        <v/>
      </c>
      <c r="AD3" s="11">
        <f>'總表'!BH4</f>
        <v/>
      </c>
      <c r="AE3" s="19">
        <f>'總表'!BP4</f>
        <v/>
      </c>
      <c r="AF3" s="19">
        <f>'總表'!BR4</f>
        <v/>
      </c>
      <c r="AG3" s="19">
        <f>'總表'!BS4</f>
        <v/>
      </c>
      <c r="AH3" s="19">
        <f>'總表'!BT4</f>
        <v/>
      </c>
      <c r="AI3" s="19">
        <f>'總表'!BU4</f>
        <v/>
      </c>
      <c r="AJ3" s="20">
        <f>'總表'!BV4</f>
        <v/>
      </c>
      <c r="AK3" s="5">
        <f>'總表'!B4</f>
        <v/>
      </c>
    </row>
    <row r="4">
      <c r="A4" s="5" t="n">
        <v>3</v>
      </c>
      <c r="B4" s="6" t="inlineStr">
        <is>
          <t>LEGH</t>
        </is>
      </c>
      <c r="C4" s="5">
        <f>'總表'!D15</f>
        <v/>
      </c>
      <c r="D4" s="5">
        <f>'總表'!F15</f>
        <v/>
      </c>
      <c r="E4" s="5">
        <f>'總表'!G15</f>
        <v/>
      </c>
      <c r="F4" s="60">
        <f>'總表'!H15</f>
        <v/>
      </c>
      <c r="G4" s="61">
        <f>'總表'!J15</f>
        <v/>
      </c>
      <c r="H4" s="9">
        <f>'總表'!L15</f>
        <v/>
      </c>
      <c r="I4" s="61">
        <f>'總表'!R15</f>
        <v/>
      </c>
      <c r="J4" s="61">
        <f>'總表'!S15</f>
        <v/>
      </c>
      <c r="K4" s="9">
        <f>'總表'!W15</f>
        <v/>
      </c>
      <c r="L4" s="9">
        <f>'總表'!X15</f>
        <v/>
      </c>
      <c r="M4" s="9">
        <f>'總表'!U15</f>
        <v/>
      </c>
      <c r="N4" s="5">
        <f>'總表'!AE15</f>
        <v/>
      </c>
      <c r="O4" s="5">
        <f>'總表'!AJ15</f>
        <v/>
      </c>
      <c r="P4" s="5">
        <f>'總表'!AK15</f>
        <v/>
      </c>
      <c r="Q4" s="9">
        <f>'總表'!AS15</f>
        <v/>
      </c>
      <c r="R4" s="67">
        <f>'總表'!AT15</f>
        <v/>
      </c>
      <c r="S4" s="67">
        <f>'總表'!AU15</f>
        <v/>
      </c>
      <c r="T4" s="67">
        <f>'總表'!AV15</f>
        <v/>
      </c>
      <c r="U4" s="16">
        <f>'總表'!AW15</f>
        <v/>
      </c>
      <c r="V4" s="67">
        <f>'總表'!AX15</f>
        <v/>
      </c>
      <c r="W4" s="67">
        <f>'總表'!AY15</f>
        <v/>
      </c>
      <c r="X4" s="67">
        <f>'總表'!AZ15</f>
        <v/>
      </c>
      <c r="Y4" s="5">
        <f>'總表'!BA15</f>
        <v/>
      </c>
      <c r="Z4" s="5">
        <f>'總表'!BB15</f>
        <v/>
      </c>
      <c r="AA4" s="5">
        <f>'總表'!BC15</f>
        <v/>
      </c>
      <c r="AB4" s="5">
        <f>'總表'!BD15</f>
        <v/>
      </c>
      <c r="AC4" s="5">
        <f>'總表'!BE15</f>
        <v/>
      </c>
      <c r="AD4" s="11">
        <f>'總表'!BH15</f>
        <v/>
      </c>
      <c r="AE4" s="19">
        <f>'總表'!BP15</f>
        <v/>
      </c>
      <c r="AF4" s="19">
        <f>'總表'!BR15</f>
        <v/>
      </c>
      <c r="AG4" s="19">
        <f>'總表'!BS15</f>
        <v/>
      </c>
      <c r="AH4" s="19">
        <f>'總表'!BT15</f>
        <v/>
      </c>
      <c r="AI4" s="19">
        <f>'總表'!BU15</f>
        <v/>
      </c>
      <c r="AJ4" s="20">
        <f>'總表'!BV15</f>
        <v/>
      </c>
      <c r="AK4" s="5">
        <f>'總表'!B15</f>
        <v/>
      </c>
    </row>
    <row r="5">
      <c r="A5" s="5" t="n">
        <v>4</v>
      </c>
      <c r="B5" s="6" t="inlineStr">
        <is>
          <t>VSTS</t>
        </is>
      </c>
      <c r="C5" s="5">
        <f>'總表'!D21</f>
        <v/>
      </c>
      <c r="D5" s="5">
        <f>'總表'!F21</f>
        <v/>
      </c>
      <c r="E5" s="5">
        <f>'總表'!G21</f>
        <v/>
      </c>
      <c r="F5" s="60">
        <f>'總表'!H21</f>
        <v/>
      </c>
      <c r="G5" s="61">
        <f>'總表'!J21</f>
        <v/>
      </c>
      <c r="H5" s="9">
        <f>'總表'!L21</f>
        <v/>
      </c>
      <c r="I5" s="61">
        <f>'總表'!R21</f>
        <v/>
      </c>
      <c r="J5" s="61">
        <f>'總表'!S21</f>
        <v/>
      </c>
      <c r="K5" s="9">
        <f>'總表'!W21</f>
        <v/>
      </c>
      <c r="L5" s="9">
        <f>'總表'!X21</f>
        <v/>
      </c>
      <c r="M5" s="9">
        <f>'總表'!U21</f>
        <v/>
      </c>
      <c r="N5" s="5">
        <f>'總表'!AE21</f>
        <v/>
      </c>
      <c r="O5" s="5">
        <f>'總表'!AJ21</f>
        <v/>
      </c>
      <c r="P5" s="5">
        <f>'總表'!AK21</f>
        <v/>
      </c>
      <c r="Q5" s="9">
        <f>'總表'!AS21</f>
        <v/>
      </c>
      <c r="R5" s="67">
        <f>'總表'!AT21</f>
        <v/>
      </c>
      <c r="S5" s="67">
        <f>'總表'!AU21</f>
        <v/>
      </c>
      <c r="T5" s="67">
        <f>'總表'!AV21</f>
        <v/>
      </c>
      <c r="U5" s="16">
        <f>'總表'!AW21</f>
        <v/>
      </c>
      <c r="V5" s="67">
        <f>'總表'!AX21</f>
        <v/>
      </c>
      <c r="W5" s="67">
        <f>'總表'!AY21</f>
        <v/>
      </c>
      <c r="X5" s="67">
        <f>'總表'!AZ21</f>
        <v/>
      </c>
      <c r="Y5" s="5">
        <f>'總表'!BA21</f>
        <v/>
      </c>
      <c r="Z5" s="5">
        <f>'總表'!BB21</f>
        <v/>
      </c>
      <c r="AA5" s="5">
        <f>'總表'!BC21</f>
        <v/>
      </c>
      <c r="AB5" s="5">
        <f>'總表'!BD21</f>
        <v/>
      </c>
      <c r="AC5" s="5">
        <f>'總表'!BE21</f>
        <v/>
      </c>
      <c r="AD5" s="11">
        <f>'總表'!BH21</f>
        <v/>
      </c>
      <c r="AE5" s="19">
        <f>'總表'!BP21</f>
        <v/>
      </c>
      <c r="AF5" s="19">
        <f>'總表'!BR21</f>
        <v/>
      </c>
      <c r="AG5" s="19">
        <f>'總表'!BS21</f>
        <v/>
      </c>
      <c r="AH5" s="19">
        <f>'總表'!BT21</f>
        <v/>
      </c>
      <c r="AI5" s="19">
        <f>'總表'!BU21</f>
        <v/>
      </c>
      <c r="AJ5" s="20">
        <f>'總表'!BV21</f>
        <v/>
      </c>
      <c r="AK5" s="5">
        <f>'總表'!B21</f>
        <v/>
      </c>
    </row>
    <row r="6">
      <c r="A6" s="5" t="n">
        <v>5</v>
      </c>
      <c r="B6" s="6" t="inlineStr">
        <is>
          <t>EGBN</t>
        </is>
      </c>
      <c r="C6" s="5">
        <f>'總表'!D23</f>
        <v/>
      </c>
      <c r="D6" s="5">
        <f>'總表'!F23</f>
        <v/>
      </c>
      <c r="E6" s="5">
        <f>'總表'!G23</f>
        <v/>
      </c>
      <c r="F6" s="60">
        <f>'總表'!H23</f>
        <v/>
      </c>
      <c r="G6" s="61">
        <f>'總表'!J23</f>
        <v/>
      </c>
      <c r="H6" s="9">
        <f>'總表'!L23</f>
        <v/>
      </c>
      <c r="I6" s="61">
        <f>'總表'!R23</f>
        <v/>
      </c>
      <c r="J6" s="61">
        <f>'總表'!S23</f>
        <v/>
      </c>
      <c r="K6" s="9">
        <f>'總表'!W23</f>
        <v/>
      </c>
      <c r="L6" s="9">
        <f>'總表'!X23</f>
        <v/>
      </c>
      <c r="M6" s="9">
        <f>'總表'!U23</f>
        <v/>
      </c>
      <c r="N6" s="5">
        <f>'總表'!AE23</f>
        <v/>
      </c>
      <c r="O6" s="5">
        <f>'總表'!AJ23</f>
        <v/>
      </c>
      <c r="P6" s="5">
        <f>'總表'!AK23</f>
        <v/>
      </c>
      <c r="Q6" s="9">
        <f>'總表'!AS23</f>
        <v/>
      </c>
      <c r="R6" s="67">
        <f>'總表'!AT23</f>
        <v/>
      </c>
      <c r="S6" s="67">
        <f>'總表'!AU23</f>
        <v/>
      </c>
      <c r="T6" s="67">
        <f>'總表'!AV23</f>
        <v/>
      </c>
      <c r="U6" s="16">
        <f>'總表'!AW23</f>
        <v/>
      </c>
      <c r="V6" s="67">
        <f>'總表'!AX23</f>
        <v/>
      </c>
      <c r="W6" s="67">
        <f>'總表'!AY23</f>
        <v/>
      </c>
      <c r="X6" s="67">
        <f>'總表'!AZ23</f>
        <v/>
      </c>
      <c r="Y6" s="5">
        <f>'總表'!BA23</f>
        <v/>
      </c>
      <c r="Z6" s="5">
        <f>'總表'!BB23</f>
        <v/>
      </c>
      <c r="AA6" s="5">
        <f>'總表'!BC23</f>
        <v/>
      </c>
      <c r="AB6" s="5">
        <f>'總表'!BD23</f>
        <v/>
      </c>
      <c r="AC6" s="5">
        <f>'總表'!BE23</f>
        <v/>
      </c>
      <c r="AD6" s="11">
        <f>'總表'!BH23</f>
        <v/>
      </c>
      <c r="AE6" s="19">
        <f>'總表'!BP23</f>
        <v/>
      </c>
      <c r="AF6" s="19">
        <f>'總表'!BR23</f>
        <v/>
      </c>
      <c r="AG6" s="19">
        <f>'總表'!BS23</f>
        <v/>
      </c>
      <c r="AH6" s="19">
        <f>'總表'!BT23</f>
        <v/>
      </c>
      <c r="AI6" s="19">
        <f>'總表'!BU23</f>
        <v/>
      </c>
      <c r="AJ6" s="20">
        <f>'總表'!BV23</f>
        <v/>
      </c>
      <c r="AK6" s="5">
        <f>'總表'!B23</f>
        <v/>
      </c>
    </row>
    <row r="7">
      <c r="A7" s="5" t="n">
        <v>6</v>
      </c>
      <c r="B7" s="6" t="inlineStr">
        <is>
          <t>OPY</t>
        </is>
      </c>
      <c r="C7" s="5">
        <f>'總表'!D25</f>
        <v/>
      </c>
      <c r="D7" s="5">
        <f>'總表'!F25</f>
        <v/>
      </c>
      <c r="E7" s="5">
        <f>'總表'!G25</f>
        <v/>
      </c>
      <c r="F7" s="60">
        <f>'總表'!H25</f>
        <v/>
      </c>
      <c r="G7" s="61">
        <f>'總表'!J25</f>
        <v/>
      </c>
      <c r="H7" s="9">
        <f>'總表'!L25</f>
        <v/>
      </c>
      <c r="I7" s="61">
        <f>'總表'!R25</f>
        <v/>
      </c>
      <c r="J7" s="61">
        <f>'總表'!S25</f>
        <v/>
      </c>
      <c r="K7" s="9">
        <f>'總表'!W25</f>
        <v/>
      </c>
      <c r="L7" s="9">
        <f>'總表'!X25</f>
        <v/>
      </c>
      <c r="M7" s="9">
        <f>'總表'!U25</f>
        <v/>
      </c>
      <c r="N7" s="21">
        <f>'總表'!AE25</f>
        <v/>
      </c>
      <c r="O7" s="5">
        <f>'總表'!AJ25</f>
        <v/>
      </c>
      <c r="P7" s="5">
        <f>'總表'!AK25</f>
        <v/>
      </c>
      <c r="Q7" s="9">
        <f>'總表'!AS25</f>
        <v/>
      </c>
      <c r="R7" s="67">
        <f>'總表'!AT25</f>
        <v/>
      </c>
      <c r="S7" s="67">
        <f>'總表'!AU25</f>
        <v/>
      </c>
      <c r="T7" s="67">
        <f>'總表'!AV25</f>
        <v/>
      </c>
      <c r="U7" s="16">
        <f>'總表'!AW25</f>
        <v/>
      </c>
      <c r="V7" s="67">
        <f>'總表'!AX25</f>
        <v/>
      </c>
      <c r="W7" s="67">
        <f>'總表'!AY25</f>
        <v/>
      </c>
      <c r="X7" s="67">
        <f>'總表'!AZ25</f>
        <v/>
      </c>
      <c r="Y7" s="5">
        <f>'總表'!BA25</f>
        <v/>
      </c>
      <c r="Z7" s="5">
        <f>'總表'!BB25</f>
        <v/>
      </c>
      <c r="AA7" s="5">
        <f>'總表'!BC25</f>
        <v/>
      </c>
      <c r="AB7" s="5">
        <f>'總表'!BD25</f>
        <v/>
      </c>
      <c r="AC7" s="5">
        <f>'總表'!BE25</f>
        <v/>
      </c>
      <c r="AD7" s="11">
        <f>'總表'!BH25</f>
        <v/>
      </c>
      <c r="AE7" s="19">
        <f>'總表'!BP25</f>
        <v/>
      </c>
      <c r="AF7" s="19">
        <f>'總表'!BR25</f>
        <v/>
      </c>
      <c r="AG7" s="19">
        <f>'總表'!BS25</f>
        <v/>
      </c>
      <c r="AH7" s="19">
        <f>'總表'!BT25</f>
        <v/>
      </c>
      <c r="AI7" s="19">
        <f>'總表'!BU25</f>
        <v/>
      </c>
      <c r="AJ7" s="20">
        <f>'總表'!BV25</f>
        <v/>
      </c>
      <c r="AK7" s="5">
        <f>'總表'!B25</f>
        <v/>
      </c>
    </row>
    <row r="8">
      <c r="A8" s="5" t="n">
        <v>7</v>
      </c>
      <c r="B8" s="6" t="inlineStr">
        <is>
          <t>TRNS</t>
        </is>
      </c>
      <c r="C8" s="5">
        <f>'總表'!D26</f>
        <v/>
      </c>
      <c r="D8" s="5">
        <f>'總表'!F26</f>
        <v/>
      </c>
      <c r="E8" s="5">
        <f>'總表'!G26</f>
        <v/>
      </c>
      <c r="F8" s="60">
        <f>'總表'!H26</f>
        <v/>
      </c>
      <c r="G8" s="61">
        <f>'總表'!J26</f>
        <v/>
      </c>
      <c r="H8" s="9">
        <f>'總表'!L26</f>
        <v/>
      </c>
      <c r="I8" s="61">
        <f>'總表'!R26</f>
        <v/>
      </c>
      <c r="J8" s="61">
        <f>'總表'!S26</f>
        <v/>
      </c>
      <c r="K8" s="9">
        <f>'總表'!W26</f>
        <v/>
      </c>
      <c r="L8" s="9">
        <f>'總表'!X26</f>
        <v/>
      </c>
      <c r="M8" s="9">
        <f>'總表'!U26</f>
        <v/>
      </c>
      <c r="N8" s="5">
        <f>'總表'!AE26</f>
        <v/>
      </c>
      <c r="O8" s="5">
        <f>'總表'!AJ26</f>
        <v/>
      </c>
      <c r="P8" s="5">
        <f>'總表'!AK26</f>
        <v/>
      </c>
      <c r="Q8" s="9">
        <f>'總表'!AS26</f>
        <v/>
      </c>
      <c r="R8" s="67">
        <f>'總表'!AT26</f>
        <v/>
      </c>
      <c r="S8" s="67">
        <f>'總表'!AU26</f>
        <v/>
      </c>
      <c r="T8" s="67">
        <f>'總表'!AV26</f>
        <v/>
      </c>
      <c r="U8" s="16">
        <f>'總表'!AW26</f>
        <v/>
      </c>
      <c r="V8" s="67">
        <f>'總表'!AX26</f>
        <v/>
      </c>
      <c r="W8" s="67">
        <f>'總表'!AY26</f>
        <v/>
      </c>
      <c r="X8" s="67">
        <f>'總表'!AZ26</f>
        <v/>
      </c>
      <c r="Y8" s="5">
        <f>'總表'!BA26</f>
        <v/>
      </c>
      <c r="Z8" s="5">
        <f>'總表'!BB26</f>
        <v/>
      </c>
      <c r="AA8" s="5">
        <f>'總表'!BC26</f>
        <v/>
      </c>
      <c r="AB8" s="5">
        <f>'總表'!BD26</f>
        <v/>
      </c>
      <c r="AC8" s="5">
        <f>'總表'!BE26</f>
        <v/>
      </c>
      <c r="AD8" s="11">
        <f>'總表'!BH26</f>
        <v/>
      </c>
      <c r="AE8" s="19">
        <f>'總表'!BP26</f>
        <v/>
      </c>
      <c r="AF8" s="19">
        <f>'總表'!BR26</f>
        <v/>
      </c>
      <c r="AG8" s="19">
        <f>'總表'!BS26</f>
        <v/>
      </c>
      <c r="AH8" s="19">
        <f>'總表'!BT26</f>
        <v/>
      </c>
      <c r="AI8" s="19">
        <f>'總表'!BU26</f>
        <v/>
      </c>
      <c r="AJ8" s="20">
        <f>'總表'!BV26</f>
        <v/>
      </c>
      <c r="AK8" s="5">
        <f>'總表'!B26</f>
        <v/>
      </c>
    </row>
    <row r="10">
      <c r="A10" s="66" t="inlineStr">
        <is>
          <t>小型股（市值 &lt; $20 億）：第一梯隊入面屬呢個市值組嘅股票，每格都係引用總表同一行，改總表會跟住變。</t>
        </is>
      </c>
    </row>
  </sheetData>
  <autoFilter ref="A1:AK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9" customWidth="1" min="4" max="4"/>
    <col width="6" customWidth="1" min="5" max="5"/>
    <col width="18" customWidth="1" min="6" max="6"/>
    <col width="90" customWidth="1" min="7" max="7"/>
    <col width="60" customWidth="1" min="8" max="8"/>
    <col width="7" customWidth="1" min="9" max="9"/>
    <col width="6" customWidth="1" min="10" max="10"/>
  </cols>
  <sheetData>
    <row r="1" ht="30" customHeight="1">
      <c r="A1" s="4" t="inlineStr">
        <is>
          <t>梯隊2排名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市值組</t>
        </is>
      </c>
      <c r="F1" s="4" t="inlineStr">
        <is>
          <t>唔過嘅條件</t>
        </is>
      </c>
      <c r="G1" s="4" t="inlineStr">
        <is>
          <t>量度值 vs 嚴格門檻</t>
        </is>
      </c>
      <c r="H1" s="4" t="inlineStr">
        <is>
          <t>放寬門檻（已通過）</t>
        </is>
      </c>
      <c r="I1" s="4" t="inlineStr">
        <is>
          <t>綜合分數</t>
        </is>
      </c>
      <c r="J1" s="4" t="inlineStr">
        <is>
          <t>總表行</t>
        </is>
      </c>
    </row>
    <row r="2">
      <c r="A2" s="5" t="n">
        <v>1</v>
      </c>
      <c r="B2" s="6" t="inlineStr">
        <is>
          <t>DOCS</t>
        </is>
      </c>
      <c r="C2" s="5" t="inlineStr">
        <is>
          <t>Doximity Inc.</t>
        </is>
      </c>
      <c r="D2" s="5" t="inlineStr">
        <is>
          <t>科技</t>
        </is>
      </c>
      <c r="E2" s="5" t="inlineStr">
        <is>
          <t>中型</t>
        </is>
      </c>
      <c r="F2" s="5" t="inlineStr">
        <is>
          <t>C4 上升三角／重心偏上</t>
        </is>
      </c>
      <c r="G2" s="3" t="inlineStr">
        <is>
          <t>重心 0.47（要 ≥0.5）、高位斜率 +0.05%/日（要 -0.10 至 +1.00）、低位斜率 +0.38%/日（要 &gt;0）</t>
        </is>
      </c>
      <c r="H2" s="3" t="inlineStr">
        <is>
          <t>重心 ≥0.45、高位斜率 -0.20 至 +1.50 %/日、低位斜率 &gt;0</t>
        </is>
      </c>
      <c r="I2" s="20">
        <f>'總表'!BV28</f>
        <v/>
      </c>
      <c r="J2" s="5" t="n">
        <v>28</v>
      </c>
    </row>
    <row r="3">
      <c r="A3" s="5" t="n">
        <v>2</v>
      </c>
      <c r="B3" s="6" t="inlineStr">
        <is>
          <t>HYLN</t>
        </is>
      </c>
      <c r="C3" s="5" t="inlineStr">
        <is>
          <t>Hyliion Holdings Corp.</t>
        </is>
      </c>
      <c r="D3" s="5" t="inlineStr">
        <is>
          <t>非必需消費</t>
        </is>
      </c>
      <c r="E3" s="5" t="inlineStr">
        <is>
          <t>小型</t>
        </is>
      </c>
      <c r="F3" s="5" t="inlineStr">
        <is>
          <t>C4 上升三角／重心偏上</t>
        </is>
      </c>
      <c r="G3" s="3" t="inlineStr">
        <is>
          <t>重心 0.52（要 ≥0.5）、高位斜率 +1.30%/日（要 -0.10 至 +1.00）、低位斜率 +0.82%/日（要 &gt;0）</t>
        </is>
      </c>
      <c r="H3" s="3" t="inlineStr">
        <is>
          <t>重心 ≥0.45、高位斜率 -0.20 至 +1.50 %/日、低位斜率 &gt;0</t>
        </is>
      </c>
      <c r="I3" s="20">
        <f>'總表'!BV29</f>
        <v/>
      </c>
      <c r="J3" s="5" t="n">
        <v>29</v>
      </c>
    </row>
    <row r="4">
      <c r="A4" s="5" t="n">
        <v>3</v>
      </c>
      <c r="B4" s="6" t="inlineStr">
        <is>
          <t>SANM</t>
        </is>
      </c>
      <c r="C4" s="5" t="inlineStr">
        <is>
          <t>Sanmina Corporation</t>
        </is>
      </c>
      <c r="D4" s="5" t="inlineStr">
        <is>
          <t>科技</t>
        </is>
      </c>
      <c r="E4" s="5" t="inlineStr">
        <is>
          <t>大型</t>
        </is>
      </c>
      <c r="F4" s="5" t="inlineStr">
        <is>
          <t>C4 上升三角／重心偏上</t>
        </is>
      </c>
      <c r="G4" s="3" t="inlineStr">
        <is>
          <t>重心 0.50（要 ≥0.5）、高位斜率 +0.58%/日（要 -0.10 至 +1.00）、低位斜率 +0.39%/日（要 &gt;0）</t>
        </is>
      </c>
      <c r="H4" s="3" t="inlineStr">
        <is>
          <t>重心 ≥0.45、高位斜率 -0.20 至 +1.50 %/日、低位斜率 &gt;0</t>
        </is>
      </c>
      <c r="I4" s="20">
        <f>'總表'!BV30</f>
        <v/>
      </c>
      <c r="J4" s="5" t="n">
        <v>30</v>
      </c>
    </row>
    <row r="5">
      <c r="A5" s="5" t="n">
        <v>4</v>
      </c>
      <c r="B5" s="6" t="inlineStr">
        <is>
          <t>TTMI</t>
        </is>
      </c>
      <c r="C5" s="5" t="inlineStr">
        <is>
          <t>TTM Technologies Inc.</t>
        </is>
      </c>
      <c r="D5" s="5" t="inlineStr">
        <is>
          <t>科技</t>
        </is>
      </c>
      <c r="E5" s="5" t="inlineStr">
        <is>
          <t>大型</t>
        </is>
      </c>
      <c r="F5" s="5" t="inlineStr">
        <is>
          <t>C4 上升三角／重心偏上</t>
        </is>
      </c>
      <c r="G5" s="3" t="inlineStr">
        <is>
          <t>重心 0.50（要 ≥0.5）、高位斜率 -0.14%/日（要 -0.10 至 +1.00）、低位斜率 +0.46%/日（要 &gt;0）</t>
        </is>
      </c>
      <c r="H5" s="3" t="inlineStr">
        <is>
          <t>重心 ≥0.45、高位斜率 -0.20 至 +1.50 %/日、低位斜率 &gt;0</t>
        </is>
      </c>
      <c r="I5" s="20">
        <f>'總表'!BV31</f>
        <v/>
      </c>
      <c r="J5" s="5" t="n">
        <v>31</v>
      </c>
    </row>
    <row r="6">
      <c r="A6" s="5" t="n">
        <v>5</v>
      </c>
      <c r="B6" s="6" t="inlineStr">
        <is>
          <t>ALMR</t>
        </is>
      </c>
      <c r="C6" s="5" t="inlineStr">
        <is>
          <t>Alamar Biosciences Inc.</t>
        </is>
      </c>
      <c r="D6" s="5" t="inlineStr">
        <is>
          <t>工業</t>
        </is>
      </c>
      <c r="E6" s="5" t="inlineStr">
        <is>
          <t>中型</t>
        </is>
      </c>
      <c r="F6" s="5" t="inlineStr">
        <is>
          <t>C4 上升三角／重心偏上</t>
        </is>
      </c>
      <c r="G6" s="3" t="inlineStr">
        <is>
          <t>重心 0.47（要 ≥0.5）、高位斜率 +0.55%/日（要 -0.10 至 +1.00）、低位斜率 +0.46%/日（要 &gt;0）</t>
        </is>
      </c>
      <c r="H6" s="3" t="inlineStr">
        <is>
          <t>重心 ≥0.45、高位斜率 -0.20 至 +1.50 %/日、低位斜率 &gt;0</t>
        </is>
      </c>
      <c r="I6" s="20">
        <f>'總表'!BV32</f>
        <v/>
      </c>
      <c r="J6" s="5" t="n">
        <v>32</v>
      </c>
    </row>
    <row r="7">
      <c r="A7" s="5" t="n">
        <v>6</v>
      </c>
      <c r="B7" s="6" t="inlineStr">
        <is>
          <t>AXTI</t>
        </is>
      </c>
      <c r="C7" s="5" t="inlineStr">
        <is>
          <t>AXT Inc</t>
        </is>
      </c>
      <c r="D7" s="5" t="inlineStr">
        <is>
          <t>科技</t>
        </is>
      </c>
      <c r="E7" s="5" t="inlineStr">
        <is>
          <t>中型</t>
        </is>
      </c>
      <c r="F7" s="5" t="inlineStr">
        <is>
          <t>C4 上升三角／重心偏上</t>
        </is>
      </c>
      <c r="G7" s="3" t="inlineStr">
        <is>
          <t>重心 0.47（要 ≥0.5）、高位斜率 +1.10%/日（要 -0.10 至 +1.00）、低位斜率 +1.43%/日（要 &gt;0）</t>
        </is>
      </c>
      <c r="H7" s="3" t="inlineStr">
        <is>
          <t>重心 ≥0.45、高位斜率 -0.20 至 +1.50 %/日、低位斜率 &gt;0</t>
        </is>
      </c>
      <c r="I7" s="20">
        <f>'總表'!BV33</f>
        <v/>
      </c>
      <c r="J7" s="5" t="n">
        <v>33</v>
      </c>
    </row>
    <row r="8">
      <c r="A8" s="5" t="n">
        <v>7</v>
      </c>
      <c r="B8" s="6" t="inlineStr">
        <is>
          <t>PGEN</t>
        </is>
      </c>
      <c r="C8" s="5" t="inlineStr">
        <is>
          <t>Precigen Inc.</t>
        </is>
      </c>
      <c r="D8" s="5" t="inlineStr">
        <is>
          <t>醫療保健</t>
        </is>
      </c>
      <c r="E8" s="5" t="inlineStr">
        <is>
          <t>中型</t>
        </is>
      </c>
      <c r="F8" s="5" t="inlineStr">
        <is>
          <t>C4 上升三角／重心偏上</t>
        </is>
      </c>
      <c r="G8" s="3" t="inlineStr">
        <is>
          <t>重心 0.45（要 ≥0.5）、高位斜率 +1.00%/日（要 -0.10 至 +1.00）、低位斜率 +0.45%/日（要 &gt;0）</t>
        </is>
      </c>
      <c r="H8" s="3" t="inlineStr">
        <is>
          <t>重心 ≥0.45、高位斜率 -0.20 至 +1.50 %/日、低位斜率 &gt;0</t>
        </is>
      </c>
      <c r="I8" s="20">
        <f>'總表'!BV34</f>
        <v/>
      </c>
      <c r="J8" s="5" t="n">
        <v>34</v>
      </c>
    </row>
    <row r="9">
      <c r="A9" s="5" t="n">
        <v>8</v>
      </c>
      <c r="B9" s="6" t="inlineStr">
        <is>
          <t>HPE</t>
        </is>
      </c>
      <c r="C9" s="5" t="inlineStr">
        <is>
          <t>Hewlett Packard Enterprise Company</t>
        </is>
      </c>
      <c r="D9" s="5" t="inlineStr">
        <is>
          <t>科技</t>
        </is>
      </c>
      <c r="E9" s="5" t="inlineStr">
        <is>
          <t>大型</t>
        </is>
      </c>
      <c r="F9" s="5" t="inlineStr">
        <is>
          <t>C4 上升三角／重心偏上</t>
        </is>
      </c>
      <c r="G9" s="3" t="inlineStr">
        <is>
          <t>重心 0.50（要 ≥0.5）、高位斜率 +0.93%/日（要 -0.10 至 +1.00）、低位斜率 +1.68%/日（要 &gt;0）</t>
        </is>
      </c>
      <c r="H9" s="3" t="inlineStr">
        <is>
          <t>重心 ≥0.45、高位斜率 -0.20 至 +1.50 %/日、低位斜率 &gt;0</t>
        </is>
      </c>
      <c r="I9" s="20">
        <f>'總表'!BV35</f>
        <v/>
      </c>
      <c r="J9" s="5" t="n">
        <v>35</v>
      </c>
    </row>
    <row r="10">
      <c r="A10" s="5" t="n">
        <v>9</v>
      </c>
      <c r="B10" s="6" t="inlineStr">
        <is>
          <t>S</t>
        </is>
      </c>
      <c r="C10" s="5" t="inlineStr">
        <is>
          <t>SentinelOne Inc.</t>
        </is>
      </c>
      <c r="D10" s="5" t="inlineStr">
        <is>
          <t>科技</t>
        </is>
      </c>
      <c r="E10" s="5" t="inlineStr">
        <is>
          <t>中型</t>
        </is>
      </c>
      <c r="F10" s="5" t="inlineStr">
        <is>
          <t>C4 上升三角／重心偏上</t>
        </is>
      </c>
      <c r="G10" s="3" t="inlineStr">
        <is>
          <t>重心 0.48（要 ≥0.5）、高位斜率 +0.11%/日（要 -0.10 至 +1.00）、低位斜率 +0.78%/日（要 &gt;0）</t>
        </is>
      </c>
      <c r="H10" s="3" t="inlineStr">
        <is>
          <t>重心 ≥0.45、高位斜率 -0.20 至 +1.50 %/日、低位斜率 &gt;0</t>
        </is>
      </c>
      <c r="I10" s="20">
        <f>'總表'!BV36</f>
        <v/>
      </c>
      <c r="J10" s="5" t="n">
        <v>36</v>
      </c>
    </row>
    <row r="11">
      <c r="A11" s="5" t="n">
        <v>10</v>
      </c>
      <c r="B11" s="6" t="inlineStr">
        <is>
          <t>FTK</t>
        </is>
      </c>
      <c r="C11" s="5" t="inlineStr">
        <is>
          <t>Flotek Industries Inc.</t>
        </is>
      </c>
      <c r="D11" s="5" t="inlineStr">
        <is>
          <t>工業</t>
        </is>
      </c>
      <c r="E11" s="5" t="inlineStr">
        <is>
          <t>小型</t>
        </is>
      </c>
      <c r="F11" s="5" t="inlineStr">
        <is>
          <t>C4 上升三角／重心偏上</t>
        </is>
      </c>
      <c r="G11" s="3" t="inlineStr">
        <is>
          <t>重心 0.61（要 ≥0.5）、高位斜率 +1.13%/日（要 -0.10 至 +1.00）、低位斜率 +1.74%/日（要 &gt;0）</t>
        </is>
      </c>
      <c r="H11" s="3" t="inlineStr">
        <is>
          <t>重心 ≥0.45、高位斜率 -0.20 至 +1.50 %/日、低位斜率 &gt;0</t>
        </is>
      </c>
      <c r="I11" s="20">
        <f>'總表'!BV37</f>
        <v/>
      </c>
      <c r="J11" s="5" t="n">
        <v>37</v>
      </c>
    </row>
    <row r="12">
      <c r="A12" s="5" t="n">
        <v>11</v>
      </c>
      <c r="B12" s="6" t="inlineStr">
        <is>
          <t>AEHR</t>
        </is>
      </c>
      <c r="C12" s="5" t="inlineStr">
        <is>
          <t>Aehr Test Systems</t>
        </is>
      </c>
      <c r="D12" s="5" t="inlineStr">
        <is>
          <t>工業</t>
        </is>
      </c>
      <c r="E12" s="5" t="inlineStr">
        <is>
          <t>中型</t>
        </is>
      </c>
      <c r="F12" s="5" t="inlineStr">
        <is>
          <t>C4 上升三角／重心偏上</t>
        </is>
      </c>
      <c r="G12" s="3" t="inlineStr">
        <is>
          <t>重心 0.47（要 ≥0.5）、高位斜率 +0.94%/日（要 -0.10 至 +1.00）、低位斜率 +0.70%/日（要 &gt;0）</t>
        </is>
      </c>
      <c r="H12" s="3" t="inlineStr">
        <is>
          <t>重心 ≥0.45、高位斜率 -0.20 至 +1.50 %/日、低位斜率 &gt;0</t>
        </is>
      </c>
      <c r="I12" s="20">
        <f>'總表'!BV38</f>
        <v/>
      </c>
      <c r="J12" s="5" t="n">
        <v>38</v>
      </c>
    </row>
    <row r="13">
      <c r="A13" s="5" t="n">
        <v>12</v>
      </c>
      <c r="B13" s="6" t="inlineStr">
        <is>
          <t>QMCO</t>
        </is>
      </c>
      <c r="C13" s="5" t="inlineStr">
        <is>
          <t>Quantum Corporation</t>
        </is>
      </c>
      <c r="D13" s="5" t="inlineStr">
        <is>
          <t>科技</t>
        </is>
      </c>
      <c r="E13" s="5" t="inlineStr">
        <is>
          <t>小型</t>
        </is>
      </c>
      <c r="F13" s="5" t="inlineStr">
        <is>
          <t>C4 上升三角／重心偏上</t>
        </is>
      </c>
      <c r="G13" s="3" t="inlineStr">
        <is>
          <t>重心 0.48（要 ≥0.5）、高位斜率 +1.39%/日（要 -0.10 至 +1.00）、低位斜率 +0.13%/日（要 &gt;0）</t>
        </is>
      </c>
      <c r="H13" s="3" t="inlineStr">
        <is>
          <t>重心 ≥0.45、高位斜率 -0.20 至 +1.50 %/日、低位斜率 &gt;0</t>
        </is>
      </c>
      <c r="I13" s="20">
        <f>'總表'!BV39</f>
        <v/>
      </c>
      <c r="J13" s="5" t="n">
        <v>39</v>
      </c>
    </row>
    <row r="14">
      <c r="A14" s="5" t="n">
        <v>13</v>
      </c>
      <c r="B14" s="6" t="inlineStr">
        <is>
          <t>AVT</t>
        </is>
      </c>
      <c r="C14" s="5" t="inlineStr">
        <is>
          <t>Avnet Inc.</t>
        </is>
      </c>
      <c r="D14" s="5" t="inlineStr">
        <is>
          <t>科技</t>
        </is>
      </c>
      <c r="E14" s="5" t="inlineStr">
        <is>
          <t>中型</t>
        </is>
      </c>
      <c r="F14" s="5" t="inlineStr">
        <is>
          <t>C4 上升三角／重心偏上</t>
        </is>
      </c>
      <c r="G14" s="3" t="inlineStr">
        <is>
          <t>重心 0.45（要 ≥0.5）、高位斜率 +0.58%/日（要 -0.10 至 +1.00）、低位斜率 +0.49%/日（要 &gt;0）</t>
        </is>
      </c>
      <c r="H14" s="3" t="inlineStr">
        <is>
          <t>重心 ≥0.45、高位斜率 -0.20 至 +1.50 %/日、低位斜率 &gt;0</t>
        </is>
      </c>
      <c r="I14" s="20">
        <f>'總表'!BV40</f>
        <v/>
      </c>
      <c r="J14" s="5" t="n">
        <v>40</v>
      </c>
    </row>
    <row r="15">
      <c r="A15" s="5" t="n">
        <v>14</v>
      </c>
      <c r="B15" s="6" t="inlineStr">
        <is>
          <t>ABSI</t>
        </is>
      </c>
      <c r="C15" s="5" t="inlineStr">
        <is>
          <t>Absci Corporation</t>
        </is>
      </c>
      <c r="D15" s="5" t="inlineStr">
        <is>
          <t>醫療保健</t>
        </is>
      </c>
      <c r="E15" s="5" t="inlineStr">
        <is>
          <t>小型</t>
        </is>
      </c>
      <c r="F15" s="5" t="inlineStr">
        <is>
          <t>C4 上升三角／重心偏上</t>
        </is>
      </c>
      <c r="G15" s="3" t="inlineStr">
        <is>
          <t>重心 0.49（要 ≥0.5）、高位斜率 +0.89%/日（要 -0.10 至 +1.00）、低位斜率 +0.49%/日（要 &gt;0）</t>
        </is>
      </c>
      <c r="H15" s="3" t="inlineStr">
        <is>
          <t>重心 ≥0.45、高位斜率 -0.20 至 +1.50 %/日、低位斜率 &gt;0</t>
        </is>
      </c>
      <c r="I15" s="20">
        <f>'總表'!BV41</f>
        <v/>
      </c>
      <c r="J15" s="5" t="n">
        <v>41</v>
      </c>
    </row>
    <row r="16">
      <c r="A16" s="5" t="n">
        <v>15</v>
      </c>
      <c r="B16" s="6" t="inlineStr">
        <is>
          <t>PRLB</t>
        </is>
      </c>
      <c r="C16" s="5" t="inlineStr">
        <is>
          <t>Proto Labs Inc. Common stock</t>
        </is>
      </c>
      <c r="D16" s="5" t="inlineStr">
        <is>
          <t>工業</t>
        </is>
      </c>
      <c r="E16" s="5" t="inlineStr">
        <is>
          <t>中型</t>
        </is>
      </c>
      <c r="F16" s="5" t="inlineStr">
        <is>
          <t>C4 上升三角／重心偏上</t>
        </is>
      </c>
      <c r="G16" s="3" t="inlineStr">
        <is>
          <t>重心 0.47（要 ≥0.5）、高位斜率 +0.21%/日（要 -0.10 至 +1.00）、低位斜率 +0.12%/日（要 &gt;0）</t>
        </is>
      </c>
      <c r="H16" s="3" t="inlineStr">
        <is>
          <t>重心 ≥0.45、高位斜率 -0.20 至 +1.50 %/日、低位斜率 &gt;0</t>
        </is>
      </c>
      <c r="I16" s="20">
        <f>'總表'!BV42</f>
        <v/>
      </c>
      <c r="J16" s="5" t="n">
        <v>42</v>
      </c>
    </row>
    <row r="17">
      <c r="A17" s="5" t="n">
        <v>16</v>
      </c>
      <c r="B17" s="6" t="inlineStr">
        <is>
          <t>KODK</t>
        </is>
      </c>
      <c r="C17" s="5" t="inlineStr">
        <is>
          <t>Eastman Kodak Company Common New</t>
        </is>
      </c>
      <c r="D17" s="5" t="inlineStr">
        <is>
          <t>非必需消費</t>
        </is>
      </c>
      <c r="E17" s="5" t="inlineStr">
        <is>
          <t>小型</t>
        </is>
      </c>
      <c r="F17" s="5" t="inlineStr">
        <is>
          <t>C4 上升三角／重心偏上</t>
        </is>
      </c>
      <c r="G17" s="3" t="inlineStr">
        <is>
          <t>重心 0.49（要 ≥0.5）、高位斜率 +0.32%/日（要 -0.10 至 +1.00）、低位斜率 +0.38%/日（要 &gt;0）</t>
        </is>
      </c>
      <c r="H17" s="3" t="inlineStr">
        <is>
          <t>重心 ≥0.45、高位斜率 -0.20 至 +1.50 %/日、低位斜率 &gt;0</t>
        </is>
      </c>
      <c r="I17" s="20">
        <f>'總表'!BV43</f>
        <v/>
      </c>
      <c r="J17" s="5" t="n">
        <v>43</v>
      </c>
    </row>
    <row r="18">
      <c r="A18" s="5" t="n">
        <v>17</v>
      </c>
      <c r="B18" s="6" t="inlineStr">
        <is>
          <t>PWRL</t>
        </is>
      </c>
      <c r="C18" s="5" t="inlineStr">
        <is>
          <t>Powerlaw Corp.</t>
        </is>
      </c>
      <c r="D18" s="5" t="inlineStr">
        <is>
          <t>—</t>
        </is>
      </c>
      <c r="E18" s="5" t="inlineStr">
        <is>
          <t>未分類</t>
        </is>
      </c>
      <c r="F18" s="5" t="inlineStr">
        <is>
          <t>C4 上升三角／重心偏上</t>
        </is>
      </c>
      <c r="G18" s="3" t="inlineStr">
        <is>
          <t>重心 0.56（要 ≥0.5）、高位斜率 +1.02%/日（要 -0.10 至 +1.00）、低位斜率 +0.53%/日（要 &gt;0）</t>
        </is>
      </c>
      <c r="H18" s="3" t="inlineStr">
        <is>
          <t>重心 ≥0.45、高位斜率 -0.20 至 +1.50 %/日、低位斜率 &gt;0</t>
        </is>
      </c>
      <c r="I18" s="20">
        <f>'總表'!BV44</f>
        <v/>
      </c>
      <c r="J18" s="5" t="n">
        <v>44</v>
      </c>
    </row>
    <row r="19">
      <c r="A19" s="5" t="n">
        <v>18</v>
      </c>
      <c r="B19" s="6" t="inlineStr">
        <is>
          <t>TSSI</t>
        </is>
      </c>
      <c r="C19" s="5" t="inlineStr">
        <is>
          <t>TSS Inc.</t>
        </is>
      </c>
      <c r="D19" s="5" t="inlineStr">
        <is>
          <t>非必需消費</t>
        </is>
      </c>
      <c r="E19" s="5" t="inlineStr">
        <is>
          <t>小型</t>
        </is>
      </c>
      <c r="F19" s="5" t="inlineStr">
        <is>
          <t>C4 上升三角／重心偏上</t>
        </is>
      </c>
      <c r="G19" s="3" t="inlineStr">
        <is>
          <t>重心 0.49（要 ≥0.5）、高位斜率 +1.14%/日（要 -0.10 至 +1.00）、低位斜率 +0.48%/日（要 &gt;0）</t>
        </is>
      </c>
      <c r="H19" s="3" t="inlineStr">
        <is>
          <t>重心 ≥0.45、高位斜率 -0.20 至 +1.50 %/日、低位斜率 &gt;0</t>
        </is>
      </c>
      <c r="I19" s="20">
        <f>'總表'!BV45</f>
        <v/>
      </c>
      <c r="J19" s="5" t="n">
        <v>45</v>
      </c>
    </row>
    <row r="20">
      <c r="A20" s="5" t="n">
        <v>19</v>
      </c>
      <c r="B20" s="6" t="inlineStr">
        <is>
          <t>PI</t>
        </is>
      </c>
      <c r="C20" s="5" t="inlineStr">
        <is>
          <t>Impinj Inc.</t>
        </is>
      </c>
      <c r="D20" s="5" t="inlineStr">
        <is>
          <t>科技</t>
        </is>
      </c>
      <c r="E20" s="5" t="inlineStr">
        <is>
          <t>中型</t>
        </is>
      </c>
      <c r="F20" s="5" t="inlineStr">
        <is>
          <t>C4 上升三角／重心偏上</t>
        </is>
      </c>
      <c r="G20" s="3" t="inlineStr">
        <is>
          <t>重心 0.50（要 ≥0.5）、高位斜率 +0.23%/日（要 -0.10 至 +1.00）、低位斜率 +0.59%/日（要 &gt;0）</t>
        </is>
      </c>
      <c r="H20" s="3" t="inlineStr">
        <is>
          <t>重心 ≥0.45、高位斜率 -0.20 至 +1.50 %/日、低位斜率 &gt;0</t>
        </is>
      </c>
      <c r="I20" s="20">
        <f>'總表'!BV46</f>
        <v/>
      </c>
      <c r="J20" s="5" t="n">
        <v>46</v>
      </c>
    </row>
    <row r="21">
      <c r="A21" s="5" t="n">
        <v>20</v>
      </c>
      <c r="B21" s="6" t="inlineStr">
        <is>
          <t>SWBI</t>
        </is>
      </c>
      <c r="C21" s="5" t="inlineStr">
        <is>
          <t>Smith &amp; Wesson Brands Inc.</t>
        </is>
      </c>
      <c r="D21" s="5" t="inlineStr">
        <is>
          <t>工業</t>
        </is>
      </c>
      <c r="E21" s="5" t="inlineStr">
        <is>
          <t>小型</t>
        </is>
      </c>
      <c r="F21" s="5" t="inlineStr">
        <is>
          <t>C4 上升三角／重心偏上</t>
        </is>
      </c>
      <c r="G21" s="3" t="inlineStr">
        <is>
          <t>重心 0.47（要 ≥0.5）、高位斜率 +0.45%/日（要 -0.10 至 +1.00）、低位斜率 +0.61%/日（要 &gt;0）</t>
        </is>
      </c>
      <c r="H21" s="3" t="inlineStr">
        <is>
          <t>重心 ≥0.45、高位斜率 -0.20 至 +1.50 %/日、低位斜率 &gt;0</t>
        </is>
      </c>
      <c r="I21" s="20">
        <f>'總表'!BV47</f>
        <v/>
      </c>
      <c r="J21" s="5" t="n">
        <v>47</v>
      </c>
    </row>
    <row r="22">
      <c r="A22" s="5" t="n">
        <v>21</v>
      </c>
      <c r="B22" s="6" t="inlineStr">
        <is>
          <t>RLGT</t>
        </is>
      </c>
      <c r="C22" s="5" t="inlineStr">
        <is>
          <t>Radiant Logistics Inc.</t>
        </is>
      </c>
      <c r="D22" s="5" t="inlineStr">
        <is>
          <t>工業</t>
        </is>
      </c>
      <c r="E22" s="5" t="inlineStr">
        <is>
          <t>小型</t>
        </is>
      </c>
      <c r="F22" s="5" t="inlineStr">
        <is>
          <t>C4 上升三角／重心偏上</t>
        </is>
      </c>
      <c r="G22" s="3" t="inlineStr">
        <is>
          <t>重心 0.46（要 ≥0.5）、高位斜率 +0.21%/日（要 -0.10 至 +1.00）、低位斜率 +0.34%/日（要 &gt;0）</t>
        </is>
      </c>
      <c r="H22" s="3" t="inlineStr">
        <is>
          <t>重心 ≥0.45、高位斜率 -0.20 至 +1.50 %/日、低位斜率 &gt;0</t>
        </is>
      </c>
      <c r="I22" s="20">
        <f>'總表'!BV48</f>
        <v/>
      </c>
      <c r="J22" s="5" t="n">
        <v>48</v>
      </c>
    </row>
    <row r="23">
      <c r="A23" s="5" t="n">
        <v>22</v>
      </c>
      <c r="B23" s="6" t="inlineStr">
        <is>
          <t>CLDT</t>
        </is>
      </c>
      <c r="C23" s="5" t="inlineStr">
        <is>
          <t>Chatham Lodging Trust (REIT)</t>
        </is>
      </c>
      <c r="D23" s="5" t="inlineStr">
        <is>
          <t>房地產</t>
        </is>
      </c>
      <c r="E23" s="5" t="inlineStr">
        <is>
          <t>小型</t>
        </is>
      </c>
      <c r="F23" s="5" t="inlineStr">
        <is>
          <t>C4 上升三角／重心偏上</t>
        </is>
      </c>
      <c r="G23" s="3" t="inlineStr">
        <is>
          <t>重心 0.49（要 ≥0.5）、高位斜率 +0.09%/日（要 -0.10 至 +1.00）、低位斜率 +0.16%/日（要 &gt;0）</t>
        </is>
      </c>
      <c r="H23" s="3" t="inlineStr">
        <is>
          <t>重心 ≥0.45、高位斜率 -0.20 至 +1.50 %/日、低位斜率 &gt;0</t>
        </is>
      </c>
      <c r="I23" s="20">
        <f>'總表'!BV49</f>
        <v/>
      </c>
      <c r="J23" s="5" t="n">
        <v>49</v>
      </c>
    </row>
    <row r="24">
      <c r="A24" s="5" t="n">
        <v>23</v>
      </c>
      <c r="B24" s="6" t="inlineStr">
        <is>
          <t>WMK</t>
        </is>
      </c>
      <c r="C24" s="5" t="inlineStr">
        <is>
          <t>Weis Markets Inc.</t>
        </is>
      </c>
      <c r="D24" s="5" t="inlineStr">
        <is>
          <t>必需消費</t>
        </is>
      </c>
      <c r="E24" s="5" t="inlineStr">
        <is>
          <t>小型</t>
        </is>
      </c>
      <c r="F24" s="5" t="inlineStr">
        <is>
          <t>C4 上升三角／重心偏上</t>
        </is>
      </c>
      <c r="G24" s="3" t="inlineStr">
        <is>
          <t>重心 0.46（要 ≥0.5）、高位斜率 +0.30%/日（要 -0.10 至 +1.00）、低位斜率 +0.24%/日（要 &gt;0）</t>
        </is>
      </c>
      <c r="H24" s="3" t="inlineStr">
        <is>
          <t>重心 ≥0.45、高位斜率 -0.20 至 +1.50 %/日、低位斜率 &gt;0</t>
        </is>
      </c>
      <c r="I24" s="20">
        <f>'總表'!BV50</f>
        <v/>
      </c>
      <c r="J24" s="5" t="n">
        <v>50</v>
      </c>
    </row>
    <row r="25">
      <c r="A25" s="5" t="n">
        <v>24</v>
      </c>
      <c r="B25" s="6" t="inlineStr">
        <is>
          <t>MRVI</t>
        </is>
      </c>
      <c r="C25" s="5" t="inlineStr">
        <is>
          <t>Maravai LifeSciences Holdings Inc.</t>
        </is>
      </c>
      <c r="D25" s="5" t="inlineStr">
        <is>
          <t>醫療保健</t>
        </is>
      </c>
      <c r="E25" s="5" t="inlineStr">
        <is>
          <t>小型</t>
        </is>
      </c>
      <c r="F25" s="5" t="inlineStr">
        <is>
          <t>C4 上升三角／重心偏上</t>
        </is>
      </c>
      <c r="G25" s="3" t="inlineStr">
        <is>
          <t>重心 0.48（要 ≥0.5）、高位斜率 +0.62%/日（要 -0.10 至 +1.00）、低位斜率 +0.08%/日（要 &gt;0）</t>
        </is>
      </c>
      <c r="H25" s="3" t="inlineStr">
        <is>
          <t>重心 ≥0.45、高位斜率 -0.20 至 +1.50 %/日、低位斜率 &gt;0</t>
        </is>
      </c>
      <c r="I25" s="20">
        <f>'總表'!BV51</f>
        <v/>
      </c>
      <c r="J25" s="5" t="n">
        <v>51</v>
      </c>
    </row>
    <row r="26">
      <c r="A26" s="5" t="n">
        <v>25</v>
      </c>
      <c r="B26" s="6" t="inlineStr">
        <is>
          <t>AIP</t>
        </is>
      </c>
      <c r="C26" s="5" t="inlineStr">
        <is>
          <t>Arteris Inc.</t>
        </is>
      </c>
      <c r="D26" s="5" t="inlineStr">
        <is>
          <t>科技</t>
        </is>
      </c>
      <c r="E26" s="5" t="inlineStr">
        <is>
          <t>小型</t>
        </is>
      </c>
      <c r="F26" s="5" t="inlineStr">
        <is>
          <t>C4 上升三角／重心偏上</t>
        </is>
      </c>
      <c r="G26" s="3" t="inlineStr">
        <is>
          <t>重心 0.49（要 ≥0.5）、高位斜率 +0.46%/日（要 -0.10 至 +1.00）、低位斜率 +0.60%/日（要 &gt;0）</t>
        </is>
      </c>
      <c r="H26" s="3" t="inlineStr">
        <is>
          <t>重心 ≥0.45、高位斜率 -0.20 至 +1.50 %/日、低位斜率 &gt;0</t>
        </is>
      </c>
      <c r="I26" s="20">
        <f>'總表'!BV52</f>
        <v/>
      </c>
      <c r="J26" s="5" t="n">
        <v>52</v>
      </c>
    </row>
    <row r="27">
      <c r="A27" s="5" t="n">
        <v>26</v>
      </c>
      <c r="B27" s="6" t="inlineStr">
        <is>
          <t>WEST</t>
        </is>
      </c>
      <c r="C27" s="5" t="inlineStr">
        <is>
          <t>Westrock Coffee Company</t>
        </is>
      </c>
      <c r="D27" s="5" t="inlineStr">
        <is>
          <t>必需消費</t>
        </is>
      </c>
      <c r="E27" s="5" t="inlineStr">
        <is>
          <t>小型</t>
        </is>
      </c>
      <c r="F27" s="5" t="inlineStr">
        <is>
          <t>C4 上升三角／重心偏上</t>
        </is>
      </c>
      <c r="G27" s="3" t="inlineStr">
        <is>
          <t>重心 0.46（要 ≥0.5）、高位斜率 +0.12%/日（要 -0.10 至 +1.00）、低位斜率 +0.14%/日（要 &gt;0）</t>
        </is>
      </c>
      <c r="H27" s="3" t="inlineStr">
        <is>
          <t>重心 ≥0.45、高位斜率 -0.20 至 +1.50 %/日、低位斜率 &gt;0</t>
        </is>
      </c>
      <c r="I27" s="20">
        <f>'總表'!BV53</f>
        <v/>
      </c>
      <c r="J27" s="5" t="n">
        <v>53</v>
      </c>
    </row>
    <row r="28">
      <c r="A28" s="5" t="n">
        <v>27</v>
      </c>
      <c r="B28" s="6" t="inlineStr">
        <is>
          <t>HWKN</t>
        </is>
      </c>
      <c r="C28" s="5" t="inlineStr">
        <is>
          <t>Hawkins Inc.</t>
        </is>
      </c>
      <c r="D28" s="5" t="inlineStr">
        <is>
          <t>非必需消費</t>
        </is>
      </c>
      <c r="E28" s="5" t="inlineStr">
        <is>
          <t>中型</t>
        </is>
      </c>
      <c r="F28" s="5" t="inlineStr">
        <is>
          <t>C4 上升三角／重心偏上</t>
        </is>
      </c>
      <c r="G28" s="3" t="inlineStr">
        <is>
          <t>重心 0.47（要 ≥0.5）、高位斜率 -0.03%/日（要 -0.10 至 +1.00）、低位斜率 +0.17%/日（要 &gt;0）</t>
        </is>
      </c>
      <c r="H28" s="3" t="inlineStr">
        <is>
          <t>重心 ≥0.45、高位斜率 -0.20 至 +1.50 %/日、低位斜率 &gt;0</t>
        </is>
      </c>
      <c r="I28" s="20">
        <f>'總表'!BV54</f>
        <v/>
      </c>
      <c r="J28" s="5" t="n">
        <v>54</v>
      </c>
    </row>
    <row r="29">
      <c r="A29" s="5" t="n">
        <v>28</v>
      </c>
      <c r="B29" s="6" t="inlineStr">
        <is>
          <t>FIX</t>
        </is>
      </c>
      <c r="C29" s="5" t="inlineStr">
        <is>
          <t>Comfort Systems USA Inc.</t>
        </is>
      </c>
      <c r="D29" s="5" t="inlineStr">
        <is>
          <t>工業</t>
        </is>
      </c>
      <c r="E29" s="5" t="inlineStr">
        <is>
          <t>大型</t>
        </is>
      </c>
      <c r="F29" s="5" t="inlineStr">
        <is>
          <t>C4 上升三角／重心偏上</t>
        </is>
      </c>
      <c r="G29" s="3" t="inlineStr">
        <is>
          <t>重心 0.46（要 ≥0.5）、高位斜率 -0.18%/日（要 -0.10 至 +1.00）、低位斜率 +0.22%/日（要 &gt;0）</t>
        </is>
      </c>
      <c r="H29" s="3" t="inlineStr">
        <is>
          <t>重心 ≥0.45、高位斜率 -0.20 至 +1.50 %/日、低位斜率 &gt;0</t>
        </is>
      </c>
      <c r="I29" s="20">
        <f>'總表'!BV55</f>
        <v/>
      </c>
      <c r="J29" s="5" t="n">
        <v>55</v>
      </c>
    </row>
    <row r="30">
      <c r="A30" s="5" t="n">
        <v>29</v>
      </c>
      <c r="B30" s="6" t="inlineStr">
        <is>
          <t>NVTS</t>
        </is>
      </c>
      <c r="C30" s="5" t="inlineStr">
        <is>
          <t>Navitas Semiconductor Corporation</t>
        </is>
      </c>
      <c r="D30" s="5" t="inlineStr">
        <is>
          <t>科技</t>
        </is>
      </c>
      <c r="E30" s="5" t="inlineStr">
        <is>
          <t>中型</t>
        </is>
      </c>
      <c r="F30" s="5" t="inlineStr">
        <is>
          <t>C4 上升三角／重心偏上</t>
        </is>
      </c>
      <c r="G30" s="3" t="inlineStr">
        <is>
          <t>重心 0.46（要 ≥0.5）、高位斜率 -0.09%/日（要 -0.10 至 +1.00）、低位斜率 +0.24%/日（要 &gt;0）</t>
        </is>
      </c>
      <c r="H30" s="3" t="inlineStr">
        <is>
          <t>重心 ≥0.45、高位斜率 -0.20 至 +1.50 %/日、低位斜率 &gt;0</t>
        </is>
      </c>
      <c r="I30" s="20">
        <f>'總表'!BV56</f>
        <v/>
      </c>
      <c r="J30" s="5" t="n">
        <v>56</v>
      </c>
    </row>
    <row r="31">
      <c r="A31" s="5" t="n">
        <v>30</v>
      </c>
      <c r="B31" s="6" t="inlineStr">
        <is>
          <t>PCRX</t>
        </is>
      </c>
      <c r="C31" s="5" t="inlineStr">
        <is>
          <t>Pacira BioSciences Inc.</t>
        </is>
      </c>
      <c r="D31" s="5" t="inlineStr">
        <is>
          <t>醫療保健</t>
        </is>
      </c>
      <c r="E31" s="5" t="inlineStr">
        <is>
          <t>小型</t>
        </is>
      </c>
      <c r="F31" s="5" t="inlineStr">
        <is>
          <t>C4 上升三角／重心偏上</t>
        </is>
      </c>
      <c r="G31" s="3" t="inlineStr">
        <is>
          <t>重心 0.52（要 ≥0.5）、高位斜率 -0.19%/日（要 -0.10 至 +1.00）、低位斜率 +0.33%/日（要 &gt;0）</t>
        </is>
      </c>
      <c r="H31" s="3" t="inlineStr">
        <is>
          <t>重心 ≥0.45、高位斜率 -0.20 至 +1.50 %/日、低位斜率 &gt;0</t>
        </is>
      </c>
      <c r="I31" s="20">
        <f>'總表'!BV57</f>
        <v/>
      </c>
      <c r="J31" s="5" t="n">
        <v>57</v>
      </c>
    </row>
    <row r="32">
      <c r="A32" s="5" t="n">
        <v>31</v>
      </c>
      <c r="B32" s="6" t="inlineStr">
        <is>
          <t>FBLA</t>
        </is>
      </c>
      <c r="C32" s="5" t="inlineStr">
        <is>
          <t>FB Bancorp Inc.</t>
        </is>
      </c>
      <c r="D32" s="5" t="inlineStr">
        <is>
          <t>金融</t>
        </is>
      </c>
      <c r="E32" s="5" t="inlineStr">
        <is>
          <t>小型</t>
        </is>
      </c>
      <c r="F32" s="5" t="inlineStr">
        <is>
          <t>C4 上升三角／重心偏上</t>
        </is>
      </c>
      <c r="G32" s="3" t="inlineStr">
        <is>
          <t>重心 0.45（要 ≥0.5）、高位斜率 +0.26%/日（要 -0.10 至 +1.00）、低位斜率 +0.16%/日（要 &gt;0）</t>
        </is>
      </c>
      <c r="H32" s="3" t="inlineStr">
        <is>
          <t>重心 ≥0.45、高位斜率 -0.20 至 +1.50 %/日、低位斜率 &gt;0</t>
        </is>
      </c>
      <c r="I32" s="20">
        <f>'總表'!BV58</f>
        <v/>
      </c>
      <c r="J32" s="5" t="n">
        <v>58</v>
      </c>
    </row>
    <row r="33">
      <c r="A33" s="5" t="n">
        <v>32</v>
      </c>
      <c r="B33" s="6" t="inlineStr">
        <is>
          <t>GFS</t>
        </is>
      </c>
      <c r="C33" s="5" t="inlineStr">
        <is>
          <t>GlobalFoundries Inc.</t>
        </is>
      </c>
      <c r="D33" s="5" t="inlineStr">
        <is>
          <t>科技</t>
        </is>
      </c>
      <c r="E33" s="5" t="inlineStr">
        <is>
          <t>大型</t>
        </is>
      </c>
      <c r="F33" s="5" t="inlineStr">
        <is>
          <t>C4 上升三角／重心偏上</t>
        </is>
      </c>
      <c r="G33" s="3" t="inlineStr">
        <is>
          <t>重心 0.46（要 ≥0.5）、高位斜率 +0.42%/日（要 -0.10 至 +1.00）、低位斜率 +0.38%/日（要 &gt;0）</t>
        </is>
      </c>
      <c r="H33" s="3" t="inlineStr">
        <is>
          <t>重心 ≥0.45、高位斜率 -0.20 至 +1.50 %/日、低位斜率 &gt;0</t>
        </is>
      </c>
      <c r="I33" s="20">
        <f>'總表'!BV59</f>
        <v/>
      </c>
      <c r="J33" s="5" t="n">
        <v>59</v>
      </c>
    </row>
    <row r="34">
      <c r="A34" s="5" t="n">
        <v>33</v>
      </c>
      <c r="B34" s="6" t="inlineStr">
        <is>
          <t>NTNX</t>
        </is>
      </c>
      <c r="C34" s="5" t="inlineStr">
        <is>
          <t>Nutanix Inc.</t>
        </is>
      </c>
      <c r="D34" s="5" t="inlineStr">
        <is>
          <t>科技</t>
        </is>
      </c>
      <c r="E34" s="5" t="inlineStr">
        <is>
          <t>大型</t>
        </is>
      </c>
      <c r="F34" s="5" t="inlineStr">
        <is>
          <t>C4 上升三角／重心偏上</t>
        </is>
      </c>
      <c r="G34" s="3" t="inlineStr">
        <is>
          <t>重心 0.47（要 ≥0.5）、高位斜率 +0.16%/日（要 -0.10 至 +1.00）、低位斜率 +0.05%/日（要 &gt;0）</t>
        </is>
      </c>
      <c r="H34" s="3" t="inlineStr">
        <is>
          <t>重心 ≥0.45、高位斜率 -0.20 至 +1.50 %/日、低位斜率 &gt;0</t>
        </is>
      </c>
      <c r="I34" s="20">
        <f>'總表'!BV60</f>
        <v/>
      </c>
      <c r="J34" s="5" t="n">
        <v>60</v>
      </c>
    </row>
    <row r="35">
      <c r="A35" s="5" t="n">
        <v>34</v>
      </c>
      <c r="B35" s="6" t="inlineStr">
        <is>
          <t>LYTS</t>
        </is>
      </c>
      <c r="C35" s="5" t="inlineStr">
        <is>
          <t>LSI Industries Inc.</t>
        </is>
      </c>
      <c r="D35" s="5" t="inlineStr">
        <is>
          <t>非必需消費</t>
        </is>
      </c>
      <c r="E35" s="5" t="inlineStr">
        <is>
          <t>小型</t>
        </is>
      </c>
      <c r="F35" s="5" t="inlineStr">
        <is>
          <t>C4 上升三角／重心偏上</t>
        </is>
      </c>
      <c r="G35" s="3" t="inlineStr">
        <is>
          <t>重心 0.48（要 ≥0.5）、高位斜率 +0.27%/日（要 -0.10 至 +1.00）、低位斜率 +0.23%/日（要 &gt;0）</t>
        </is>
      </c>
      <c r="H35" s="3" t="inlineStr">
        <is>
          <t>重心 ≥0.45、高位斜率 -0.20 至 +1.50 %/日、低位斜率 &gt;0</t>
        </is>
      </c>
      <c r="I35" s="20">
        <f>'總表'!BV61</f>
        <v/>
      </c>
      <c r="J35" s="5" t="n">
        <v>61</v>
      </c>
    </row>
    <row r="36">
      <c r="A36" s="5" t="n">
        <v>35</v>
      </c>
      <c r="B36" s="6" t="inlineStr">
        <is>
          <t>FLEX</t>
        </is>
      </c>
      <c r="C36" s="5" t="inlineStr">
        <is>
          <t>Flex Ltd.</t>
        </is>
      </c>
      <c r="D36" s="5" t="inlineStr">
        <is>
          <t>科技</t>
        </is>
      </c>
      <c r="E36" s="5" t="inlineStr">
        <is>
          <t>大型</t>
        </is>
      </c>
      <c r="F36" s="5" t="inlineStr">
        <is>
          <t>C4 上升三角／重心偏上</t>
        </is>
      </c>
      <c r="G36" s="3" t="inlineStr">
        <is>
          <t>重心 0.45（要 ≥0.5）、高位斜率 +0.26%/日（要 -0.10 至 +1.00）、低位斜率 +0.39%/日（要 &gt;0）</t>
        </is>
      </c>
      <c r="H36" s="3" t="inlineStr">
        <is>
          <t>重心 ≥0.45、高位斜率 -0.20 至 +1.50 %/日、低位斜率 &gt;0</t>
        </is>
      </c>
      <c r="I36" s="20">
        <f>'總表'!BV62</f>
        <v/>
      </c>
      <c r="J36" s="5" t="n">
        <v>62</v>
      </c>
    </row>
    <row r="38">
      <c r="A38" s="66" t="inlineStr">
        <is>
          <t>第二梯隊（35 隻）：五項入面只唔過一項，而且嗰一項喺放寬門檻下通過。綜合分數引用總表。</t>
        </is>
      </c>
    </row>
  </sheetData>
  <autoFilter ref="A1:J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4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收市價</t>
        </is>
      </c>
      <c r="F1" s="4" t="inlineStr">
        <is>
          <t>底1（60日內，舊→新）</t>
        </is>
      </c>
      <c r="G1" s="4" t="inlineStr">
        <is>
          <t>底2（60日內，舊→新）</t>
        </is>
      </c>
      <c r="H1" s="4" t="inlineStr">
        <is>
          <t>底3（60日內，舊→新）</t>
        </is>
      </c>
      <c r="I1" s="4" t="inlineStr">
        <is>
          <t>底4（60日內，舊→新）</t>
        </is>
      </c>
      <c r="J1" s="4" t="inlineStr">
        <is>
          <t>底5（60日內，舊→新）</t>
        </is>
      </c>
      <c r="K1" s="4" t="inlineStr">
        <is>
          <t>底6（60日內，舊→新）</t>
        </is>
      </c>
      <c r="L1" s="4" t="inlineStr">
        <is>
          <t>頂1（25日內，舊→新）</t>
        </is>
      </c>
      <c r="M1" s="4" t="inlineStr">
        <is>
          <t>頂2（25日內，舊→新）</t>
        </is>
      </c>
      <c r="N1" s="4" t="inlineStr">
        <is>
          <t>頂3（25日內，舊→新）</t>
        </is>
      </c>
      <c r="O1" s="4" t="inlineStr">
        <is>
          <t>頂4（25日內，舊→新）</t>
        </is>
      </c>
    </row>
    <row r="2">
      <c r="A2" s="5" t="n">
        <v>1</v>
      </c>
      <c r="B2" s="5" t="n">
        <v>1</v>
      </c>
      <c r="C2" s="6" t="inlineStr">
        <is>
          <t>AMN</t>
        </is>
      </c>
      <c r="D2" s="5" t="inlineStr">
        <is>
          <t>AMN Healthcare Services Inc</t>
        </is>
      </c>
      <c r="E2" s="8" t="n">
        <v>36.63</v>
      </c>
      <c r="F2" s="14" t="inlineStr">
        <is>
          <t>07-24 @ 32.43</t>
        </is>
      </c>
      <c r="G2" s="14" t="inlineStr">
        <is>
          <t>08-06 @ 30.17</t>
        </is>
      </c>
      <c r="H2" s="14" t="inlineStr">
        <is>
          <t>08-26 @ 33.00</t>
        </is>
      </c>
      <c r="I2" s="14" t="inlineStr">
        <is>
          <t>09-03 @ 32.03</t>
        </is>
      </c>
      <c r="J2" s="14" t="inlineStr">
        <is>
          <t>09-10 @ 32.66</t>
        </is>
      </c>
      <c r="K2" s="14" t="inlineStr">
        <is>
          <t>09-24 @ 33.41</t>
        </is>
      </c>
      <c r="L2" s="14" t="inlineStr">
        <is>
          <t>08-28 @ 35.46</t>
        </is>
      </c>
      <c r="M2" s="14" t="inlineStr">
        <is>
          <t>09-10 @ 34.63</t>
        </is>
      </c>
      <c r="N2" s="14" t="inlineStr">
        <is>
          <t>09-16 @ 35.56</t>
        </is>
      </c>
      <c r="O2" s="14" t="inlineStr"/>
    </row>
    <row r="3">
      <c r="A3" s="5" t="n">
        <v>1</v>
      </c>
      <c r="B3" s="5" t="n">
        <v>2</v>
      </c>
      <c r="C3" s="6" t="inlineStr">
        <is>
          <t>SEI</t>
        </is>
      </c>
      <c r="D3" s="5" t="inlineStr">
        <is>
          <t>Solaris Energy Infrastructure Inc.</t>
        </is>
      </c>
      <c r="E3" s="8" t="n">
        <v>74.93000000000001</v>
      </c>
      <c r="F3" s="14" t="inlineStr">
        <is>
          <t>07-17 @ 56.96</t>
        </is>
      </c>
      <c r="G3" s="14" t="inlineStr">
        <is>
          <t>07-29 @ 42.67</t>
        </is>
      </c>
      <c r="H3" s="14" t="inlineStr">
        <is>
          <t>08-24 @ 50.56</t>
        </is>
      </c>
      <c r="I3" s="14" t="inlineStr">
        <is>
          <t>09-02 @ 47.81</t>
        </is>
      </c>
      <c r="J3" s="14" t="inlineStr">
        <is>
          <t>09-14 @ 60.59</t>
        </is>
      </c>
      <c r="K3" s="14" t="inlineStr">
        <is>
          <t>09-23 @ 64.23</t>
        </is>
      </c>
      <c r="L3" s="14" t="inlineStr">
        <is>
          <t>09-11 @ 70.33</t>
        </is>
      </c>
      <c r="M3" s="14" t="inlineStr">
        <is>
          <t>09-21 @ 71.40</t>
        </is>
      </c>
      <c r="N3" s="14" t="inlineStr"/>
      <c r="O3" s="14" t="inlineStr"/>
    </row>
    <row r="4">
      <c r="A4" s="5" t="n">
        <v>1</v>
      </c>
      <c r="B4" s="5" t="n">
        <v>3</v>
      </c>
      <c r="C4" s="6" t="inlineStr">
        <is>
          <t>DDD</t>
        </is>
      </c>
      <c r="D4" s="5" t="inlineStr">
        <is>
          <t>3D Systems Corporation</t>
        </is>
      </c>
      <c r="E4" s="8" t="n">
        <v>3.78</v>
      </c>
      <c r="F4" s="14" t="inlineStr">
        <is>
          <t>07-20 @ 2.55</t>
        </is>
      </c>
      <c r="G4" s="14" t="inlineStr">
        <is>
          <t>07-29 @ 2.43</t>
        </is>
      </c>
      <c r="H4" s="14" t="inlineStr">
        <is>
          <t>08-24 @ 3.10</t>
        </is>
      </c>
      <c r="I4" s="14" t="inlineStr">
        <is>
          <t>09-16 @ 3.10</t>
        </is>
      </c>
      <c r="J4" s="14" t="inlineStr">
        <is>
          <t>09-25 @ 3.35</t>
        </is>
      </c>
      <c r="K4" s="14" t="inlineStr"/>
      <c r="L4" s="14" t="inlineStr">
        <is>
          <t>09-01 @ 3.59</t>
        </is>
      </c>
      <c r="M4" s="14" t="inlineStr">
        <is>
          <t>09-08 @ 3.53</t>
        </is>
      </c>
      <c r="N4" s="14" t="inlineStr">
        <is>
          <t>09-18 @ 3.71</t>
        </is>
      </c>
      <c r="O4" s="14" t="inlineStr"/>
    </row>
    <row r="5">
      <c r="A5" s="5" t="n">
        <v>1</v>
      </c>
      <c r="B5" s="5" t="n">
        <v>4</v>
      </c>
      <c r="C5" s="6" t="inlineStr">
        <is>
          <t>FFIV</t>
        </is>
      </c>
      <c r="D5" s="5" t="inlineStr">
        <is>
          <t>F5 Inc.</t>
        </is>
      </c>
      <c r="E5" s="8" t="n">
        <v>454.04</v>
      </c>
      <c r="F5" s="14" t="inlineStr">
        <is>
          <t>07-17 @ 391.97</t>
        </is>
      </c>
      <c r="G5" s="14" t="inlineStr">
        <is>
          <t>07-28 @ 366.93</t>
        </is>
      </c>
      <c r="H5" s="14" t="inlineStr">
        <is>
          <t>08-07 @ 400.07</t>
        </is>
      </c>
      <c r="I5" s="14" t="inlineStr">
        <is>
          <t>08-20 @ 376.21</t>
        </is>
      </c>
      <c r="J5" s="14" t="inlineStr">
        <is>
          <t>09-02 @ 384.95</t>
        </is>
      </c>
      <c r="K5" s="14" t="inlineStr">
        <is>
          <t>09-29 @ 428.93</t>
        </is>
      </c>
      <c r="L5" s="14" t="inlineStr">
        <is>
          <t>09-23 @ 462.00</t>
        </is>
      </c>
      <c r="M5" s="14" t="inlineStr"/>
      <c r="N5" s="14" t="inlineStr"/>
      <c r="O5" s="14" t="inlineStr"/>
    </row>
    <row r="6">
      <c r="A6" s="5" t="n">
        <v>1</v>
      </c>
      <c r="B6" s="5" t="n">
        <v>5</v>
      </c>
      <c r="C6" s="6" t="inlineStr">
        <is>
          <t>ANET</t>
        </is>
      </c>
      <c r="D6" s="5" t="inlineStr">
        <is>
          <t>Arista Networks Inc.</t>
        </is>
      </c>
      <c r="E6" s="8" t="n">
        <v>207.35</v>
      </c>
      <c r="F6" s="14" t="inlineStr">
        <is>
          <t>07-29 @ 156.84</t>
        </is>
      </c>
      <c r="G6" s="14" t="inlineStr">
        <is>
          <t>08-10 @ 187.03</t>
        </is>
      </c>
      <c r="H6" s="14" t="inlineStr">
        <is>
          <t>08-20 @ 182.83</t>
        </is>
      </c>
      <c r="I6" s="14" t="inlineStr">
        <is>
          <t>09-03 @ 181.27</t>
        </is>
      </c>
      <c r="J6" s="14" t="inlineStr">
        <is>
          <t>09-14 @ 186.11</t>
        </is>
      </c>
      <c r="K6" s="14" t="inlineStr">
        <is>
          <t>09-24 @ 198.76</t>
        </is>
      </c>
      <c r="L6" s="14" t="inlineStr">
        <is>
          <t>09-08 @ 200.68</t>
        </is>
      </c>
      <c r="M6" s="14" t="inlineStr">
        <is>
          <t>09-25 @ 212.00</t>
        </is>
      </c>
      <c r="N6" s="14" t="inlineStr"/>
      <c r="O6" s="14" t="inlineStr"/>
    </row>
    <row r="7">
      <c r="A7" s="5" t="n">
        <v>1</v>
      </c>
      <c r="B7" s="5" t="n">
        <v>6</v>
      </c>
      <c r="C7" s="6" t="inlineStr">
        <is>
          <t>FTNT</t>
        </is>
      </c>
      <c r="D7" s="5" t="inlineStr">
        <is>
          <t>Fortinet Inc.</t>
        </is>
      </c>
      <c r="E7" s="8" t="n">
        <v>180.95</v>
      </c>
      <c r="F7" s="14" t="inlineStr">
        <is>
          <t>07-29 @ 143.77</t>
        </is>
      </c>
      <c r="G7" s="14" t="inlineStr">
        <is>
          <t>08-06 @ 158.27</t>
        </is>
      </c>
      <c r="H7" s="14" t="inlineStr">
        <is>
          <t>08-21 @ 148.25</t>
        </is>
      </c>
      <c r="I7" s="14" t="inlineStr">
        <is>
          <t>09-02 @ 151.80</t>
        </is>
      </c>
      <c r="J7" s="14" t="inlineStr">
        <is>
          <t>09-18 @ 166.09</t>
        </is>
      </c>
      <c r="K7" s="14" t="inlineStr">
        <is>
          <t>09-28 @ 169.56</t>
        </is>
      </c>
      <c r="L7" s="14" t="inlineStr">
        <is>
          <t>09-17 @ 176.10</t>
        </is>
      </c>
      <c r="M7" s="14" t="inlineStr">
        <is>
          <t>09-24 @ 181.37</t>
        </is>
      </c>
      <c r="N7" s="14" t="inlineStr"/>
      <c r="O7" s="14" t="inlineStr"/>
    </row>
    <row r="8">
      <c r="A8" s="5" t="n">
        <v>1</v>
      </c>
      <c r="B8" s="5" t="n">
        <v>7</v>
      </c>
      <c r="C8" s="6" t="inlineStr">
        <is>
          <t>PANW</t>
        </is>
      </c>
      <c r="D8" s="5" t="inlineStr">
        <is>
          <t>Palo Alto Networks Inc.</t>
        </is>
      </c>
      <c r="E8" s="8" t="n">
        <v>403.24</v>
      </c>
      <c r="F8" s="14" t="inlineStr">
        <is>
          <t>07-28 @ 308.54</t>
        </is>
      </c>
      <c r="G8" s="14" t="inlineStr">
        <is>
          <t>08-26 @ 328.00</t>
        </is>
      </c>
      <c r="H8" s="14" t="inlineStr">
        <is>
          <t>09-02 @ 321.39</t>
        </is>
      </c>
      <c r="I8" s="14" t="inlineStr">
        <is>
          <t>09-18 @ 356.00</t>
        </is>
      </c>
      <c r="J8" s="14" t="inlineStr">
        <is>
          <t>09-28 @ 367.27</t>
        </is>
      </c>
      <c r="K8" s="14" t="inlineStr"/>
      <c r="L8" s="14" t="inlineStr">
        <is>
          <t>09-17 @ 383.12</t>
        </is>
      </c>
      <c r="M8" s="14" t="inlineStr">
        <is>
          <t>09-24 @ 396.30</t>
        </is>
      </c>
      <c r="N8" s="14" t="inlineStr"/>
      <c r="O8" s="14" t="inlineStr"/>
    </row>
    <row r="9">
      <c r="A9" s="5" t="n">
        <v>1</v>
      </c>
      <c r="B9" s="5" t="n">
        <v>8</v>
      </c>
      <c r="C9" s="6" t="inlineStr">
        <is>
          <t>NEU</t>
        </is>
      </c>
      <c r="D9" s="5" t="inlineStr">
        <is>
          <t>NewMarket Corp</t>
        </is>
      </c>
      <c r="E9" s="8" t="n">
        <v>924.0599999999999</v>
      </c>
      <c r="F9" s="14" t="inlineStr">
        <is>
          <t>07-15 @ 725.71</t>
        </is>
      </c>
      <c r="G9" s="14" t="inlineStr">
        <is>
          <t>07-23 @ 750.91</t>
        </is>
      </c>
      <c r="H9" s="14" t="inlineStr">
        <is>
          <t>09-09 @ 833.43</t>
        </is>
      </c>
      <c r="I9" s="14" t="inlineStr">
        <is>
          <t>09-22 @ 874.71</t>
        </is>
      </c>
      <c r="J9" s="14" t="inlineStr"/>
      <c r="K9" s="14" t="inlineStr"/>
      <c r="L9" s="14" t="inlineStr">
        <is>
          <t>09-18 @ 915.07</t>
        </is>
      </c>
      <c r="M9" s="14" t="inlineStr"/>
      <c r="N9" s="14" t="inlineStr"/>
      <c r="O9" s="14" t="inlineStr"/>
    </row>
    <row r="10">
      <c r="A10" s="5" t="n">
        <v>1</v>
      </c>
      <c r="B10" s="5" t="n">
        <v>9</v>
      </c>
      <c r="C10" s="6" t="inlineStr">
        <is>
          <t>HNGE</t>
        </is>
      </c>
      <c r="D10" s="5" t="inlineStr">
        <is>
          <t>Hinge Health Inc.</t>
        </is>
      </c>
      <c r="E10" s="8" t="n">
        <v>97.67</v>
      </c>
      <c r="F10" s="14" t="inlineStr">
        <is>
          <t>07-28 @ 71.40</t>
        </is>
      </c>
      <c r="G10" s="14" t="inlineStr">
        <is>
          <t>08-21 @ 84.23</t>
        </is>
      </c>
      <c r="H10" s="14" t="inlineStr">
        <is>
          <t>08-31 @ 85.75</t>
        </is>
      </c>
      <c r="I10" s="14" t="inlineStr">
        <is>
          <t>09-11 @ 86.29</t>
        </is>
      </c>
      <c r="J10" s="14" t="inlineStr">
        <is>
          <t>09-23 @ 89.75</t>
        </is>
      </c>
      <c r="K10" s="14" t="inlineStr"/>
      <c r="L10" s="14" t="inlineStr">
        <is>
          <t>09-17 @ 96.66</t>
        </is>
      </c>
      <c r="M10" s="14" t="inlineStr"/>
      <c r="N10" s="14" t="inlineStr"/>
      <c r="O10" s="14" t="inlineStr"/>
    </row>
    <row r="11">
      <c r="A11" s="5" t="n">
        <v>1</v>
      </c>
      <c r="B11" s="5" t="n">
        <v>10</v>
      </c>
      <c r="C11" s="6" t="inlineStr">
        <is>
          <t>QLYS</t>
        </is>
      </c>
      <c r="D11" s="5" t="inlineStr">
        <is>
          <t>Qualys Inc.</t>
        </is>
      </c>
      <c r="E11" s="8" t="n">
        <v>193</v>
      </c>
      <c r="F11" s="14" t="inlineStr">
        <is>
          <t>07-09 @ 148.01</t>
        </is>
      </c>
      <c r="G11" s="14" t="inlineStr">
        <is>
          <t>07-30 @ 131.00</t>
        </is>
      </c>
      <c r="H11" s="14" t="inlineStr">
        <is>
          <t>08-17 @ 178.26</t>
        </is>
      </c>
      <c r="I11" s="14" t="inlineStr">
        <is>
          <t>08-26 @ 172.75</t>
        </is>
      </c>
      <c r="J11" s="14" t="inlineStr">
        <is>
          <t>09-11 @ 149.13</t>
        </is>
      </c>
      <c r="K11" s="14" t="inlineStr">
        <is>
          <t>09-28 @ 168.06</t>
        </is>
      </c>
      <c r="L11" s="14" t="inlineStr">
        <is>
          <t>09-15 @ 187.00</t>
        </is>
      </c>
      <c r="M11" s="14" t="inlineStr">
        <is>
          <t>09-24 @ 190.00</t>
        </is>
      </c>
      <c r="N11" s="14" t="inlineStr"/>
      <c r="O11" s="14" t="inlineStr"/>
    </row>
    <row r="12">
      <c r="A12" s="5" t="n">
        <v>1</v>
      </c>
      <c r="B12" s="5" t="n">
        <v>11</v>
      </c>
      <c r="C12" s="6" t="inlineStr">
        <is>
          <t>CNXN</t>
        </is>
      </c>
      <c r="D12" s="5" t="inlineStr">
        <is>
          <t>PC Connection Inc.</t>
        </is>
      </c>
      <c r="E12" s="8" t="n">
        <v>92.38</v>
      </c>
      <c r="F12" s="14" t="inlineStr">
        <is>
          <t>07-15 @ 75.20</t>
        </is>
      </c>
      <c r="G12" s="14" t="inlineStr">
        <is>
          <t>07-31 @ 80.23</t>
        </is>
      </c>
      <c r="H12" s="14" t="inlineStr">
        <is>
          <t>08-25 @ 76.20</t>
        </is>
      </c>
      <c r="I12" s="14" t="inlineStr">
        <is>
          <t>09-01 @ 77.98</t>
        </is>
      </c>
      <c r="J12" s="14" t="inlineStr">
        <is>
          <t>09-18 @ 84.11</t>
        </is>
      </c>
      <c r="K12" s="14" t="inlineStr"/>
      <c r="L12" s="14" t="inlineStr">
        <is>
          <t>08-28 @ 82.14</t>
        </is>
      </c>
      <c r="M12" s="14" t="inlineStr">
        <is>
          <t>09-16 @ 88.35</t>
        </is>
      </c>
      <c r="N12" s="14" t="inlineStr"/>
      <c r="O12" s="14" t="inlineStr"/>
    </row>
    <row r="13">
      <c r="A13" s="5" t="n">
        <v>1</v>
      </c>
      <c r="B13" s="5" t="n">
        <v>12</v>
      </c>
      <c r="C13" s="6" t="inlineStr">
        <is>
          <t>CRVL</t>
        </is>
      </c>
      <c r="D13" s="5" t="inlineStr">
        <is>
          <t>CorVel Corp.</t>
        </is>
      </c>
      <c r="E13" s="8" t="n">
        <v>75.47</v>
      </c>
      <c r="F13" s="14" t="inlineStr">
        <is>
          <t>07-22 @ 58.49</t>
        </is>
      </c>
      <c r="G13" s="14" t="inlineStr">
        <is>
          <t>08-05 @ 58.70</t>
        </is>
      </c>
      <c r="H13" s="14" t="inlineStr">
        <is>
          <t>08-12 @ 59.76</t>
        </is>
      </c>
      <c r="I13" s="14" t="inlineStr">
        <is>
          <t>08-26 @ 68.05</t>
        </is>
      </c>
      <c r="J13" s="14" t="inlineStr">
        <is>
          <t>09-09 @ 65.18</t>
        </is>
      </c>
      <c r="K13" s="14" t="inlineStr">
        <is>
          <t>09-18 @ 69.15</t>
        </is>
      </c>
      <c r="L13" s="14" t="inlineStr">
        <is>
          <t>09-02 @ 71.33</t>
        </is>
      </c>
      <c r="M13" s="14" t="inlineStr">
        <is>
          <t>09-15 @ 73.00</t>
        </is>
      </c>
      <c r="N13" s="14" t="inlineStr"/>
      <c r="O13" s="14" t="inlineStr"/>
    </row>
    <row r="14">
      <c r="A14" s="5" t="n">
        <v>1</v>
      </c>
      <c r="B14" s="5" t="n">
        <v>13</v>
      </c>
      <c r="C14" s="6" t="inlineStr">
        <is>
          <t>NVDA</t>
        </is>
      </c>
      <c r="D14" s="5" t="inlineStr">
        <is>
          <t>NVIDIA Corporation</t>
        </is>
      </c>
      <c r="E14" s="8" t="n">
        <v>233.95</v>
      </c>
      <c r="F14" s="14" t="inlineStr">
        <is>
          <t>07-29 @ 190.01</t>
        </is>
      </c>
      <c r="G14" s="14" t="inlineStr">
        <is>
          <t>08-11 @ 216.20</t>
        </is>
      </c>
      <c r="H14" s="14" t="inlineStr">
        <is>
          <t>08-24 @ 207.25</t>
        </is>
      </c>
      <c r="I14" s="14" t="inlineStr">
        <is>
          <t>09-01 @ 215.10</t>
        </is>
      </c>
      <c r="J14" s="14" t="inlineStr">
        <is>
          <t>09-14 @ 208.93</t>
        </is>
      </c>
      <c r="K14" s="14" t="inlineStr">
        <is>
          <t>09-24 @ 221.09</t>
        </is>
      </c>
      <c r="L14" s="14" t="inlineStr">
        <is>
          <t>09-04 @ 234.76</t>
        </is>
      </c>
      <c r="M14" s="14" t="inlineStr">
        <is>
          <t>09-22 @ 229.98</t>
        </is>
      </c>
      <c r="N14" s="14" t="inlineStr">
        <is>
          <t>09-28 @ 233.21</t>
        </is>
      </c>
      <c r="O14" s="14" t="inlineStr"/>
    </row>
    <row r="15">
      <c r="A15" s="5" t="n">
        <v>1</v>
      </c>
      <c r="B15" s="5" t="n">
        <v>14</v>
      </c>
      <c r="C15" s="6" t="inlineStr">
        <is>
          <t>LEGH</t>
        </is>
      </c>
      <c r="D15" s="5" t="inlineStr">
        <is>
          <t>Legacy Housing Corporation</t>
        </is>
      </c>
      <c r="E15" s="8" t="n">
        <v>29.35</v>
      </c>
      <c r="F15" s="14" t="inlineStr">
        <is>
          <t>07-23 @ 25.26</t>
        </is>
      </c>
      <c r="G15" s="14" t="inlineStr">
        <is>
          <t>07-31 @ 25.46</t>
        </is>
      </c>
      <c r="H15" s="14" t="inlineStr">
        <is>
          <t>08-20 @ 28.00</t>
        </is>
      </c>
      <c r="I15" s="14" t="inlineStr">
        <is>
          <t>09-01 @ 27.36</t>
        </is>
      </c>
      <c r="J15" s="14" t="inlineStr">
        <is>
          <t>09-10 @ 26.37</t>
        </is>
      </c>
      <c r="K15" s="14" t="inlineStr">
        <is>
          <t>09-29 @ 28.28</t>
        </is>
      </c>
      <c r="L15" s="14" t="inlineStr">
        <is>
          <t>09-04 @ 28.54</t>
        </is>
      </c>
      <c r="M15" s="14" t="inlineStr">
        <is>
          <t>09-11 @ 28.50</t>
        </is>
      </c>
      <c r="N15" s="14" t="inlineStr">
        <is>
          <t>09-23 @ 29.74</t>
        </is>
      </c>
      <c r="O15" s="14" t="inlineStr"/>
    </row>
    <row r="16">
      <c r="A16" s="5" t="n">
        <v>1</v>
      </c>
      <c r="B16" s="5" t="n">
        <v>15</v>
      </c>
      <c r="C16" s="6" t="inlineStr">
        <is>
          <t>TENB</t>
        </is>
      </c>
      <c r="D16" s="5" t="inlineStr">
        <is>
          <t>Tenable Holdings Inc.</t>
        </is>
      </c>
      <c r="E16" s="8" t="n">
        <v>36.85</v>
      </c>
      <c r="F16" s="14" t="inlineStr">
        <is>
          <t>07-24 @ 30.71</t>
        </is>
      </c>
      <c r="G16" s="14" t="inlineStr">
        <is>
          <t>07-30 @ 27.50</t>
        </is>
      </c>
      <c r="H16" s="14" t="inlineStr">
        <is>
          <t>08-25 @ 31.97</t>
        </is>
      </c>
      <c r="I16" s="14" t="inlineStr">
        <is>
          <t>09-02 @ 32.81</t>
        </is>
      </c>
      <c r="J16" s="14" t="inlineStr">
        <is>
          <t>09-11 @ 29.97</t>
        </is>
      </c>
      <c r="K16" s="14" t="inlineStr">
        <is>
          <t>09-28 @ 32.49</t>
        </is>
      </c>
      <c r="L16" s="14" t="inlineStr">
        <is>
          <t>08-31 @ 38.70</t>
        </is>
      </c>
      <c r="M16" s="14" t="inlineStr">
        <is>
          <t>09-15 @ 38.89</t>
        </is>
      </c>
      <c r="N16" s="14" t="inlineStr"/>
      <c r="O16" s="14" t="inlineStr"/>
    </row>
    <row r="17">
      <c r="A17" s="5" t="n">
        <v>1</v>
      </c>
      <c r="B17" s="5" t="n">
        <v>16</v>
      </c>
      <c r="C17" s="6" t="inlineStr">
        <is>
          <t>NHC</t>
        </is>
      </c>
      <c r="D17" s="5" t="inlineStr">
        <is>
          <t>National HealthCare Corporation</t>
        </is>
      </c>
      <c r="E17" s="8" t="n">
        <v>227.66</v>
      </c>
      <c r="F17" s="14" t="inlineStr">
        <is>
          <t>07-14 @ 204.20</t>
        </is>
      </c>
      <c r="G17" s="14" t="inlineStr">
        <is>
          <t>07-22 @ 216.39</t>
        </is>
      </c>
      <c r="H17" s="14" t="inlineStr">
        <is>
          <t>08-05 @ 202.74</t>
        </is>
      </c>
      <c r="I17" s="14" t="inlineStr">
        <is>
          <t>08-14 @ 209.33</t>
        </is>
      </c>
      <c r="J17" s="14" t="inlineStr">
        <is>
          <t>08-31 @ 214.15</t>
        </is>
      </c>
      <c r="K17" s="14" t="inlineStr">
        <is>
          <t>09-24 @ 219.72</t>
        </is>
      </c>
      <c r="L17" s="14" t="inlineStr">
        <is>
          <t>09-10 @ 229.96</t>
        </is>
      </c>
      <c r="M17" s="14" t="inlineStr">
        <is>
          <t>09-16 @ 230.09</t>
        </is>
      </c>
      <c r="N17" s="14" t="inlineStr">
        <is>
          <t>09-25 @ 229.45</t>
        </is>
      </c>
      <c r="O17" s="14" t="inlineStr"/>
    </row>
    <row r="18">
      <c r="A18" s="5" t="n">
        <v>1</v>
      </c>
      <c r="B18" s="5" t="n">
        <v>17</v>
      </c>
      <c r="C18" s="6" t="inlineStr">
        <is>
          <t>SLAB</t>
        </is>
      </c>
      <c r="D18" s="5" t="inlineStr">
        <is>
          <t>Silicon Laboratories Inc.</t>
        </is>
      </c>
      <c r="E18" s="8" t="n">
        <v>222.76</v>
      </c>
      <c r="F18" s="14" t="inlineStr">
        <is>
          <t>07-29 @ 216.25</t>
        </is>
      </c>
      <c r="G18" s="14" t="inlineStr">
        <is>
          <t>08-13 @ 217.77</t>
        </is>
      </c>
      <c r="H18" s="14" t="inlineStr">
        <is>
          <t>08-24 @ 217.61</t>
        </is>
      </c>
      <c r="I18" s="14" t="inlineStr">
        <is>
          <t>08-31 @ 218.19</t>
        </is>
      </c>
      <c r="J18" s="14" t="inlineStr">
        <is>
          <t>09-10 @ 216.88</t>
        </is>
      </c>
      <c r="K18" s="14" t="inlineStr">
        <is>
          <t>09-28 @ 220.78</t>
        </is>
      </c>
      <c r="L18" s="14" t="inlineStr">
        <is>
          <t>09-04 @ 222.49</t>
        </is>
      </c>
      <c r="M18" s="14" t="inlineStr">
        <is>
          <t>09-23 @ 222.36</t>
        </is>
      </c>
      <c r="N18" s="14" t="inlineStr"/>
      <c r="O18" s="14" t="inlineStr"/>
    </row>
    <row r="19">
      <c r="A19" s="5" t="n">
        <v>1</v>
      </c>
      <c r="B19" s="5" t="n">
        <v>18</v>
      </c>
      <c r="C19" s="6" t="inlineStr">
        <is>
          <t>FAST</t>
        </is>
      </c>
      <c r="D19" s="5" t="inlineStr">
        <is>
          <t>Fastenal Company</t>
        </is>
      </c>
      <c r="E19" s="8" t="n">
        <v>50.75</v>
      </c>
      <c r="F19" s="14" t="inlineStr">
        <is>
          <t>07-21 @ 44.06</t>
        </is>
      </c>
      <c r="G19" s="14" t="inlineStr">
        <is>
          <t>07-30 @ 46.35</t>
        </is>
      </c>
      <c r="H19" s="14" t="inlineStr">
        <is>
          <t>08-14 @ 50.70</t>
        </is>
      </c>
      <c r="I19" s="14" t="inlineStr">
        <is>
          <t>09-02 @ 47.65</t>
        </is>
      </c>
      <c r="J19" s="14" t="inlineStr">
        <is>
          <t>09-10 @ 48.06</t>
        </is>
      </c>
      <c r="K19" s="14" t="inlineStr">
        <is>
          <t>09-21 @ 48.53</t>
        </is>
      </c>
      <c r="L19" s="14" t="inlineStr">
        <is>
          <t>08-28 @ 51.52</t>
        </is>
      </c>
      <c r="M19" s="14" t="inlineStr">
        <is>
          <t>09-04 @ 50.42</t>
        </is>
      </c>
      <c r="N19" s="14" t="inlineStr">
        <is>
          <t>09-11 @ 49.91</t>
        </is>
      </c>
      <c r="O19" s="14" t="inlineStr">
        <is>
          <t>09-24 @ 51.41</t>
        </is>
      </c>
    </row>
    <row r="20">
      <c r="A20" s="5" t="n">
        <v>1</v>
      </c>
      <c r="B20" s="5" t="n">
        <v>19</v>
      </c>
      <c r="C20" s="6" t="inlineStr">
        <is>
          <t>STRL</t>
        </is>
      </c>
      <c r="D20" s="5" t="inlineStr">
        <is>
          <t>Sterling Infrastructure Inc.</t>
        </is>
      </c>
      <c r="E20" s="8" t="n">
        <v>533.42</v>
      </c>
      <c r="F20" s="14" t="inlineStr">
        <is>
          <t>07-17 @ 593.62</t>
        </is>
      </c>
      <c r="G20" s="14" t="inlineStr">
        <is>
          <t>07-29 @ 492.71</t>
        </is>
      </c>
      <c r="H20" s="14" t="inlineStr">
        <is>
          <t>08-04 @ 507.15</t>
        </is>
      </c>
      <c r="I20" s="14" t="inlineStr">
        <is>
          <t>09-02 @ 444.52</t>
        </is>
      </c>
      <c r="J20" s="14" t="inlineStr">
        <is>
          <t>09-15 @ 458.51</t>
        </is>
      </c>
      <c r="K20" s="14" t="inlineStr">
        <is>
          <t>09-24 @ 485.00</t>
        </is>
      </c>
      <c r="L20" s="14" t="inlineStr">
        <is>
          <t>09-11 @ 516.95</t>
        </is>
      </c>
      <c r="M20" s="14" t="inlineStr">
        <is>
          <t>09-21 @ 531.00</t>
        </is>
      </c>
      <c r="N20" s="14" t="inlineStr"/>
      <c r="O20" s="14" t="inlineStr"/>
    </row>
    <row r="21">
      <c r="A21" s="5" t="n">
        <v>1</v>
      </c>
      <c r="B21" s="5" t="n">
        <v>20</v>
      </c>
      <c r="C21" s="6" t="inlineStr">
        <is>
          <t>VSTS</t>
        </is>
      </c>
      <c r="D21" s="5" t="inlineStr">
        <is>
          <t>Vestis Corporation</t>
        </is>
      </c>
      <c r="E21" s="8" t="n">
        <v>14.03</v>
      </c>
      <c r="F21" s="14" t="inlineStr">
        <is>
          <t>08-11 @ 12.93</t>
        </is>
      </c>
      <c r="G21" s="14" t="inlineStr">
        <is>
          <t>08-21 @ 12.54</t>
        </is>
      </c>
      <c r="H21" s="14" t="inlineStr">
        <is>
          <t>09-01 @ 12.07</t>
        </is>
      </c>
      <c r="I21" s="14" t="inlineStr">
        <is>
          <t>09-15 @ 12.77</t>
        </is>
      </c>
      <c r="J21" s="14" t="inlineStr">
        <is>
          <t>09-28 @ 13.01</t>
        </is>
      </c>
      <c r="K21" s="14" t="inlineStr"/>
      <c r="L21" s="14" t="inlineStr">
        <is>
          <t>09-08 @ 13.80</t>
        </is>
      </c>
      <c r="M21" s="14" t="inlineStr">
        <is>
          <t>09-22 @ 14.66</t>
        </is>
      </c>
      <c r="N21" s="14" t="inlineStr"/>
      <c r="O21" s="14" t="inlineStr"/>
    </row>
    <row r="22">
      <c r="A22" s="5" t="n">
        <v>1</v>
      </c>
      <c r="B22" s="5" t="n">
        <v>21</v>
      </c>
      <c r="C22" s="6" t="inlineStr">
        <is>
          <t>GSAT</t>
        </is>
      </c>
      <c r="D22" s="5" t="inlineStr">
        <is>
          <t>Globalstar Inc.</t>
        </is>
      </c>
      <c r="E22" s="8" t="n">
        <v>83.22</v>
      </c>
      <c r="F22" s="14" t="inlineStr">
        <is>
          <t>08-07 @ 82.84</t>
        </is>
      </c>
      <c r="G22" s="14" t="inlineStr">
        <is>
          <t>08-14 @ 81.84</t>
        </is>
      </c>
      <c r="H22" s="14" t="inlineStr">
        <is>
          <t>09-01 @ 81.02</t>
        </is>
      </c>
      <c r="I22" s="14" t="inlineStr">
        <is>
          <t>09-10 @ 81.21</t>
        </is>
      </c>
      <c r="J22" s="14" t="inlineStr">
        <is>
          <t>09-16 @ 81.55</t>
        </is>
      </c>
      <c r="K22" s="14" t="inlineStr">
        <is>
          <t>09-23 @ 81.95</t>
        </is>
      </c>
      <c r="L22" s="14" t="inlineStr">
        <is>
          <t>09-04 @ 82.42</t>
        </is>
      </c>
      <c r="M22" s="14" t="inlineStr">
        <is>
          <t>09-11 @ 82.69</t>
        </is>
      </c>
      <c r="N22" s="14" t="inlineStr">
        <is>
          <t>09-21 @ 83.17</t>
        </is>
      </c>
      <c r="O22" s="14" t="inlineStr"/>
    </row>
    <row r="23">
      <c r="A23" s="5" t="n">
        <v>1</v>
      </c>
      <c r="B23" s="5" t="n">
        <v>22</v>
      </c>
      <c r="C23" s="6" t="inlineStr">
        <is>
          <t>EGBN</t>
        </is>
      </c>
      <c r="D23" s="5" t="inlineStr">
        <is>
          <t>Eagle Bancorp Inc.</t>
        </is>
      </c>
      <c r="E23" s="8" t="n">
        <v>28.38</v>
      </c>
      <c r="F23" s="14" t="inlineStr">
        <is>
          <t>07-23 @ 24.04</t>
        </is>
      </c>
      <c r="G23" s="14" t="inlineStr">
        <is>
          <t>07-31 @ 27.18</t>
        </is>
      </c>
      <c r="H23" s="14" t="inlineStr">
        <is>
          <t>08-10 @ 27.48</t>
        </is>
      </c>
      <c r="I23" s="14" t="inlineStr">
        <is>
          <t>08-20 @ 27.35</t>
        </is>
      </c>
      <c r="J23" s="14" t="inlineStr">
        <is>
          <t>09-01 @ 26.52</t>
        </is>
      </c>
      <c r="K23" s="14" t="inlineStr">
        <is>
          <t>09-10 @ 27.12</t>
        </is>
      </c>
      <c r="L23" s="14" t="inlineStr">
        <is>
          <t>09-04 @ 28.26</t>
        </is>
      </c>
      <c r="M23" s="14" t="inlineStr">
        <is>
          <t>09-17 @ 28.76</t>
        </is>
      </c>
      <c r="N23" s="14" t="inlineStr">
        <is>
          <t>09-25 @ 28.99</t>
        </is>
      </c>
      <c r="O23" s="14" t="inlineStr"/>
    </row>
    <row r="24">
      <c r="A24" s="5" t="n">
        <v>1</v>
      </c>
      <c r="B24" s="5" t="n">
        <v>23</v>
      </c>
      <c r="C24" s="6" t="inlineStr">
        <is>
          <t>APXT</t>
        </is>
      </c>
      <c r="D24" s="5" t="inlineStr">
        <is>
          <t>Apex Treasury Corporation</t>
        </is>
      </c>
      <c r="E24" s="8" t="n">
        <v>10.15</v>
      </c>
      <c r="F24" s="14" t="inlineStr">
        <is>
          <t>07-21 @ 10.06</t>
        </is>
      </c>
      <c r="G24" s="14" t="inlineStr">
        <is>
          <t>08-03 @ 10.09</t>
        </is>
      </c>
      <c r="H24" s="14" t="inlineStr">
        <is>
          <t>08-14 @ 10.11</t>
        </is>
      </c>
      <c r="I24" s="14" t="inlineStr">
        <is>
          <t>08-21 @ 10.10</t>
        </is>
      </c>
      <c r="J24" s="14" t="inlineStr">
        <is>
          <t>09-21 @ 10.12</t>
        </is>
      </c>
      <c r="K24" s="14" t="inlineStr">
        <is>
          <t>09-29 @ 10.13</t>
        </is>
      </c>
      <c r="L24" s="14" t="inlineStr">
        <is>
          <t>09-14 @ 10.15</t>
        </is>
      </c>
      <c r="M24" s="14" t="inlineStr">
        <is>
          <t>09-23 @ 10.15</t>
        </is>
      </c>
      <c r="N24" s="14" t="inlineStr"/>
      <c r="O24" s="14" t="inlineStr"/>
    </row>
    <row r="25">
      <c r="A25" s="5" t="n">
        <v>1</v>
      </c>
      <c r="B25" s="5" t="n">
        <v>24</v>
      </c>
      <c r="C25" s="6" t="inlineStr">
        <is>
          <t>OPY</t>
        </is>
      </c>
      <c r="D25" s="5" t="inlineStr">
        <is>
          <t>Oppenheimer Holdings Inc.</t>
        </is>
      </c>
      <c r="E25" s="8" t="n">
        <v>120.13</v>
      </c>
      <c r="F25" s="14" t="inlineStr">
        <is>
          <t>07-20 @ 104.68</t>
        </is>
      </c>
      <c r="G25" s="14" t="inlineStr">
        <is>
          <t>07-31 @ 102.71</t>
        </is>
      </c>
      <c r="H25" s="14" t="inlineStr">
        <is>
          <t>08-10 @ 110.16</t>
        </is>
      </c>
      <c r="I25" s="14" t="inlineStr">
        <is>
          <t>08-20 @ 111.00</t>
        </is>
      </c>
      <c r="J25" s="14" t="inlineStr">
        <is>
          <t>09-16 @ 110.35</t>
        </is>
      </c>
      <c r="K25" s="14" t="inlineStr">
        <is>
          <t>09-22 @ 111.05</t>
        </is>
      </c>
      <c r="L25" s="14" t="inlineStr">
        <is>
          <t>08-28 @ 123.73</t>
        </is>
      </c>
      <c r="M25" s="14" t="inlineStr">
        <is>
          <t>09-08 @ 125.88</t>
        </is>
      </c>
      <c r="N25" s="14" t="inlineStr">
        <is>
          <t>09-29 @ 125.25</t>
        </is>
      </c>
      <c r="O25" s="14" t="inlineStr"/>
    </row>
    <row r="26">
      <c r="A26" s="5" t="n">
        <v>1</v>
      </c>
      <c r="B26" s="5" t="n">
        <v>25</v>
      </c>
      <c r="C26" s="6" t="inlineStr">
        <is>
          <t>TRNS</t>
        </is>
      </c>
      <c r="D26" s="5" t="inlineStr">
        <is>
          <t>Transcat Inc.</t>
        </is>
      </c>
      <c r="E26" s="8" t="n">
        <v>90.39</v>
      </c>
      <c r="F26" s="14" t="inlineStr">
        <is>
          <t>07-20 @ 84.49</t>
        </is>
      </c>
      <c r="G26" s="14" t="inlineStr">
        <is>
          <t>07-30 @ 79.08</t>
        </is>
      </c>
      <c r="H26" s="14" t="inlineStr">
        <is>
          <t>09-08 @ 81.71</t>
        </is>
      </c>
      <c r="I26" s="14" t="inlineStr">
        <is>
          <t>09-16 @ 79.68</t>
        </is>
      </c>
      <c r="J26" s="14" t="inlineStr">
        <is>
          <t>09-28 @ 83.50</t>
        </is>
      </c>
      <c r="K26" s="14" t="inlineStr"/>
      <c r="L26" s="14" t="inlineStr">
        <is>
          <t>09-04 @ 87.00</t>
        </is>
      </c>
      <c r="M26" s="14" t="inlineStr">
        <is>
          <t>09-11 @ 87.40</t>
        </is>
      </c>
      <c r="N26" s="14" t="inlineStr">
        <is>
          <t>09-22 @ 92.11</t>
        </is>
      </c>
      <c r="O26" s="14" t="inlineStr"/>
    </row>
    <row r="27">
      <c r="A27" s="5" t="n">
        <v>1</v>
      </c>
      <c r="B27" s="5" t="n">
        <v>26</v>
      </c>
      <c r="C27" s="6" t="inlineStr">
        <is>
          <t>BJ</t>
        </is>
      </c>
      <c r="D27" s="5" t="inlineStr">
        <is>
          <t>BJ's Wholesale Club Holdings Inc.</t>
        </is>
      </c>
      <c r="E27" s="8" t="n">
        <v>94.95999999999999</v>
      </c>
      <c r="F27" s="14" t="inlineStr">
        <is>
          <t>08-04 @ 95.31</t>
        </is>
      </c>
      <c r="G27" s="14" t="inlineStr">
        <is>
          <t>08-12 @ 92.30</t>
        </is>
      </c>
      <c r="H27" s="14" t="inlineStr">
        <is>
          <t>08-20 @ 88.22</t>
        </is>
      </c>
      <c r="I27" s="14" t="inlineStr">
        <is>
          <t>08-28 @ 90.11</t>
        </is>
      </c>
      <c r="J27" s="14" t="inlineStr">
        <is>
          <t>09-09 @ 87.72</t>
        </is>
      </c>
      <c r="K27" s="14" t="inlineStr">
        <is>
          <t>09-23 @ 89.89</t>
        </is>
      </c>
      <c r="L27" s="14" t="inlineStr">
        <is>
          <t>09-04 @ 93.76</t>
        </is>
      </c>
      <c r="M27" s="14" t="inlineStr">
        <is>
          <t>09-15 @ 96.21</t>
        </is>
      </c>
      <c r="N27" s="14" t="inlineStr">
        <is>
          <t>09-28 @ 97.30</t>
        </is>
      </c>
      <c r="O27" s="14" t="inlineStr"/>
    </row>
    <row r="28">
      <c r="A28" s="22" t="n">
        <v>2</v>
      </c>
      <c r="B28" s="22" t="n">
        <v>1</v>
      </c>
      <c r="C28" s="23" t="inlineStr">
        <is>
          <t>DOCS</t>
        </is>
      </c>
      <c r="D28" s="22" t="inlineStr">
        <is>
          <t>Doximity Inc.</t>
        </is>
      </c>
      <c r="E28" s="25" t="n">
        <v>27.93</v>
      </c>
      <c r="F28" s="31" t="inlineStr">
        <is>
          <t>07-30 @ 20.34</t>
        </is>
      </c>
      <c r="G28" s="31" t="inlineStr">
        <is>
          <t>08-06 @ 19.88</t>
        </is>
      </c>
      <c r="H28" s="31" t="inlineStr">
        <is>
          <t>08-17 @ 23.95</t>
        </is>
      </c>
      <c r="I28" s="31" t="inlineStr">
        <is>
          <t>08-26 @ 24.48</t>
        </is>
      </c>
      <c r="J28" s="31" t="inlineStr">
        <is>
          <t>09-09 @ 23.95</t>
        </is>
      </c>
      <c r="K28" s="31" t="inlineStr">
        <is>
          <t>09-28 @ 25.33</t>
        </is>
      </c>
      <c r="L28" s="31" t="inlineStr">
        <is>
          <t>09-03 @ 27.32</t>
        </is>
      </c>
      <c r="M28" s="31" t="inlineStr">
        <is>
          <t>09-22 @ 27.48</t>
        </is>
      </c>
      <c r="N28" s="31" t="inlineStr"/>
      <c r="O28" s="31" t="inlineStr"/>
    </row>
    <row r="29">
      <c r="A29" s="22" t="n">
        <v>2</v>
      </c>
      <c r="B29" s="22" t="n">
        <v>2</v>
      </c>
      <c r="C29" s="23" t="inlineStr">
        <is>
          <t>HYLN</t>
        </is>
      </c>
      <c r="D29" s="22" t="inlineStr">
        <is>
          <t>Hyliion Holdings Corp.</t>
        </is>
      </c>
      <c r="E29" s="25" t="n">
        <v>4.53</v>
      </c>
      <c r="F29" s="31" t="inlineStr">
        <is>
          <t>07-30 @ 3.19</t>
        </is>
      </c>
      <c r="G29" s="31" t="inlineStr">
        <is>
          <t>08-07 @ 3.75</t>
        </is>
      </c>
      <c r="H29" s="31" t="inlineStr">
        <is>
          <t>08-24 @ 3.12</t>
        </is>
      </c>
      <c r="I29" s="31" t="inlineStr">
        <is>
          <t>09-01 @ 3.25</t>
        </is>
      </c>
      <c r="J29" s="31" t="inlineStr">
        <is>
          <t>09-14 @ 3.62</t>
        </is>
      </c>
      <c r="K29" s="31" t="inlineStr">
        <is>
          <t>09-28 @ 3.92</t>
        </is>
      </c>
      <c r="L29" s="31" t="inlineStr">
        <is>
          <t>08-28 @ 3.74</t>
        </is>
      </c>
      <c r="M29" s="31" t="inlineStr">
        <is>
          <t>09-08 @ 4.10</t>
        </is>
      </c>
      <c r="N29" s="31" t="inlineStr">
        <is>
          <t>09-22 @ 4.68</t>
        </is>
      </c>
      <c r="O29" s="31" t="inlineStr"/>
    </row>
    <row r="30">
      <c r="A30" s="22" t="n">
        <v>2</v>
      </c>
      <c r="B30" s="22" t="n">
        <v>3</v>
      </c>
      <c r="C30" s="23" t="inlineStr">
        <is>
          <t>SANM</t>
        </is>
      </c>
      <c r="D30" s="22" t="inlineStr">
        <is>
          <t>Sanmina Corporation</t>
        </is>
      </c>
      <c r="E30" s="25" t="n">
        <v>229.04</v>
      </c>
      <c r="F30" s="31" t="inlineStr">
        <is>
          <t>07-17 @ 187.50</t>
        </is>
      </c>
      <c r="G30" s="31" t="inlineStr">
        <is>
          <t>07-28 @ 162.41</t>
        </is>
      </c>
      <c r="H30" s="31" t="inlineStr">
        <is>
          <t>08-24 @ 181.00</t>
        </is>
      </c>
      <c r="I30" s="31" t="inlineStr">
        <is>
          <t>09-02 @ 182.47</t>
        </is>
      </c>
      <c r="J30" s="31" t="inlineStr">
        <is>
          <t>09-15 @ 189.58</t>
        </is>
      </c>
      <c r="K30" s="31" t="inlineStr"/>
      <c r="L30" s="31" t="inlineStr">
        <is>
          <t>09-11 @ 219.14</t>
        </is>
      </c>
      <c r="M30" s="31" t="inlineStr">
        <is>
          <t>09-25 @ 232.50</t>
        </is>
      </c>
      <c r="N30" s="31" t="inlineStr"/>
      <c r="O30" s="31" t="inlineStr"/>
    </row>
    <row r="31">
      <c r="A31" s="22" t="n">
        <v>2</v>
      </c>
      <c r="B31" s="22" t="n">
        <v>4</v>
      </c>
      <c r="C31" s="23" t="inlineStr">
        <is>
          <t>TTMI</t>
        </is>
      </c>
      <c r="D31" s="22" t="inlineStr">
        <is>
          <t>TTM Technologies Inc.</t>
        </is>
      </c>
      <c r="E31" s="25" t="n">
        <v>131.87</v>
      </c>
      <c r="F31" s="31" t="inlineStr">
        <is>
          <t>07-17 @ 120.38</t>
        </is>
      </c>
      <c r="G31" s="31" t="inlineStr">
        <is>
          <t>07-29 @ 99.19</t>
        </is>
      </c>
      <c r="H31" s="31" t="inlineStr">
        <is>
          <t>08-24 @ 103.66</t>
        </is>
      </c>
      <c r="I31" s="31" t="inlineStr">
        <is>
          <t>09-03 @ 109.53</t>
        </is>
      </c>
      <c r="J31" s="31" t="inlineStr">
        <is>
          <t>09-15 @ 109.94</t>
        </is>
      </c>
      <c r="K31" s="31" t="inlineStr">
        <is>
          <t>09-28 @ 119.02</t>
        </is>
      </c>
      <c r="L31" s="31" t="inlineStr">
        <is>
          <t>09-08 @ 133.77</t>
        </is>
      </c>
      <c r="M31" s="31" t="inlineStr">
        <is>
          <t>09-25 @ 131.32</t>
        </is>
      </c>
      <c r="N31" s="31" t="inlineStr"/>
      <c r="O31" s="31" t="inlineStr"/>
    </row>
    <row r="32">
      <c r="A32" s="22" t="n">
        <v>2</v>
      </c>
      <c r="B32" s="22" t="n">
        <v>5</v>
      </c>
      <c r="C32" s="23" t="inlineStr">
        <is>
          <t>ALMR</t>
        </is>
      </c>
      <c r="D32" s="22" t="inlineStr">
        <is>
          <t>Alamar Biosciences Inc.</t>
        </is>
      </c>
      <c r="E32" s="25" t="n">
        <v>34.36</v>
      </c>
      <c r="F32" s="31" t="inlineStr">
        <is>
          <t>07-29 @ 23.32</t>
        </is>
      </c>
      <c r="G32" s="31" t="inlineStr">
        <is>
          <t>08-18 @ 32.00</t>
        </is>
      </c>
      <c r="H32" s="31" t="inlineStr">
        <is>
          <t>08-24 @ 32.06</t>
        </is>
      </c>
      <c r="I32" s="31" t="inlineStr">
        <is>
          <t>09-01 @ 29.15</t>
        </is>
      </c>
      <c r="J32" s="31" t="inlineStr">
        <is>
          <t>09-14 @ 27.25</t>
        </is>
      </c>
      <c r="K32" s="31" t="inlineStr">
        <is>
          <t>09-24 @ 31.68</t>
        </is>
      </c>
      <c r="L32" s="31" t="inlineStr">
        <is>
          <t>09-18 @ 37.76</t>
        </is>
      </c>
      <c r="M32" s="31" t="inlineStr"/>
      <c r="N32" s="31" t="inlineStr"/>
      <c r="O32" s="31" t="inlineStr"/>
    </row>
    <row r="33">
      <c r="A33" s="22" t="n">
        <v>2</v>
      </c>
      <c r="B33" s="22" t="n">
        <v>6</v>
      </c>
      <c r="C33" s="23" t="inlineStr">
        <is>
          <t>AXTI</t>
        </is>
      </c>
      <c r="D33" s="22" t="inlineStr">
        <is>
          <t>AXT Inc</t>
        </is>
      </c>
      <c r="E33" s="25" t="n">
        <v>85.87</v>
      </c>
      <c r="F33" s="31" t="inlineStr">
        <is>
          <t>07-17 @ 41.93</t>
        </is>
      </c>
      <c r="G33" s="31" t="inlineStr">
        <is>
          <t>07-29 @ 36.73</t>
        </is>
      </c>
      <c r="H33" s="31" t="inlineStr">
        <is>
          <t>08-24 @ 61.86</t>
        </is>
      </c>
      <c r="I33" s="31" t="inlineStr">
        <is>
          <t>09-03 @ 52.76</t>
        </is>
      </c>
      <c r="J33" s="31" t="inlineStr">
        <is>
          <t>09-14 @ 56.90</t>
        </is>
      </c>
      <c r="K33" s="31" t="inlineStr">
        <is>
          <t>09-24 @ 69.60</t>
        </is>
      </c>
      <c r="L33" s="31" t="inlineStr">
        <is>
          <t>09-09 @ 73.94</t>
        </is>
      </c>
      <c r="M33" s="31" t="inlineStr">
        <is>
          <t>09-21 @ 81.50</t>
        </is>
      </c>
      <c r="N33" s="31" t="inlineStr"/>
      <c r="O33" s="31" t="inlineStr"/>
    </row>
    <row r="34">
      <c r="A34" s="22" t="n">
        <v>2</v>
      </c>
      <c r="B34" s="22" t="n">
        <v>7</v>
      </c>
      <c r="C34" s="23" t="inlineStr">
        <is>
          <t>PGEN</t>
        </is>
      </c>
      <c r="D34" s="22" t="inlineStr">
        <is>
          <t>Precigen Inc.</t>
        </is>
      </c>
      <c r="E34" s="25" t="n">
        <v>8.539999999999999</v>
      </c>
      <c r="F34" s="31" t="inlineStr">
        <is>
          <t>07-17 @ 4.81</t>
        </is>
      </c>
      <c r="G34" s="31" t="inlineStr">
        <is>
          <t>08-14 @ 6.08</t>
        </is>
      </c>
      <c r="H34" s="31" t="inlineStr">
        <is>
          <t>08-31 @ 6.60</t>
        </is>
      </c>
      <c r="I34" s="31" t="inlineStr">
        <is>
          <t>09-10 @ 6.54</t>
        </is>
      </c>
      <c r="J34" s="31" t="inlineStr">
        <is>
          <t>09-23 @ 7.19</t>
        </is>
      </c>
      <c r="K34" s="31" t="inlineStr"/>
      <c r="L34" s="31" t="inlineStr">
        <is>
          <t>09-04 @ 7.27</t>
        </is>
      </c>
      <c r="M34" s="31" t="inlineStr">
        <is>
          <t>09-18 @ 8.04</t>
        </is>
      </c>
      <c r="N34" s="31" t="inlineStr"/>
      <c r="O34" s="31" t="inlineStr"/>
    </row>
    <row r="35">
      <c r="A35" s="22" t="n">
        <v>2</v>
      </c>
      <c r="B35" s="22" t="n">
        <v>8</v>
      </c>
      <c r="C35" s="23" t="inlineStr">
        <is>
          <t>HPE</t>
        </is>
      </c>
      <c r="D35" s="22" t="inlineStr">
        <is>
          <t>Hewlett Packard Enterprise Company</t>
        </is>
      </c>
      <c r="E35" s="25" t="n">
        <v>69.33</v>
      </c>
      <c r="F35" s="31" t="inlineStr">
        <is>
          <t>07-17 @ 43.70</t>
        </is>
      </c>
      <c r="G35" s="31" t="inlineStr">
        <is>
          <t>07-28 @ 43.30</t>
        </is>
      </c>
      <c r="H35" s="31" t="inlineStr">
        <is>
          <t>08-24 @ 51.30</t>
        </is>
      </c>
      <c r="I35" s="31" t="inlineStr">
        <is>
          <t>09-03 @ 45.70</t>
        </is>
      </c>
      <c r="J35" s="31" t="inlineStr">
        <is>
          <t>09-16 @ 55.02</t>
        </is>
      </c>
      <c r="K35" s="31" t="inlineStr"/>
      <c r="L35" s="31" t="inlineStr">
        <is>
          <t>09-11 @ 62.15</t>
        </is>
      </c>
      <c r="M35" s="31" t="inlineStr"/>
      <c r="N35" s="31" t="inlineStr"/>
      <c r="O35" s="31" t="inlineStr"/>
    </row>
    <row r="36">
      <c r="A36" s="22" t="n">
        <v>2</v>
      </c>
      <c r="B36" s="22" t="n">
        <v>9</v>
      </c>
      <c r="C36" s="23" t="inlineStr">
        <is>
          <t>S</t>
        </is>
      </c>
      <c r="D36" s="22" t="inlineStr">
        <is>
          <t>SentinelOne Inc.</t>
        </is>
      </c>
      <c r="E36" s="25" t="n">
        <v>25.06</v>
      </c>
      <c r="F36" s="31" t="inlineStr">
        <is>
          <t>07-09 @ 17.20</t>
        </is>
      </c>
      <c r="G36" s="31" t="inlineStr">
        <is>
          <t>07-23 @ 17.32</t>
        </is>
      </c>
      <c r="H36" s="31" t="inlineStr">
        <is>
          <t>08-26 @ 19.82</t>
        </is>
      </c>
      <c r="I36" s="31" t="inlineStr">
        <is>
          <t>09-08 @ 19.07</t>
        </is>
      </c>
      <c r="J36" s="31" t="inlineStr">
        <is>
          <t>09-28 @ 21.79</t>
        </is>
      </c>
      <c r="K36" s="31" t="inlineStr"/>
      <c r="L36" s="31" t="inlineStr">
        <is>
          <t>09-17 @ 24.25</t>
        </is>
      </c>
      <c r="M36" s="31" t="inlineStr">
        <is>
          <t>09-24 @ 24.40</t>
        </is>
      </c>
      <c r="N36" s="31" t="inlineStr"/>
      <c r="O36" s="31" t="inlineStr"/>
    </row>
    <row r="37">
      <c r="A37" s="22" t="n">
        <v>2</v>
      </c>
      <c r="B37" s="22" t="n">
        <v>10</v>
      </c>
      <c r="C37" s="23" t="inlineStr">
        <is>
          <t>FTK</t>
        </is>
      </c>
      <c r="D37" s="22" t="inlineStr">
        <is>
          <t>Flotek Industries Inc.</t>
        </is>
      </c>
      <c r="E37" s="25" t="n">
        <v>30.94</v>
      </c>
      <c r="F37" s="31" t="inlineStr">
        <is>
          <t>07-17 @ 24.95</t>
        </is>
      </c>
      <c r="G37" s="31" t="inlineStr">
        <is>
          <t>07-29 @ 21.49</t>
        </is>
      </c>
      <c r="H37" s="31" t="inlineStr">
        <is>
          <t>08-26 @ 23.32</t>
        </is>
      </c>
      <c r="I37" s="31" t="inlineStr">
        <is>
          <t>09-02 @ 22.15</t>
        </is>
      </c>
      <c r="J37" s="31" t="inlineStr">
        <is>
          <t>09-14 @ 25.91</t>
        </is>
      </c>
      <c r="K37" s="31" t="inlineStr"/>
      <c r="L37" s="31" t="inlineStr">
        <is>
          <t>09-09 @ 28.73</t>
        </is>
      </c>
      <c r="M37" s="31" t="inlineStr">
        <is>
          <t>09-22 @ 31.89</t>
        </is>
      </c>
      <c r="N37" s="31" t="inlineStr"/>
      <c r="O37" s="31" t="inlineStr"/>
    </row>
    <row r="38">
      <c r="A38" s="22" t="n">
        <v>2</v>
      </c>
      <c r="B38" s="22" t="n">
        <v>11</v>
      </c>
      <c r="C38" s="23" t="inlineStr">
        <is>
          <t>AEHR</t>
        </is>
      </c>
      <c r="D38" s="22" t="inlineStr">
        <is>
          <t>Aehr Test Systems</t>
        </is>
      </c>
      <c r="E38" s="25" t="n">
        <v>107.21</v>
      </c>
      <c r="F38" s="31" t="inlineStr">
        <is>
          <t>07-20 @ 75.20</t>
        </is>
      </c>
      <c r="G38" s="31" t="inlineStr">
        <is>
          <t>07-29 @ 63.81</t>
        </is>
      </c>
      <c r="H38" s="31" t="inlineStr">
        <is>
          <t>09-01 @ 74.23</t>
        </is>
      </c>
      <c r="I38" s="31" t="inlineStr">
        <is>
          <t>09-15 @ 80.95</t>
        </is>
      </c>
      <c r="J38" s="31" t="inlineStr"/>
      <c r="K38" s="31" t="inlineStr"/>
      <c r="L38" s="31" t="inlineStr">
        <is>
          <t>09-11 @ 102.79</t>
        </is>
      </c>
      <c r="M38" s="31" t="inlineStr"/>
      <c r="N38" s="31" t="inlineStr"/>
      <c r="O38" s="31" t="inlineStr"/>
    </row>
    <row r="39">
      <c r="A39" s="22" t="n">
        <v>2</v>
      </c>
      <c r="B39" s="22" t="n">
        <v>12</v>
      </c>
      <c r="C39" s="23" t="inlineStr">
        <is>
          <t>QMCO</t>
        </is>
      </c>
      <c r="D39" s="22" t="inlineStr">
        <is>
          <t>Quantum Corporation</t>
        </is>
      </c>
      <c r="E39" s="25" t="n">
        <v>34.5</v>
      </c>
      <c r="F39" s="31" t="inlineStr">
        <is>
          <t>07-17 @ 9.06</t>
        </is>
      </c>
      <c r="G39" s="31" t="inlineStr">
        <is>
          <t>07-28 @ 9.86</t>
        </is>
      </c>
      <c r="H39" s="31" t="inlineStr">
        <is>
          <t>08-03 @ 10.19</t>
        </is>
      </c>
      <c r="I39" s="31" t="inlineStr">
        <is>
          <t>08-20 @ 19.73</t>
        </is>
      </c>
      <c r="J39" s="31" t="inlineStr">
        <is>
          <t>08-31 @ 21.41</t>
        </is>
      </c>
      <c r="K39" s="31" t="inlineStr">
        <is>
          <t>09-14 @ 21.80</t>
        </is>
      </c>
      <c r="L39" s="31" t="inlineStr">
        <is>
          <t>09-08 @ 25.75</t>
        </is>
      </c>
      <c r="M39" s="31" t="inlineStr"/>
      <c r="N39" s="31" t="inlineStr"/>
      <c r="O39" s="31" t="inlineStr"/>
    </row>
    <row r="40">
      <c r="A40" s="22" t="n">
        <v>2</v>
      </c>
      <c r="B40" s="22" t="n">
        <v>13</v>
      </c>
      <c r="C40" s="23" t="inlineStr">
        <is>
          <t>AVT</t>
        </is>
      </c>
      <c r="D40" s="22" t="inlineStr">
        <is>
          <t>Avnet Inc.</t>
        </is>
      </c>
      <c r="E40" s="25" t="n">
        <v>106.94</v>
      </c>
      <c r="F40" s="31" t="inlineStr">
        <is>
          <t>07-17 @ 82.50</t>
        </is>
      </c>
      <c r="G40" s="31" t="inlineStr">
        <is>
          <t>07-29 @ 83.48</t>
        </is>
      </c>
      <c r="H40" s="31" t="inlineStr">
        <is>
          <t>08-24 @ 85.52</t>
        </is>
      </c>
      <c r="I40" s="31" t="inlineStr">
        <is>
          <t>09-03 @ 86.71</t>
        </is>
      </c>
      <c r="J40" s="31" t="inlineStr">
        <is>
          <t>09-16 @ 90.90</t>
        </is>
      </c>
      <c r="K40" s="31" t="inlineStr"/>
      <c r="L40" s="31" t="inlineStr">
        <is>
          <t>08-28 @ 92.70</t>
        </is>
      </c>
      <c r="M40" s="31" t="inlineStr">
        <is>
          <t>09-11 @ 99.92</t>
        </is>
      </c>
      <c r="N40" s="31" t="inlineStr">
        <is>
          <t>09-25 @ 104.58</t>
        </is>
      </c>
      <c r="O40" s="31" t="inlineStr"/>
    </row>
    <row r="41">
      <c r="A41" s="22" t="n">
        <v>2</v>
      </c>
      <c r="B41" s="22" t="n">
        <v>14</v>
      </c>
      <c r="C41" s="23" t="inlineStr">
        <is>
          <t>ABSI</t>
        </is>
      </c>
      <c r="D41" s="22" t="inlineStr">
        <is>
          <t>Absci Corporation</t>
        </is>
      </c>
      <c r="E41" s="25" t="n">
        <v>11.07</v>
      </c>
      <c r="F41" s="31" t="inlineStr">
        <is>
          <t>07-29 @ 6.69</t>
        </is>
      </c>
      <c r="G41" s="31" t="inlineStr">
        <is>
          <t>08-18 @ 8.55</t>
        </is>
      </c>
      <c r="H41" s="31" t="inlineStr">
        <is>
          <t>08-24 @ 8.75</t>
        </is>
      </c>
      <c r="I41" s="31" t="inlineStr">
        <is>
          <t>09-02 @ 8.36</t>
        </is>
      </c>
      <c r="J41" s="31" t="inlineStr">
        <is>
          <t>09-15 @ 7.79</t>
        </is>
      </c>
      <c r="K41" s="31" t="inlineStr">
        <is>
          <t>09-28 @ 9.25</t>
        </is>
      </c>
      <c r="L41" s="31" t="inlineStr">
        <is>
          <t>09-22 @ 11.26</t>
        </is>
      </c>
      <c r="M41" s="31" t="inlineStr"/>
      <c r="N41" s="31" t="inlineStr"/>
      <c r="O41" s="31" t="inlineStr"/>
    </row>
    <row r="42">
      <c r="A42" s="22" t="n">
        <v>2</v>
      </c>
      <c r="B42" s="22" t="n">
        <v>15</v>
      </c>
      <c r="C42" s="23" t="inlineStr">
        <is>
          <t>PRLB</t>
        </is>
      </c>
      <c r="D42" s="22" t="inlineStr">
        <is>
          <t>Proto Labs Inc. Common stock</t>
        </is>
      </c>
      <c r="E42" s="25" t="n">
        <v>98.20999999999999</v>
      </c>
      <c r="F42" s="31" t="inlineStr">
        <is>
          <t>07-17 @ 74.28</t>
        </is>
      </c>
      <c r="G42" s="31" t="inlineStr">
        <is>
          <t>07-29 @ 71.29</t>
        </is>
      </c>
      <c r="H42" s="31" t="inlineStr">
        <is>
          <t>08-24 @ 76.40</t>
        </is>
      </c>
      <c r="I42" s="31" t="inlineStr">
        <is>
          <t>09-03 @ 77.05</t>
        </is>
      </c>
      <c r="J42" s="31" t="inlineStr">
        <is>
          <t>09-15 @ 77.88</t>
        </is>
      </c>
      <c r="K42" s="31" t="inlineStr"/>
      <c r="L42" s="31" t="inlineStr">
        <is>
          <t>08-28 @ 81.29</t>
        </is>
      </c>
      <c r="M42" s="31" t="inlineStr">
        <is>
          <t>09-08 @ 82.55</t>
        </is>
      </c>
      <c r="N42" s="31" t="inlineStr"/>
      <c r="O42" s="31" t="inlineStr"/>
    </row>
    <row r="43">
      <c r="A43" s="22" t="n">
        <v>2</v>
      </c>
      <c r="B43" s="22" t="n">
        <v>16</v>
      </c>
      <c r="C43" s="23" t="inlineStr">
        <is>
          <t>KODK</t>
        </is>
      </c>
      <c r="D43" s="22" t="inlineStr">
        <is>
          <t>Eastman Kodak Company Common New</t>
        </is>
      </c>
      <c r="E43" s="25" t="n">
        <v>9.81</v>
      </c>
      <c r="F43" s="31" t="inlineStr">
        <is>
          <t>07-20 @ 7.47</t>
        </is>
      </c>
      <c r="G43" s="31" t="inlineStr">
        <is>
          <t>09-01 @ 8.71</t>
        </is>
      </c>
      <c r="H43" s="31" t="inlineStr">
        <is>
          <t>09-10 @ 8.85</t>
        </is>
      </c>
      <c r="I43" s="31" t="inlineStr">
        <is>
          <t>09-28 @ 9.36</t>
        </is>
      </c>
      <c r="J43" s="31" t="inlineStr"/>
      <c r="K43" s="31" t="inlineStr"/>
      <c r="L43" s="31" t="inlineStr">
        <is>
          <t>09-21 @ 9.89</t>
        </is>
      </c>
      <c r="M43" s="31" t="inlineStr"/>
      <c r="N43" s="31" t="inlineStr"/>
      <c r="O43" s="31" t="inlineStr"/>
    </row>
    <row r="44">
      <c r="A44" s="22" t="n">
        <v>2</v>
      </c>
      <c r="B44" s="22" t="n">
        <v>17</v>
      </c>
      <c r="C44" s="23" t="inlineStr">
        <is>
          <t>PWRL</t>
        </is>
      </c>
      <c r="D44" s="22" t="inlineStr">
        <is>
          <t>Powerlaw Corp.</t>
        </is>
      </c>
      <c r="E44" s="25" t="n">
        <v>11.4</v>
      </c>
      <c r="F44" s="31" t="inlineStr">
        <is>
          <t>08-06 @ 10.21</t>
        </is>
      </c>
      <c r="G44" s="31" t="inlineStr">
        <is>
          <t>09-02 @ 9.41</t>
        </is>
      </c>
      <c r="H44" s="31" t="inlineStr">
        <is>
          <t>09-29 @ 10.50</t>
        </is>
      </c>
      <c r="I44" s="31" t="inlineStr"/>
      <c r="J44" s="31" t="inlineStr"/>
      <c r="K44" s="31" t="inlineStr"/>
      <c r="L44" s="31" t="inlineStr">
        <is>
          <t>09-04 @ 10.64</t>
        </is>
      </c>
      <c r="M44" s="31" t="inlineStr">
        <is>
          <t>09-18 @ 11.69</t>
        </is>
      </c>
      <c r="N44" s="31" t="inlineStr"/>
      <c r="O44" s="31" t="inlineStr"/>
    </row>
    <row r="45">
      <c r="A45" s="22" t="n">
        <v>2</v>
      </c>
      <c r="B45" s="22" t="n">
        <v>18</v>
      </c>
      <c r="C45" s="23" t="inlineStr">
        <is>
          <t>TSSI</t>
        </is>
      </c>
      <c r="D45" s="22" t="inlineStr">
        <is>
          <t>TSS Inc.</t>
        </is>
      </c>
      <c r="E45" s="25" t="n">
        <v>10.24</v>
      </c>
      <c r="F45" s="31" t="inlineStr">
        <is>
          <t>07-20 @ 8.87</t>
        </is>
      </c>
      <c r="G45" s="31" t="inlineStr">
        <is>
          <t>07-29 @ 8.66</t>
        </is>
      </c>
      <c r="H45" s="31" t="inlineStr">
        <is>
          <t>09-01 @ 7.62</t>
        </is>
      </c>
      <c r="I45" s="31" t="inlineStr">
        <is>
          <t>09-16 @ 8.11</t>
        </is>
      </c>
      <c r="J45" s="31" t="inlineStr"/>
      <c r="K45" s="31" t="inlineStr"/>
      <c r="L45" s="31" t="inlineStr">
        <is>
          <t>09-10 @ 9.34</t>
        </is>
      </c>
      <c r="M45" s="31" t="inlineStr">
        <is>
          <t>09-24 @ 10.51</t>
        </is>
      </c>
      <c r="N45" s="31" t="inlineStr"/>
      <c r="O45" s="31" t="inlineStr"/>
    </row>
    <row r="46">
      <c r="A46" s="22" t="n">
        <v>2</v>
      </c>
      <c r="B46" s="22" t="n">
        <v>19</v>
      </c>
      <c r="C46" s="23" t="inlineStr">
        <is>
          <t>PI</t>
        </is>
      </c>
      <c r="D46" s="22" t="inlineStr">
        <is>
          <t>Impinj Inc.</t>
        </is>
      </c>
      <c r="E46" s="25" t="n">
        <v>189.61</v>
      </c>
      <c r="F46" s="31" t="inlineStr">
        <is>
          <t>07-17 @ 133.00</t>
        </is>
      </c>
      <c r="G46" s="31" t="inlineStr">
        <is>
          <t>07-24 @ 124.49</t>
        </is>
      </c>
      <c r="H46" s="31" t="inlineStr">
        <is>
          <t>08-26 @ 156.96</t>
        </is>
      </c>
      <c r="I46" s="31" t="inlineStr">
        <is>
          <t>09-10 @ 161.17</t>
        </is>
      </c>
      <c r="J46" s="31" t="inlineStr">
        <is>
          <t>09-24 @ 172.40</t>
        </is>
      </c>
      <c r="K46" s="31" t="inlineStr"/>
      <c r="L46" s="31" t="inlineStr">
        <is>
          <t>08-28 @ 179.55</t>
        </is>
      </c>
      <c r="M46" s="31" t="inlineStr">
        <is>
          <t>09-22 @ 186.66</t>
        </is>
      </c>
      <c r="N46" s="31" t="inlineStr"/>
      <c r="O46" s="31" t="inlineStr"/>
    </row>
    <row r="47">
      <c r="A47" s="22" t="n">
        <v>2</v>
      </c>
      <c r="B47" s="22" t="n">
        <v>20</v>
      </c>
      <c r="C47" s="23" t="inlineStr">
        <is>
          <t>SWBI</t>
        </is>
      </c>
      <c r="D47" s="22" t="inlineStr">
        <is>
          <t>Smith &amp; Wesson Brands Inc.</t>
        </is>
      </c>
      <c r="E47" s="25" t="n">
        <v>14.64</v>
      </c>
      <c r="F47" s="31" t="inlineStr">
        <is>
          <t>07-23 @ 14.40</t>
        </is>
      </c>
      <c r="G47" s="31" t="inlineStr">
        <is>
          <t>07-29 @ 14.41</t>
        </is>
      </c>
      <c r="H47" s="31" t="inlineStr">
        <is>
          <t>08-12 @ 14.08</t>
        </is>
      </c>
      <c r="I47" s="31" t="inlineStr">
        <is>
          <t>09-03 @ 12.09</t>
        </is>
      </c>
      <c r="J47" s="31" t="inlineStr">
        <is>
          <t>09-17 @ 12.90</t>
        </is>
      </c>
      <c r="K47" s="31" t="inlineStr"/>
      <c r="L47" s="31" t="inlineStr">
        <is>
          <t>09-04 @ 14.12</t>
        </is>
      </c>
      <c r="M47" s="31" t="inlineStr"/>
      <c r="N47" s="31" t="inlineStr"/>
      <c r="O47" s="31" t="inlineStr"/>
    </row>
    <row r="48">
      <c r="A48" s="22" t="n">
        <v>2</v>
      </c>
      <c r="B48" s="22" t="n">
        <v>21</v>
      </c>
      <c r="C48" s="23" t="inlineStr">
        <is>
          <t>RLGT</t>
        </is>
      </c>
      <c r="D48" s="22" t="inlineStr">
        <is>
          <t>Radiant Logistics Inc.</t>
        </is>
      </c>
      <c r="E48" s="25" t="n">
        <v>9.359999999999999</v>
      </c>
      <c r="F48" s="31" t="inlineStr">
        <is>
          <t>08-11 @ 8.22</t>
        </is>
      </c>
      <c r="G48" s="31" t="inlineStr">
        <is>
          <t>08-24 @ 8.34</t>
        </is>
      </c>
      <c r="H48" s="31" t="inlineStr">
        <is>
          <t>09-03 @ 8.05</t>
        </is>
      </c>
      <c r="I48" s="31" t="inlineStr">
        <is>
          <t>09-14 @ 8.06</t>
        </is>
      </c>
      <c r="J48" s="31" t="inlineStr">
        <is>
          <t>09-21 @ 8.44</t>
        </is>
      </c>
      <c r="K48" s="31" t="inlineStr">
        <is>
          <t>09-28 @ 8.49</t>
        </is>
      </c>
      <c r="L48" s="31" t="inlineStr">
        <is>
          <t>09-15 @ 10.20</t>
        </is>
      </c>
      <c r="M48" s="31" t="inlineStr"/>
      <c r="N48" s="31" t="inlineStr"/>
      <c r="O48" s="31" t="inlineStr"/>
    </row>
    <row r="49">
      <c r="A49" s="22" t="n">
        <v>2</v>
      </c>
      <c r="B49" s="22" t="n">
        <v>22</v>
      </c>
      <c r="C49" s="23" t="inlineStr">
        <is>
          <t>CLDT</t>
        </is>
      </c>
      <c r="D49" s="22" t="inlineStr">
        <is>
          <t>Chatham Lodging Trust (REIT)</t>
        </is>
      </c>
      <c r="E49" s="25" t="n">
        <v>13.68</v>
      </c>
      <c r="F49" s="31" t="inlineStr">
        <is>
          <t>07-23 @ 13.08</t>
        </is>
      </c>
      <c r="G49" s="31" t="inlineStr">
        <is>
          <t>07-30 @ 13.09</t>
        </is>
      </c>
      <c r="H49" s="31" t="inlineStr">
        <is>
          <t>08-10 @ 12.19</t>
        </is>
      </c>
      <c r="I49" s="31" t="inlineStr">
        <is>
          <t>09-09 @ 12.53</t>
        </is>
      </c>
      <c r="J49" s="31" t="inlineStr">
        <is>
          <t>09-16 @ 12.64</t>
        </is>
      </c>
      <c r="K49" s="31" t="inlineStr"/>
      <c r="L49" s="31" t="inlineStr">
        <is>
          <t>09-16 @ 13.23</t>
        </is>
      </c>
      <c r="M49" s="31" t="inlineStr"/>
      <c r="N49" s="31" t="inlineStr"/>
      <c r="O49" s="31" t="inlineStr"/>
    </row>
    <row r="50">
      <c r="A50" s="22" t="n">
        <v>2</v>
      </c>
      <c r="B50" s="22" t="n">
        <v>23</v>
      </c>
      <c r="C50" s="23" t="inlineStr">
        <is>
          <t>WMK</t>
        </is>
      </c>
      <c r="D50" s="22" t="inlineStr">
        <is>
          <t>Weis Markets Inc.</t>
        </is>
      </c>
      <c r="E50" s="25" t="n">
        <v>74.04000000000001</v>
      </c>
      <c r="F50" s="31" t="inlineStr">
        <is>
          <t>07-14 @ 76.85</t>
        </is>
      </c>
      <c r="G50" s="31" t="inlineStr">
        <is>
          <t>07-24 @ 73.07</t>
        </is>
      </c>
      <c r="H50" s="31" t="inlineStr">
        <is>
          <t>08-20 @ 68.42</t>
        </is>
      </c>
      <c r="I50" s="31" t="inlineStr">
        <is>
          <t>08-27 @ 69.31</t>
        </is>
      </c>
      <c r="J50" s="31" t="inlineStr">
        <is>
          <t>09-10 @ 69.46</t>
        </is>
      </c>
      <c r="K50" s="31" t="inlineStr">
        <is>
          <t>09-25 @ 71.41</t>
        </is>
      </c>
      <c r="L50" s="31" t="inlineStr">
        <is>
          <t>08-28 @ 71.92</t>
        </is>
      </c>
      <c r="M50" s="31" t="inlineStr">
        <is>
          <t>09-04 @ 72.38</t>
        </is>
      </c>
      <c r="N50" s="31" t="inlineStr">
        <is>
          <t>09-22 @ 75.32</t>
        </is>
      </c>
      <c r="O50" s="31" t="inlineStr"/>
    </row>
    <row r="51">
      <c r="A51" s="22" t="n">
        <v>2</v>
      </c>
      <c r="B51" s="22" t="n">
        <v>24</v>
      </c>
      <c r="C51" s="23" t="inlineStr">
        <is>
          <t>MRVI</t>
        </is>
      </c>
      <c r="D51" s="22" t="inlineStr">
        <is>
          <t>Maravai LifeSciences Holdings Inc.</t>
        </is>
      </c>
      <c r="E51" s="25" t="n">
        <v>7.9</v>
      </c>
      <c r="F51" s="31" t="inlineStr">
        <is>
          <t>08-07 @ 5.41</t>
        </is>
      </c>
      <c r="G51" s="31" t="inlineStr">
        <is>
          <t>08-18 @ 5.53</t>
        </is>
      </c>
      <c r="H51" s="31" t="inlineStr">
        <is>
          <t>09-11 @ 6.49</t>
        </is>
      </c>
      <c r="I51" s="31" t="inlineStr"/>
      <c r="J51" s="31" t="inlineStr"/>
      <c r="K51" s="31" t="inlineStr"/>
      <c r="L51" s="31" t="inlineStr">
        <is>
          <t>09-17 @ 7.51</t>
        </is>
      </c>
      <c r="M51" s="31" t="inlineStr">
        <is>
          <t>09-24 @ 7.76</t>
        </is>
      </c>
      <c r="N51" s="31" t="inlineStr"/>
      <c r="O51" s="31" t="inlineStr"/>
    </row>
    <row r="52">
      <c r="A52" s="22" t="n">
        <v>2</v>
      </c>
      <c r="B52" s="22" t="n">
        <v>25</v>
      </c>
      <c r="C52" s="23" t="inlineStr">
        <is>
          <t>AIP</t>
        </is>
      </c>
      <c r="D52" s="22" t="inlineStr">
        <is>
          <t>Arteris Inc.</t>
        </is>
      </c>
      <c r="E52" s="25" t="n">
        <v>24.66</v>
      </c>
      <c r="F52" s="31" t="inlineStr">
        <is>
          <t>07-29 @ 26.63</t>
        </is>
      </c>
      <c r="G52" s="31" t="inlineStr">
        <is>
          <t>08-10 @ 27.08</t>
        </is>
      </c>
      <c r="H52" s="31" t="inlineStr">
        <is>
          <t>08-24 @ 22.46</t>
        </is>
      </c>
      <c r="I52" s="31" t="inlineStr">
        <is>
          <t>09-02 @ 20.06</t>
        </is>
      </c>
      <c r="J52" s="31" t="inlineStr">
        <is>
          <t>09-15 @ 20.02</t>
        </is>
      </c>
      <c r="K52" s="31" t="inlineStr">
        <is>
          <t>09-28 @ 22.54</t>
        </is>
      </c>
      <c r="L52" s="31" t="inlineStr">
        <is>
          <t>09-09 @ 23.62</t>
        </is>
      </c>
      <c r="M52" s="31" t="inlineStr">
        <is>
          <t>09-25 @ 24.98</t>
        </is>
      </c>
      <c r="N52" s="31" t="inlineStr"/>
      <c r="O52" s="31" t="inlineStr"/>
    </row>
    <row r="53">
      <c r="A53" s="22" t="n">
        <v>2</v>
      </c>
      <c r="B53" s="22" t="n">
        <v>26</v>
      </c>
      <c r="C53" s="23" t="inlineStr">
        <is>
          <t>WEST</t>
        </is>
      </c>
      <c r="D53" s="22" t="inlineStr">
        <is>
          <t>Westrock Coffee Company</t>
        </is>
      </c>
      <c r="E53" s="25" t="n">
        <v>8.140000000000001</v>
      </c>
      <c r="F53" s="31" t="inlineStr">
        <is>
          <t>07-15 @ 6.86</t>
        </is>
      </c>
      <c r="G53" s="31" t="inlineStr">
        <is>
          <t>07-23 @ 7.25</t>
        </is>
      </c>
      <c r="H53" s="31" t="inlineStr">
        <is>
          <t>08-07 @ 6.52</t>
        </is>
      </c>
      <c r="I53" s="31" t="inlineStr">
        <is>
          <t>09-10 @ 7.58</t>
        </is>
      </c>
      <c r="J53" s="31" t="inlineStr">
        <is>
          <t>09-21 @ 7.66</t>
        </is>
      </c>
      <c r="K53" s="31" t="inlineStr"/>
      <c r="L53" s="31" t="inlineStr">
        <is>
          <t>09-03 @ 8.14</t>
        </is>
      </c>
      <c r="M53" s="31" t="inlineStr">
        <is>
          <t>09-16 @ 8.01</t>
        </is>
      </c>
      <c r="N53" s="31" t="inlineStr">
        <is>
          <t>09-22 @ 8.22</t>
        </is>
      </c>
      <c r="O53" s="31" t="inlineStr">
        <is>
          <t>09-28 @ 8.28</t>
        </is>
      </c>
    </row>
    <row r="54">
      <c r="A54" s="22" t="n">
        <v>2</v>
      </c>
      <c r="B54" s="22" t="n">
        <v>27</v>
      </c>
      <c r="C54" s="23" t="inlineStr">
        <is>
          <t>HWKN</t>
        </is>
      </c>
      <c r="D54" s="22" t="inlineStr">
        <is>
          <t>Hawkins Inc.</t>
        </is>
      </c>
      <c r="E54" s="25" t="n">
        <v>131.41</v>
      </c>
      <c r="F54" s="31" t="inlineStr">
        <is>
          <t>07-13 @ 131.41</t>
        </is>
      </c>
      <c r="G54" s="31" t="inlineStr">
        <is>
          <t>07-24 @ 135.03</t>
        </is>
      </c>
      <c r="H54" s="31" t="inlineStr">
        <is>
          <t>07-31 @ 119.02</t>
        </is>
      </c>
      <c r="I54" s="31" t="inlineStr">
        <is>
          <t>08-27 @ 116.05</t>
        </is>
      </c>
      <c r="J54" s="31" t="inlineStr">
        <is>
          <t>09-15 @ 118.71</t>
        </is>
      </c>
      <c r="K54" s="31" t="inlineStr"/>
      <c r="L54" s="31" t="inlineStr">
        <is>
          <t>09-08 @ 130.52</t>
        </is>
      </c>
      <c r="M54" s="31" t="inlineStr">
        <is>
          <t>09-28 @ 129.99</t>
        </is>
      </c>
      <c r="N54" s="31" t="inlineStr"/>
      <c r="O54" s="31" t="inlineStr"/>
    </row>
    <row r="55">
      <c r="A55" s="22" t="n">
        <v>2</v>
      </c>
      <c r="B55" s="22" t="n">
        <v>28</v>
      </c>
      <c r="C55" s="23" t="inlineStr">
        <is>
          <t>FIX</t>
        </is>
      </c>
      <c r="D55" s="22" t="inlineStr">
        <is>
          <t>Comfort Systems USA Inc.</t>
        </is>
      </c>
      <c r="E55" s="25" t="n">
        <v>1728.01</v>
      </c>
      <c r="F55" s="31" t="inlineStr">
        <is>
          <t>07-17 @ 1556.35</t>
        </is>
      </c>
      <c r="G55" s="31" t="inlineStr">
        <is>
          <t>07-29 @ 1491.24</t>
        </is>
      </c>
      <c r="H55" s="31" t="inlineStr">
        <is>
          <t>08-07 @ 1659.28</t>
        </is>
      </c>
      <c r="I55" s="31" t="inlineStr">
        <is>
          <t>08-31 @ 1505.73</t>
        </is>
      </c>
      <c r="J55" s="31" t="inlineStr">
        <is>
          <t>09-14 @ 1545.21</t>
        </is>
      </c>
      <c r="K55" s="31" t="inlineStr">
        <is>
          <t>09-24 @ 1570.00</t>
        </is>
      </c>
      <c r="L55" s="31" t="inlineStr">
        <is>
          <t>09-11 @ 1695.57</t>
        </is>
      </c>
      <c r="M55" s="31" t="inlineStr">
        <is>
          <t>09-18 @ 1679.82</t>
        </is>
      </c>
      <c r="N55" s="31" t="inlineStr"/>
      <c r="O55" s="31" t="inlineStr"/>
    </row>
    <row r="56">
      <c r="A56" s="22" t="n">
        <v>2</v>
      </c>
      <c r="B56" s="22" t="n">
        <v>29</v>
      </c>
      <c r="C56" s="23" t="inlineStr">
        <is>
          <t>NVTS</t>
        </is>
      </c>
      <c r="D56" s="22" t="inlineStr">
        <is>
          <t>Navitas Semiconductor Corporation</t>
        </is>
      </c>
      <c r="E56" s="25" t="n">
        <v>12.4</v>
      </c>
      <c r="F56" s="31" t="inlineStr">
        <is>
          <t>07-17 @ 10.74</t>
        </is>
      </c>
      <c r="G56" s="31" t="inlineStr">
        <is>
          <t>07-28 @ 9.43</t>
        </is>
      </c>
      <c r="H56" s="31" t="inlineStr">
        <is>
          <t>08-24 @ 12.14</t>
        </is>
      </c>
      <c r="I56" s="31" t="inlineStr">
        <is>
          <t>09-01 @ 10.80</t>
        </is>
      </c>
      <c r="J56" s="31" t="inlineStr">
        <is>
          <t>09-16 @ 10.27</t>
        </is>
      </c>
      <c r="K56" s="31" t="inlineStr">
        <is>
          <t>09-24 @ 11.43</t>
        </is>
      </c>
      <c r="L56" s="31" t="inlineStr">
        <is>
          <t>09-08 @ 12.63</t>
        </is>
      </c>
      <c r="M56" s="31" t="inlineStr">
        <is>
          <t>09-22 @ 12.52</t>
        </is>
      </c>
      <c r="N56" s="31" t="inlineStr"/>
      <c r="O56" s="31" t="inlineStr"/>
    </row>
    <row r="57">
      <c r="A57" s="22" t="n">
        <v>2</v>
      </c>
      <c r="B57" s="22" t="n">
        <v>30</v>
      </c>
      <c r="C57" s="23" t="inlineStr">
        <is>
          <t>PCRX</t>
        </is>
      </c>
      <c r="D57" s="22" t="inlineStr">
        <is>
          <t>Pacira BioSciences Inc.</t>
        </is>
      </c>
      <c r="E57" s="25" t="n">
        <v>25.21</v>
      </c>
      <c r="F57" s="31" t="inlineStr">
        <is>
          <t>07-15 @ 24.61</t>
        </is>
      </c>
      <c r="G57" s="31" t="inlineStr">
        <is>
          <t>08-05 @ 24.21</t>
        </is>
      </c>
      <c r="H57" s="31" t="inlineStr">
        <is>
          <t>08-14 @ 22.79</t>
        </is>
      </c>
      <c r="I57" s="31" t="inlineStr">
        <is>
          <t>09-15 @ 23.65</t>
        </is>
      </c>
      <c r="J57" s="31" t="inlineStr">
        <is>
          <t>09-21 @ 23.98</t>
        </is>
      </c>
      <c r="K57" s="31" t="inlineStr"/>
      <c r="L57" s="31" t="inlineStr">
        <is>
          <t>09-02 @ 26.91</t>
        </is>
      </c>
      <c r="M57" s="31" t="inlineStr"/>
      <c r="N57" s="31" t="inlineStr"/>
      <c r="O57" s="31" t="inlineStr"/>
    </row>
    <row r="58">
      <c r="A58" s="22" t="n">
        <v>2</v>
      </c>
      <c r="B58" s="22" t="n">
        <v>31</v>
      </c>
      <c r="C58" s="23" t="inlineStr">
        <is>
          <t>FBLA</t>
        </is>
      </c>
      <c r="D58" s="22" t="inlineStr">
        <is>
          <t>FB Bancorp Inc.</t>
        </is>
      </c>
      <c r="E58" s="25" t="n">
        <v>16.96</v>
      </c>
      <c r="F58" s="31" t="inlineStr">
        <is>
          <t>07-29 @ 15.30</t>
        </is>
      </c>
      <c r="G58" s="31" t="inlineStr">
        <is>
          <t>08-07 @ 15.37</t>
        </is>
      </c>
      <c r="H58" s="31" t="inlineStr">
        <is>
          <t>08-18 @ 15.44</t>
        </is>
      </c>
      <c r="I58" s="31" t="inlineStr">
        <is>
          <t>08-31 @ 15.38</t>
        </is>
      </c>
      <c r="J58" s="31" t="inlineStr">
        <is>
          <t>09-10 @ 15.72</t>
        </is>
      </c>
      <c r="K58" s="31" t="inlineStr">
        <is>
          <t>09-18 @ 15.73</t>
        </is>
      </c>
      <c r="L58" s="31" t="inlineStr">
        <is>
          <t>09-04 @ 16.03</t>
        </is>
      </c>
      <c r="M58" s="31" t="inlineStr"/>
      <c r="N58" s="31" t="inlineStr"/>
      <c r="O58" s="31" t="inlineStr"/>
    </row>
    <row r="59">
      <c r="A59" s="22" t="n">
        <v>2</v>
      </c>
      <c r="B59" s="22" t="n">
        <v>32</v>
      </c>
      <c r="C59" s="23" t="inlineStr">
        <is>
          <t>GFS</t>
        </is>
      </c>
      <c r="D59" s="22" t="inlineStr">
        <is>
          <t>GlobalFoundries Inc.</t>
        </is>
      </c>
      <c r="E59" s="25" t="n">
        <v>50.17</v>
      </c>
      <c r="F59" s="31" t="inlineStr">
        <is>
          <t>07-17 @ 55.17</t>
        </is>
      </c>
      <c r="G59" s="31" t="inlineStr">
        <is>
          <t>07-29 @ 46.39</t>
        </is>
      </c>
      <c r="H59" s="31" t="inlineStr">
        <is>
          <t>08-06 @ 47.55</t>
        </is>
      </c>
      <c r="I59" s="31" t="inlineStr">
        <is>
          <t>09-03 @ 42.70</t>
        </is>
      </c>
      <c r="J59" s="31" t="inlineStr">
        <is>
          <t>09-15 @ 42.15</t>
        </is>
      </c>
      <c r="K59" s="31" t="inlineStr">
        <is>
          <t>09-24 @ 45.39</t>
        </is>
      </c>
      <c r="L59" s="31" t="inlineStr">
        <is>
          <t>09-11 @ 47.33</t>
        </is>
      </c>
      <c r="M59" s="31" t="inlineStr">
        <is>
          <t>09-25 @ 49.42</t>
        </is>
      </c>
      <c r="N59" s="31" t="inlineStr"/>
      <c r="O59" s="31" t="inlineStr"/>
    </row>
    <row r="60">
      <c r="A60" s="22" t="n">
        <v>2</v>
      </c>
      <c r="B60" s="22" t="n">
        <v>33</v>
      </c>
      <c r="C60" s="23" t="inlineStr">
        <is>
          <t>NTNX</t>
        </is>
      </c>
      <c r="D60" s="22" t="inlineStr">
        <is>
          <t>Nutanix Inc.</t>
        </is>
      </c>
      <c r="E60" s="25" t="n">
        <v>72.29000000000001</v>
      </c>
      <c r="F60" s="31" t="inlineStr">
        <is>
          <t>08-06 @ 59.03</t>
        </is>
      </c>
      <c r="G60" s="31" t="inlineStr">
        <is>
          <t>08-19 @ 64.74</t>
        </is>
      </c>
      <c r="H60" s="31" t="inlineStr">
        <is>
          <t>08-26 @ 64.80</t>
        </is>
      </c>
      <c r="I60" s="31" t="inlineStr">
        <is>
          <t>09-02 @ 65.78</t>
        </is>
      </c>
      <c r="J60" s="31" t="inlineStr">
        <is>
          <t>09-11 @ 65.25</t>
        </is>
      </c>
      <c r="K60" s="31" t="inlineStr">
        <is>
          <t>09-28 @ 66.25</t>
        </is>
      </c>
      <c r="L60" s="31" t="inlineStr">
        <is>
          <t>09-22 @ 71.08</t>
        </is>
      </c>
      <c r="M60" s="31" t="inlineStr"/>
      <c r="N60" s="31" t="inlineStr"/>
      <c r="O60" s="31" t="inlineStr"/>
    </row>
    <row r="61">
      <c r="A61" s="22" t="n">
        <v>2</v>
      </c>
      <c r="B61" s="22" t="n">
        <v>34</v>
      </c>
      <c r="C61" s="23" t="inlineStr">
        <is>
          <t>LYTS</t>
        </is>
      </c>
      <c r="D61" s="22" t="inlineStr">
        <is>
          <t>LSI Industries Inc.</t>
        </is>
      </c>
      <c r="E61" s="25" t="n">
        <v>21.25</v>
      </c>
      <c r="F61" s="31" t="inlineStr">
        <is>
          <t>07-14 @ 23.50</t>
        </is>
      </c>
      <c r="G61" s="31" t="inlineStr">
        <is>
          <t>07-30 @ 22.22</t>
        </is>
      </c>
      <c r="H61" s="31" t="inlineStr">
        <is>
          <t>08-24 @ 19.53</t>
        </is>
      </c>
      <c r="I61" s="31" t="inlineStr">
        <is>
          <t>09-01 @ 19.23</t>
        </is>
      </c>
      <c r="J61" s="31" t="inlineStr">
        <is>
          <t>09-09 @ 19.11</t>
        </is>
      </c>
      <c r="K61" s="31" t="inlineStr">
        <is>
          <t>09-24 @ 19.94</t>
        </is>
      </c>
      <c r="L61" s="31" t="inlineStr">
        <is>
          <t>09-04 @ 20.93</t>
        </is>
      </c>
      <c r="M61" s="31" t="inlineStr"/>
      <c r="N61" s="31" t="inlineStr"/>
      <c r="O61" s="31" t="inlineStr"/>
    </row>
    <row r="62">
      <c r="A62" s="22" t="n">
        <v>2</v>
      </c>
      <c r="B62" s="22" t="n">
        <v>35</v>
      </c>
      <c r="C62" s="23" t="inlineStr">
        <is>
          <t>FLEX</t>
        </is>
      </c>
      <c r="D62" s="22" t="inlineStr">
        <is>
          <t>Flex Ltd.</t>
        </is>
      </c>
      <c r="E62" s="25" t="n">
        <v>116.61</v>
      </c>
      <c r="F62" s="31" t="inlineStr">
        <is>
          <t>07-17 @ 111.38</t>
        </is>
      </c>
      <c r="G62" s="31" t="inlineStr">
        <is>
          <t>07-29 @ 99.50</t>
        </is>
      </c>
      <c r="H62" s="31" t="inlineStr">
        <is>
          <t>08-24 @ 104.90</t>
        </is>
      </c>
      <c r="I62" s="31" t="inlineStr">
        <is>
          <t>09-03 @ 102.25</t>
        </is>
      </c>
      <c r="J62" s="31" t="inlineStr">
        <is>
          <t>09-16 @ 105.85</t>
        </is>
      </c>
      <c r="K62" s="31" t="inlineStr"/>
      <c r="L62" s="31" t="inlineStr">
        <is>
          <t>09-11 @ 117.68</t>
        </is>
      </c>
      <c r="M62" s="31" t="inlineStr">
        <is>
          <t>09-25 @ 120.76</t>
        </is>
      </c>
      <c r="N62" s="31" t="inlineStr"/>
      <c r="O62" s="31" t="inlineStr"/>
    </row>
    <row r="63">
      <c r="A63" s="5" t="n">
        <v>3</v>
      </c>
      <c r="B63" s="5" t="n">
        <v>1</v>
      </c>
      <c r="C63" s="6" t="inlineStr">
        <is>
          <t>FEIM</t>
        </is>
      </c>
      <c r="D63" s="5" t="inlineStr">
        <is>
          <t>Frequency Electronics Inc.</t>
        </is>
      </c>
      <c r="E63" s="8" t="n">
        <v>86.03</v>
      </c>
      <c r="F63" s="14" t="inlineStr">
        <is>
          <t>07-16 @ 49.22</t>
        </is>
      </c>
      <c r="G63" s="14" t="inlineStr">
        <is>
          <t>08-03 @ 55.89</t>
        </is>
      </c>
      <c r="H63" s="14" t="inlineStr">
        <is>
          <t>08-24 @ 57.87</t>
        </is>
      </c>
      <c r="I63" s="14" t="inlineStr">
        <is>
          <t>09-01 @ 56.98</t>
        </is>
      </c>
      <c r="J63" s="14" t="inlineStr">
        <is>
          <t>09-28 @ 81.58</t>
        </is>
      </c>
      <c r="K63" s="14" t="inlineStr"/>
      <c r="L63" s="14" t="inlineStr">
        <is>
          <t>09-11 @ 89.76</t>
        </is>
      </c>
      <c r="M63" s="14" t="inlineStr">
        <is>
          <t>09-21 @ 89.60</t>
        </is>
      </c>
      <c r="N63" s="14" t="inlineStr">
        <is>
          <t>09-25 @ 89.59</t>
        </is>
      </c>
      <c r="O63" s="14" t="inlineStr"/>
    </row>
    <row r="64">
      <c r="A64" s="5" t="n">
        <v>3</v>
      </c>
      <c r="B64" s="5" t="n">
        <v>2</v>
      </c>
      <c r="C64" s="6" t="inlineStr">
        <is>
          <t>JILL</t>
        </is>
      </c>
      <c r="D64" s="5" t="inlineStr">
        <is>
          <t>J. Jill Inc.</t>
        </is>
      </c>
      <c r="E64" s="8" t="n">
        <v>24.84</v>
      </c>
      <c r="F64" s="14" t="inlineStr">
        <is>
          <t>07-09 @ 15.05</t>
        </is>
      </c>
      <c r="G64" s="14" t="inlineStr">
        <is>
          <t>07-20 @ 15.24</t>
        </is>
      </c>
      <c r="H64" s="14" t="inlineStr">
        <is>
          <t>08-11 @ 18.10</t>
        </is>
      </c>
      <c r="I64" s="14" t="inlineStr">
        <is>
          <t>08-17 @ 18.26</t>
        </is>
      </c>
      <c r="J64" s="14" t="inlineStr">
        <is>
          <t>09-03 @ 18.49</t>
        </is>
      </c>
      <c r="K64" s="14" t="inlineStr">
        <is>
          <t>09-24 @ 22.86</t>
        </is>
      </c>
      <c r="L64" s="14" t="inlineStr">
        <is>
          <t>08-28 @ 20.13</t>
        </is>
      </c>
      <c r="M64" s="14" t="inlineStr">
        <is>
          <t>09-28 @ 25.00</t>
        </is>
      </c>
      <c r="N64" s="14" t="inlineStr"/>
      <c r="O64" s="14" t="inlineStr"/>
    </row>
    <row r="65">
      <c r="A65" s="5" t="n">
        <v>3</v>
      </c>
      <c r="B65" s="5" t="n">
        <v>3</v>
      </c>
      <c r="C65" s="6" t="inlineStr">
        <is>
          <t>PPIH</t>
        </is>
      </c>
      <c r="D65" s="5" t="inlineStr">
        <is>
          <t>Perma-Pipe International Holdings Inc.</t>
        </is>
      </c>
      <c r="E65" s="8" t="n">
        <v>31.86</v>
      </c>
      <c r="F65" s="14" t="inlineStr">
        <is>
          <t>07-17 @ 24.64</t>
        </is>
      </c>
      <c r="G65" s="14" t="inlineStr">
        <is>
          <t>07-29 @ 23.04</t>
        </is>
      </c>
      <c r="H65" s="14" t="inlineStr">
        <is>
          <t>08-20 @ 25.79</t>
        </is>
      </c>
      <c r="I65" s="14" t="inlineStr">
        <is>
          <t>08-28 @ 26.24</t>
        </is>
      </c>
      <c r="J65" s="14" t="inlineStr">
        <is>
          <t>09-23 @ 29.77</t>
        </is>
      </c>
      <c r="K65" s="14" t="inlineStr"/>
      <c r="L65" s="14" t="inlineStr">
        <is>
          <t>09-11 @ 31.68</t>
        </is>
      </c>
      <c r="M65" s="14" t="inlineStr">
        <is>
          <t>09-18 @ 31.15</t>
        </is>
      </c>
      <c r="N65" s="14" t="inlineStr">
        <is>
          <t>09-29 @ 32.19</t>
        </is>
      </c>
      <c r="O65" s="14" t="inlineStr"/>
    </row>
    <row r="66">
      <c r="A66" s="5" t="n">
        <v>3</v>
      </c>
      <c r="B66" s="5" t="n">
        <v>4</v>
      </c>
      <c r="C66" s="6" t="inlineStr">
        <is>
          <t>NET</t>
        </is>
      </c>
      <c r="D66" s="5" t="inlineStr">
        <is>
          <t>Cloudflare Inc.</t>
        </is>
      </c>
      <c r="E66" s="8" t="n">
        <v>349.07</v>
      </c>
      <c r="F66" s="14" t="inlineStr">
        <is>
          <t>07-17 @ 261.73</t>
        </is>
      </c>
      <c r="G66" s="14" t="inlineStr">
        <is>
          <t>07-28 @ 250.69</t>
        </is>
      </c>
      <c r="H66" s="14" t="inlineStr">
        <is>
          <t>08-26 @ 272.29</t>
        </is>
      </c>
      <c r="I66" s="14" t="inlineStr">
        <is>
          <t>09-02 @ 269.30</t>
        </is>
      </c>
      <c r="J66" s="14" t="inlineStr">
        <is>
          <t>09-18 @ 313.50</t>
        </is>
      </c>
      <c r="K66" s="14" t="inlineStr">
        <is>
          <t>09-28 @ 338.67</t>
        </is>
      </c>
      <c r="L66" s="14" t="inlineStr">
        <is>
          <t>09-24 @ 367.43</t>
        </is>
      </c>
      <c r="M66" s="14" t="inlineStr"/>
      <c r="N66" s="14" t="inlineStr"/>
      <c r="O66" s="14" t="inlineStr"/>
    </row>
    <row r="67">
      <c r="A67" s="5" t="n">
        <v>3</v>
      </c>
      <c r="B67" s="5" t="n">
        <v>5</v>
      </c>
      <c r="C67" s="6" t="inlineStr">
        <is>
          <t>LTC</t>
        </is>
      </c>
      <c r="D67" s="5" t="inlineStr">
        <is>
          <t>LTC Properties Inc.</t>
        </is>
      </c>
      <c r="E67" s="8" t="n">
        <v>43</v>
      </c>
      <c r="F67" s="14" t="inlineStr">
        <is>
          <t>08-04 @ 37.87</t>
        </is>
      </c>
      <c r="G67" s="14" t="inlineStr">
        <is>
          <t>08-11 @ 37.72</t>
        </is>
      </c>
      <c r="H67" s="14" t="inlineStr">
        <is>
          <t>08-25 @ 40.03</t>
        </is>
      </c>
      <c r="I67" s="14" t="inlineStr">
        <is>
          <t>08-31 @ 40.17</t>
        </is>
      </c>
      <c r="J67" s="14" t="inlineStr">
        <is>
          <t>09-08 @ 40.82</t>
        </is>
      </c>
      <c r="K67" s="14" t="inlineStr">
        <is>
          <t>09-21 @ 42.06</t>
        </is>
      </c>
      <c r="L67" s="14" t="inlineStr">
        <is>
          <t>09-16 @ 43.60</t>
        </is>
      </c>
      <c r="M67" s="14" t="inlineStr">
        <is>
          <t>09-28 @ 43.55</t>
        </is>
      </c>
      <c r="N67" s="14" t="inlineStr"/>
      <c r="O67" s="14" t="inlineStr"/>
    </row>
    <row r="68">
      <c r="A68" s="5" t="n">
        <v>3</v>
      </c>
      <c r="B68" s="5" t="n">
        <v>6</v>
      </c>
      <c r="C68" s="6" t="inlineStr">
        <is>
          <t>NVAX</t>
        </is>
      </c>
      <c r="D68" s="5" t="inlineStr">
        <is>
          <t>Novavax Inc.</t>
        </is>
      </c>
      <c r="E68" s="8" t="n">
        <v>10.46</v>
      </c>
      <c r="F68" s="14" t="inlineStr">
        <is>
          <t>07-28 @ 7.15</t>
        </is>
      </c>
      <c r="G68" s="14" t="inlineStr">
        <is>
          <t>08-18 @ 7.84</t>
        </is>
      </c>
      <c r="H68" s="14" t="inlineStr">
        <is>
          <t>08-28 @ 8.89</t>
        </is>
      </c>
      <c r="I68" s="14" t="inlineStr">
        <is>
          <t>09-10 @ 9.11</t>
        </is>
      </c>
      <c r="J68" s="14" t="inlineStr">
        <is>
          <t>09-28 @ 10.26</t>
        </is>
      </c>
      <c r="K68" s="14" t="inlineStr"/>
      <c r="L68" s="14" t="inlineStr">
        <is>
          <t>09-04 @ 10.75</t>
        </is>
      </c>
      <c r="M68" s="14" t="inlineStr">
        <is>
          <t>09-22 @ 11.09</t>
        </is>
      </c>
      <c r="N68" s="14" t="inlineStr">
        <is>
          <t>09-29 @ 11.11</t>
        </is>
      </c>
      <c r="O68" s="14" t="inlineStr"/>
    </row>
    <row r="69">
      <c r="A69" s="5" t="n">
        <v>3</v>
      </c>
      <c r="B69" s="5" t="n">
        <v>7</v>
      </c>
      <c r="C69" s="6" t="inlineStr">
        <is>
          <t>NUTX</t>
        </is>
      </c>
      <c r="D69" s="5" t="inlineStr">
        <is>
          <t>Nutex Health Inc.</t>
        </is>
      </c>
      <c r="E69" s="8" t="n">
        <v>216.5</v>
      </c>
      <c r="F69" s="14" t="inlineStr">
        <is>
          <t>07-29 @ 140.25</t>
        </is>
      </c>
      <c r="G69" s="14" t="inlineStr">
        <is>
          <t>08-25 @ 176.55</t>
        </is>
      </c>
      <c r="H69" s="14" t="inlineStr">
        <is>
          <t>09-01 @ 182.66</t>
        </is>
      </c>
      <c r="I69" s="14" t="inlineStr">
        <is>
          <t>09-09 @ 184.00</t>
        </is>
      </c>
      <c r="J69" s="14" t="inlineStr">
        <is>
          <t>09-24 @ 198.25</t>
        </is>
      </c>
      <c r="K69" s="14" t="inlineStr"/>
      <c r="L69" s="14" t="inlineStr">
        <is>
          <t>09-04 @ 200.00</t>
        </is>
      </c>
      <c r="M69" s="14" t="inlineStr">
        <is>
          <t>09-16 @ 224.28</t>
        </is>
      </c>
      <c r="N69" s="14" t="inlineStr">
        <is>
          <t>09-28 @ 222.13</t>
        </is>
      </c>
      <c r="O69" s="14" t="inlineStr"/>
    </row>
    <row r="70">
      <c r="A70" s="5" t="n">
        <v>3</v>
      </c>
      <c r="B70" s="5" t="n">
        <v>8</v>
      </c>
      <c r="C70" s="6" t="inlineStr">
        <is>
          <t>SMMT</t>
        </is>
      </c>
      <c r="D70" s="5" t="inlineStr">
        <is>
          <t>Summit Therapeutics Inc.</t>
        </is>
      </c>
      <c r="E70" s="8" t="n">
        <v>16.755</v>
      </c>
      <c r="F70" s="14" t="inlineStr">
        <is>
          <t>07-17 @ 13.36</t>
        </is>
      </c>
      <c r="G70" s="14" t="inlineStr">
        <is>
          <t>07-28 @ 12.25</t>
        </is>
      </c>
      <c r="H70" s="14" t="inlineStr">
        <is>
          <t>08-17 @ 12.07</t>
        </is>
      </c>
      <c r="I70" s="14" t="inlineStr">
        <is>
          <t>08-24 @ 12.22</t>
        </is>
      </c>
      <c r="J70" s="14" t="inlineStr">
        <is>
          <t>09-01 @ 13.37</t>
        </is>
      </c>
      <c r="K70" s="14" t="inlineStr">
        <is>
          <t>09-28 @ 15.18</t>
        </is>
      </c>
      <c r="L70" s="14" t="inlineStr">
        <is>
          <t>09-14 @ 18.83</t>
        </is>
      </c>
      <c r="M70" s="14" t="inlineStr">
        <is>
          <t>09-21 @ 18.42</t>
        </is>
      </c>
      <c r="N70" s="14" t="inlineStr">
        <is>
          <t>09-29 @ 19.09</t>
        </is>
      </c>
      <c r="O70" s="14" t="inlineStr"/>
    </row>
    <row r="71">
      <c r="A71" s="5" t="n">
        <v>3</v>
      </c>
      <c r="B71" s="5" t="n">
        <v>9</v>
      </c>
      <c r="C71" s="6" t="inlineStr">
        <is>
          <t>FLGT</t>
        </is>
      </c>
      <c r="D71" s="5" t="inlineStr">
        <is>
          <t>Fulgent Genetics Inc.</t>
        </is>
      </c>
      <c r="E71" s="8" t="n">
        <v>21.48</v>
      </c>
      <c r="F71" s="14" t="inlineStr">
        <is>
          <t>07-14 @ 20.02</t>
        </is>
      </c>
      <c r="G71" s="14" t="inlineStr">
        <is>
          <t>07-22 @ 19.20</t>
        </is>
      </c>
      <c r="H71" s="14" t="inlineStr">
        <is>
          <t>07-31 @ 16.05</t>
        </is>
      </c>
      <c r="I71" s="14" t="inlineStr">
        <is>
          <t>08-17 @ 18.28</t>
        </is>
      </c>
      <c r="J71" s="14" t="inlineStr">
        <is>
          <t>08-31 @ 19.04</t>
        </is>
      </c>
      <c r="K71" s="14" t="inlineStr">
        <is>
          <t>09-21 @ 21.01</t>
        </is>
      </c>
      <c r="L71" s="14" t="inlineStr">
        <is>
          <t>09-03 @ 20.34</t>
        </is>
      </c>
      <c r="M71" s="14" t="inlineStr">
        <is>
          <t>09-21 @ 21.93</t>
        </is>
      </c>
      <c r="N71" s="14" t="inlineStr">
        <is>
          <t>09-29 @ 22.59</t>
        </is>
      </c>
      <c r="O71" s="14" t="inlineStr"/>
    </row>
    <row r="72">
      <c r="A72" s="5" t="n">
        <v>3</v>
      </c>
      <c r="B72" s="5" t="n">
        <v>10</v>
      </c>
      <c r="C72" s="6" t="inlineStr">
        <is>
          <t>HURN</t>
        </is>
      </c>
      <c r="D72" s="5" t="inlineStr">
        <is>
          <t>Huron Consulting Group Inc.</t>
        </is>
      </c>
      <c r="E72" s="8" t="n">
        <v>162.15</v>
      </c>
      <c r="F72" s="14" t="inlineStr">
        <is>
          <t>07-24 @ 108.12</t>
        </is>
      </c>
      <c r="G72" s="14" t="inlineStr">
        <is>
          <t>08-04 @ 146.93</t>
        </is>
      </c>
      <c r="H72" s="14" t="inlineStr">
        <is>
          <t>08-12 @ 143.18</t>
        </is>
      </c>
      <c r="I72" s="14" t="inlineStr">
        <is>
          <t>08-27 @ 155.57</t>
        </is>
      </c>
      <c r="J72" s="14" t="inlineStr">
        <is>
          <t>09-09 @ 144.20</t>
        </is>
      </c>
      <c r="K72" s="14" t="inlineStr">
        <is>
          <t>09-29 @ 155.46</t>
        </is>
      </c>
      <c r="L72" s="14" t="inlineStr">
        <is>
          <t>08-31 @ 162.20</t>
        </is>
      </c>
      <c r="M72" s="14" t="inlineStr">
        <is>
          <t>09-24 @ 161.88</t>
        </is>
      </c>
      <c r="N72" s="14" t="inlineStr"/>
      <c r="O72" s="14" t="inlineStr"/>
    </row>
    <row r="73">
      <c r="A73" s="5" t="n">
        <v>3</v>
      </c>
      <c r="B73" s="5" t="n">
        <v>11</v>
      </c>
      <c r="C73" s="6" t="inlineStr">
        <is>
          <t>MG</t>
        </is>
      </c>
      <c r="D73" s="5" t="inlineStr">
        <is>
          <t>Mistras Group Inc</t>
        </is>
      </c>
      <c r="E73" s="8" t="n">
        <v>20.65</v>
      </c>
      <c r="F73" s="14" t="inlineStr">
        <is>
          <t>07-20 @ 15.25</t>
        </is>
      </c>
      <c r="G73" s="14" t="inlineStr">
        <is>
          <t>07-30 @ 14.76</t>
        </is>
      </c>
      <c r="H73" s="14" t="inlineStr">
        <is>
          <t>08-31 @ 18.17</t>
        </is>
      </c>
      <c r="I73" s="14" t="inlineStr">
        <is>
          <t>09-14 @ 19.15</t>
        </is>
      </c>
      <c r="J73" s="14" t="inlineStr">
        <is>
          <t>09-23 @ 20.51</t>
        </is>
      </c>
      <c r="K73" s="14" t="inlineStr"/>
      <c r="L73" s="14" t="inlineStr">
        <is>
          <t>09-02 @ 19.58</t>
        </is>
      </c>
      <c r="M73" s="14" t="inlineStr">
        <is>
          <t>09-09 @ 20.09</t>
        </is>
      </c>
      <c r="N73" s="14" t="inlineStr">
        <is>
          <t>09-18 @ 21.32</t>
        </is>
      </c>
      <c r="O73" s="14" t="inlineStr">
        <is>
          <t>09-25 @ 21.77</t>
        </is>
      </c>
    </row>
    <row r="74">
      <c r="A74" s="5" t="n">
        <v>3</v>
      </c>
      <c r="B74" s="5" t="n">
        <v>12</v>
      </c>
      <c r="C74" s="6" t="inlineStr">
        <is>
          <t>PLTR</t>
        </is>
      </c>
      <c r="D74" s="5" t="inlineStr">
        <is>
          <t>Palantir Technologies Inc.</t>
        </is>
      </c>
      <c r="E74" s="8" t="n">
        <v>188.75</v>
      </c>
      <c r="F74" s="14" t="inlineStr">
        <is>
          <t>07-28 @ 117.89</t>
        </is>
      </c>
      <c r="G74" s="14" t="inlineStr">
        <is>
          <t>08-19 @ 169.77</t>
        </is>
      </c>
      <c r="H74" s="14" t="inlineStr">
        <is>
          <t>08-26 @ 168.90</t>
        </is>
      </c>
      <c r="I74" s="14" t="inlineStr">
        <is>
          <t>09-02 @ 165.71</t>
        </is>
      </c>
      <c r="J74" s="14" t="inlineStr">
        <is>
          <t>09-10 @ 164.55</t>
        </is>
      </c>
      <c r="K74" s="14" t="inlineStr">
        <is>
          <t>09-29 @ 184.81</t>
        </is>
      </c>
      <c r="L74" s="14" t="inlineStr">
        <is>
          <t>08-28 @ 188.37</t>
        </is>
      </c>
      <c r="M74" s="14" t="inlineStr">
        <is>
          <t>09-24 @ 194.68</t>
        </is>
      </c>
      <c r="N74" s="14" t="inlineStr"/>
      <c r="O74" s="14" t="inlineStr"/>
    </row>
    <row r="75">
      <c r="A75" s="5" t="n">
        <v>3</v>
      </c>
      <c r="B75" s="5" t="n">
        <v>13</v>
      </c>
      <c r="C75" s="6" t="inlineStr">
        <is>
          <t>ACVA</t>
        </is>
      </c>
      <c r="D75" s="5" t="inlineStr">
        <is>
          <t>ACV Auctions Inc.</t>
        </is>
      </c>
      <c r="E75" s="8" t="n">
        <v>10.45</v>
      </c>
      <c r="F75" s="14" t="inlineStr">
        <is>
          <t>07-13 @ 6.62</t>
        </is>
      </c>
      <c r="G75" s="14" t="inlineStr">
        <is>
          <t>07-31 @ 7.35</t>
        </is>
      </c>
      <c r="H75" s="14" t="inlineStr">
        <is>
          <t>08-11 @ 6.67</t>
        </is>
      </c>
      <c r="I75" s="14" t="inlineStr">
        <is>
          <t>09-04 @ 6.60</t>
        </is>
      </c>
      <c r="J75" s="14" t="inlineStr">
        <is>
          <t>09-23 @ 10.41</t>
        </is>
      </c>
      <c r="K75" s="14" t="inlineStr">
        <is>
          <t>09-29 @ 10.43</t>
        </is>
      </c>
      <c r="L75" s="14" t="inlineStr">
        <is>
          <t>09-11 @ 10.46</t>
        </is>
      </c>
      <c r="M75" s="14" t="inlineStr">
        <is>
          <t>09-17 @ 10.50</t>
        </is>
      </c>
      <c r="N75" s="14" t="inlineStr"/>
      <c r="O75" s="14" t="inlineStr"/>
    </row>
    <row r="76">
      <c r="A76" s="5" t="n">
        <v>3</v>
      </c>
      <c r="B76" s="5" t="n">
        <v>14</v>
      </c>
      <c r="C76" s="6" t="inlineStr">
        <is>
          <t>MNTK</t>
        </is>
      </c>
      <c r="D76" s="5" t="inlineStr">
        <is>
          <t>Montauk Renewables Inc.</t>
        </is>
      </c>
      <c r="E76" s="8" t="n">
        <v>2.87</v>
      </c>
      <c r="F76" s="14" t="inlineStr">
        <is>
          <t>07-28 @ 1.64</t>
        </is>
      </c>
      <c r="G76" s="14" t="inlineStr">
        <is>
          <t>08-06 @ 1.64</t>
        </is>
      </c>
      <c r="H76" s="14" t="inlineStr">
        <is>
          <t>08-18 @ 1.80</t>
        </is>
      </c>
      <c r="I76" s="14" t="inlineStr">
        <is>
          <t>08-25 @ 1.74</t>
        </is>
      </c>
      <c r="J76" s="14" t="inlineStr">
        <is>
          <t>08-31 @ 1.72</t>
        </is>
      </c>
      <c r="K76" s="14" t="inlineStr">
        <is>
          <t>09-18 @ 2.16</t>
        </is>
      </c>
      <c r="L76" s="14" t="inlineStr">
        <is>
          <t>09-11 @ 2.73</t>
        </is>
      </c>
      <c r="M76" s="14" t="inlineStr">
        <is>
          <t>09-29 @ 3.05</t>
        </is>
      </c>
      <c r="N76" s="14" t="inlineStr"/>
      <c r="O76" s="14" t="inlineStr"/>
    </row>
    <row r="77">
      <c r="A77" s="5" t="n">
        <v>3</v>
      </c>
      <c r="B77" s="5" t="n">
        <v>15</v>
      </c>
      <c r="C77" s="6" t="inlineStr">
        <is>
          <t>OBIO</t>
        </is>
      </c>
      <c r="D77" s="5" t="inlineStr">
        <is>
          <t>Orchestra BioMed Holdings Inc.</t>
        </is>
      </c>
      <c r="E77" s="8" t="n">
        <v>5.95</v>
      </c>
      <c r="F77" s="14" t="inlineStr">
        <is>
          <t>07-23 @ 3.56</t>
        </is>
      </c>
      <c r="G77" s="14" t="inlineStr">
        <is>
          <t>09-03 @ 4.71</t>
        </is>
      </c>
      <c r="H77" s="14" t="inlineStr">
        <is>
          <t>09-18 @ 5.71</t>
        </is>
      </c>
      <c r="I77" s="14" t="inlineStr">
        <is>
          <t>09-24 @ 5.75</t>
        </is>
      </c>
      <c r="J77" s="14" t="inlineStr"/>
      <c r="K77" s="14" t="inlineStr"/>
      <c r="L77" s="14" t="inlineStr">
        <is>
          <t>09-22 @ 6.48</t>
        </is>
      </c>
      <c r="M77" s="14" t="inlineStr"/>
      <c r="N77" s="14" t="inlineStr"/>
      <c r="O77" s="14" t="inlineStr"/>
    </row>
    <row r="78">
      <c r="A78" s="5" t="n">
        <v>3</v>
      </c>
      <c r="B78" s="5" t="n">
        <v>16</v>
      </c>
      <c r="C78" s="6" t="inlineStr">
        <is>
          <t>PSIX</t>
        </is>
      </c>
      <c r="D78" s="5" t="inlineStr">
        <is>
          <t>Power Solutions International Inc.</t>
        </is>
      </c>
      <c r="E78" s="8" t="n">
        <v>44.85</v>
      </c>
      <c r="F78" s="14" t="inlineStr">
        <is>
          <t>07-20 @ 29.31</t>
        </is>
      </c>
      <c r="G78" s="14" t="inlineStr">
        <is>
          <t>07-29 @ 25.28</t>
        </is>
      </c>
      <c r="H78" s="14" t="inlineStr">
        <is>
          <t>08-24 @ 34.84</t>
        </is>
      </c>
      <c r="I78" s="14" t="inlineStr">
        <is>
          <t>09-01 @ 34.67</t>
        </is>
      </c>
      <c r="J78" s="14" t="inlineStr">
        <is>
          <t>09-15 @ 39.00</t>
        </is>
      </c>
      <c r="K78" s="14" t="inlineStr">
        <is>
          <t>09-24 @ 44.61</t>
        </is>
      </c>
      <c r="L78" s="14" t="inlineStr">
        <is>
          <t>09-09 @ 43.92</t>
        </is>
      </c>
      <c r="M78" s="14" t="inlineStr">
        <is>
          <t>09-25 @ 48.32</t>
        </is>
      </c>
      <c r="N78" s="14" t="inlineStr"/>
      <c r="O78" s="14" t="inlineStr"/>
    </row>
    <row r="79">
      <c r="A79" s="5" t="n">
        <v>3</v>
      </c>
      <c r="B79" s="5" t="n">
        <v>17</v>
      </c>
      <c r="C79" s="6" t="inlineStr">
        <is>
          <t>DT</t>
        </is>
      </c>
      <c r="D79" s="5" t="inlineStr">
        <is>
          <t>Dynatrace Inc.</t>
        </is>
      </c>
      <c r="E79" s="8" t="n">
        <v>59.32</v>
      </c>
      <c r="F79" s="14" t="inlineStr">
        <is>
          <t>07-09 @ 42.34</t>
        </is>
      </c>
      <c r="G79" s="14" t="inlineStr">
        <is>
          <t>07-23 @ 40.40</t>
        </is>
      </c>
      <c r="H79" s="14" t="inlineStr">
        <is>
          <t>08-17 @ 46.79</t>
        </is>
      </c>
      <c r="I79" s="14" t="inlineStr">
        <is>
          <t>09-09 @ 49.56</t>
        </is>
      </c>
      <c r="J79" s="14" t="inlineStr">
        <is>
          <t>09-28 @ 55.64</t>
        </is>
      </c>
      <c r="K79" s="14" t="inlineStr"/>
      <c r="L79" s="14" t="inlineStr">
        <is>
          <t>08-31 @ 54.84</t>
        </is>
      </c>
      <c r="M79" s="14" t="inlineStr">
        <is>
          <t>09-24 @ 59.41</t>
        </is>
      </c>
      <c r="N79" s="14" t="inlineStr"/>
      <c r="O79" s="14" t="inlineStr"/>
    </row>
    <row r="80">
      <c r="A80" s="5" t="n">
        <v>3</v>
      </c>
      <c r="B80" s="5" t="n">
        <v>18</v>
      </c>
      <c r="C80" s="6" t="inlineStr">
        <is>
          <t>VRNS</t>
        </is>
      </c>
      <c r="D80" s="5" t="inlineStr">
        <is>
          <t>Varonis Systems Inc.</t>
        </is>
      </c>
      <c r="E80" s="8" t="n">
        <v>47.57</v>
      </c>
      <c r="F80" s="14" t="inlineStr">
        <is>
          <t>07-31 @ 38.96</t>
        </is>
      </c>
      <c r="G80" s="14" t="inlineStr">
        <is>
          <t>08-12 @ 41.22</t>
        </is>
      </c>
      <c r="H80" s="14" t="inlineStr">
        <is>
          <t>08-21 @ 39.88</t>
        </is>
      </c>
      <c r="I80" s="14" t="inlineStr">
        <is>
          <t>09-02 @ 40.89</t>
        </is>
      </c>
      <c r="J80" s="14" t="inlineStr">
        <is>
          <t>09-11 @ 44.17</t>
        </is>
      </c>
      <c r="K80" s="14" t="inlineStr">
        <is>
          <t>09-28 @ 44.62</t>
        </is>
      </c>
      <c r="L80" s="14" t="inlineStr">
        <is>
          <t>09-02 @ 48.21</t>
        </is>
      </c>
      <c r="M80" s="14" t="inlineStr">
        <is>
          <t>09-21 @ 48.79</t>
        </is>
      </c>
      <c r="N80" s="14" t="inlineStr"/>
      <c r="O80" s="14" t="inlineStr"/>
    </row>
    <row r="81">
      <c r="A81" s="5" t="n">
        <v>3</v>
      </c>
      <c r="B81" s="5" t="n">
        <v>19</v>
      </c>
      <c r="C81" s="6" t="inlineStr">
        <is>
          <t>AGPU</t>
        </is>
      </c>
      <c r="D81" s="5" t="inlineStr">
        <is>
          <t>Axe Compute Inc.</t>
        </is>
      </c>
      <c r="E81" s="8" t="n">
        <v>12.08</v>
      </c>
      <c r="F81" s="14" t="inlineStr">
        <is>
          <t>07-22 @ 6.61</t>
        </is>
      </c>
      <c r="G81" s="14" t="inlineStr">
        <is>
          <t>08-11 @ 7.73</t>
        </is>
      </c>
      <c r="H81" s="14" t="inlineStr">
        <is>
          <t>08-17 @ 7.39</t>
        </is>
      </c>
      <c r="I81" s="14" t="inlineStr">
        <is>
          <t>09-02 @ 9.07</t>
        </is>
      </c>
      <c r="J81" s="14" t="inlineStr">
        <is>
          <t>09-16 @ 10.60</t>
        </is>
      </c>
      <c r="K81" s="14" t="inlineStr">
        <is>
          <t>09-24 @ 11.03</t>
        </is>
      </c>
      <c r="L81" s="14" t="inlineStr">
        <is>
          <t>09-08 @ 12.00</t>
        </is>
      </c>
      <c r="M81" s="14" t="inlineStr">
        <is>
          <t>09-17 @ 13.48</t>
        </is>
      </c>
      <c r="N81" s="14" t="inlineStr">
        <is>
          <t>09-29 @ 13.49</t>
        </is>
      </c>
      <c r="O81" s="14" t="inlineStr"/>
    </row>
    <row r="82">
      <c r="A82" s="5" t="n">
        <v>3</v>
      </c>
      <c r="B82" s="5" t="n">
        <v>20</v>
      </c>
      <c r="C82" s="6" t="inlineStr">
        <is>
          <t>BE</t>
        </is>
      </c>
      <c r="D82" s="5" t="inlineStr">
        <is>
          <t>Bloom Energy Corporation</t>
        </is>
      </c>
      <c r="E82" s="8" t="n">
        <v>289.15</v>
      </c>
      <c r="F82" s="14" t="inlineStr">
        <is>
          <t>07-29 @ 157.33</t>
        </is>
      </c>
      <c r="G82" s="14" t="inlineStr">
        <is>
          <t>08-10 @ 210.02</t>
        </is>
      </c>
      <c r="H82" s="14" t="inlineStr">
        <is>
          <t>08-24 @ 185.93</t>
        </is>
      </c>
      <c r="I82" s="14" t="inlineStr">
        <is>
          <t>09-01 @ 197.50</t>
        </is>
      </c>
      <c r="J82" s="14" t="inlineStr">
        <is>
          <t>09-14 @ 249.05</t>
        </is>
      </c>
      <c r="K82" s="14" t="inlineStr">
        <is>
          <t>09-24 @ 251.30</t>
        </is>
      </c>
      <c r="L82" s="14" t="inlineStr">
        <is>
          <t>09-08 @ 283.83</t>
        </is>
      </c>
      <c r="M82" s="14" t="inlineStr">
        <is>
          <t>09-17 @ 288.00</t>
        </is>
      </c>
      <c r="N82" s="14" t="inlineStr">
        <is>
          <t>09-29 @ 302.35</t>
        </is>
      </c>
      <c r="O82" s="14" t="inlineStr"/>
    </row>
    <row r="83">
      <c r="A83" s="5" t="n">
        <v>3</v>
      </c>
      <c r="B83" s="5" t="n">
        <v>21</v>
      </c>
      <c r="C83" s="6" t="inlineStr">
        <is>
          <t>CRSR</t>
        </is>
      </c>
      <c r="D83" s="5" t="inlineStr">
        <is>
          <t>Corsair Gaming Inc.</t>
        </is>
      </c>
      <c r="E83" s="8" t="n">
        <v>13.79</v>
      </c>
      <c r="F83" s="14" t="inlineStr">
        <is>
          <t>07-17 @ 9.02</t>
        </is>
      </c>
      <c r="G83" s="14" t="inlineStr">
        <is>
          <t>08-06 @ 10.45</t>
        </is>
      </c>
      <c r="H83" s="14" t="inlineStr">
        <is>
          <t>08-24 @ 10.73</t>
        </is>
      </c>
      <c r="I83" s="14" t="inlineStr">
        <is>
          <t>09-01 @ 11.55</t>
        </is>
      </c>
      <c r="J83" s="14" t="inlineStr">
        <is>
          <t>09-10 @ 12.05</t>
        </is>
      </c>
      <c r="K83" s="14" t="inlineStr">
        <is>
          <t>09-24 @ 13.06</t>
        </is>
      </c>
      <c r="L83" s="14" t="inlineStr">
        <is>
          <t>09-04 @ 12.95</t>
        </is>
      </c>
      <c r="M83" s="14" t="inlineStr">
        <is>
          <t>09-15 @ 13.78</t>
        </is>
      </c>
      <c r="N83" s="14" t="inlineStr">
        <is>
          <t>09-21 @ 13.84</t>
        </is>
      </c>
      <c r="O83" s="14" t="inlineStr">
        <is>
          <t>09-25 @ 13.96</t>
        </is>
      </c>
    </row>
    <row r="84">
      <c r="A84" s="5" t="n">
        <v>3</v>
      </c>
      <c r="B84" s="5" t="n">
        <v>22</v>
      </c>
      <c r="C84" s="6" t="inlineStr">
        <is>
          <t>SENS</t>
        </is>
      </c>
      <c r="D84" s="5" t="inlineStr">
        <is>
          <t>Senseonics Holdings Inc.</t>
        </is>
      </c>
      <c r="E84" s="8" t="n">
        <v>9.880000000000001</v>
      </c>
      <c r="F84" s="14" t="inlineStr">
        <is>
          <t>07-15 @ 4.95</t>
        </is>
      </c>
      <c r="G84" s="14" t="inlineStr">
        <is>
          <t>07-23 @ 4.79</t>
        </is>
      </c>
      <c r="H84" s="14" t="inlineStr">
        <is>
          <t>08-17 @ 7.55</t>
        </is>
      </c>
      <c r="I84" s="14" t="inlineStr">
        <is>
          <t>08-26 @ 8.97</t>
        </is>
      </c>
      <c r="J84" s="14" t="inlineStr">
        <is>
          <t>09-10 @ 8.45</t>
        </is>
      </c>
      <c r="K84" s="14" t="inlineStr">
        <is>
          <t>09-29 @ 9.77</t>
        </is>
      </c>
      <c r="L84" s="14" t="inlineStr">
        <is>
          <t>09-02 @ 10.15</t>
        </is>
      </c>
      <c r="M84" s="14" t="inlineStr">
        <is>
          <t>09-24 @ 10.48</t>
        </is>
      </c>
      <c r="N84" s="14" t="inlineStr"/>
      <c r="O84" s="14" t="inlineStr"/>
    </row>
    <row r="85">
      <c r="A85" s="5" t="n">
        <v>3</v>
      </c>
      <c r="B85" s="5" t="n">
        <v>23</v>
      </c>
      <c r="C85" s="6" t="inlineStr">
        <is>
          <t>SNDK</t>
        </is>
      </c>
      <c r="D85" s="5" t="inlineStr">
        <is>
          <t>Sandisk Corporation</t>
        </is>
      </c>
      <c r="E85" s="8" t="n">
        <v>1719.99</v>
      </c>
      <c r="F85" s="14" t="inlineStr">
        <is>
          <t>07-17 @ 1325.03</t>
        </is>
      </c>
      <c r="G85" s="14" t="inlineStr">
        <is>
          <t>07-29 @ 998.19</t>
        </is>
      </c>
      <c r="H85" s="14" t="inlineStr">
        <is>
          <t>08-24 @ 1416.56</t>
        </is>
      </c>
      <c r="I85" s="14" t="inlineStr">
        <is>
          <t>08-28 @ 1435.61</t>
        </is>
      </c>
      <c r="J85" s="14" t="inlineStr">
        <is>
          <t>09-16 @ 1504.20</t>
        </is>
      </c>
      <c r="K85" s="14" t="inlineStr">
        <is>
          <t>09-28 @ 1659.02</t>
        </is>
      </c>
      <c r="L85" s="14" t="inlineStr">
        <is>
          <t>09-08 @ 1807.38</t>
        </is>
      </c>
      <c r="M85" s="14" t="inlineStr">
        <is>
          <t>09-22 @ 1909.48</t>
        </is>
      </c>
      <c r="N85" s="14" t="inlineStr"/>
      <c r="O85" s="14" t="inlineStr"/>
    </row>
    <row r="86">
      <c r="A86" s="5" t="n">
        <v>3</v>
      </c>
      <c r="B86" s="5" t="n">
        <v>24</v>
      </c>
      <c r="C86" s="6" t="inlineStr">
        <is>
          <t>CVLT</t>
        </is>
      </c>
      <c r="D86" s="5" t="inlineStr">
        <is>
          <t>Commvault Systems Inc.</t>
        </is>
      </c>
      <c r="E86" s="8" t="n">
        <v>150.28</v>
      </c>
      <c r="F86" s="14" t="inlineStr">
        <is>
          <t>07-15 @ 144.56</t>
        </is>
      </c>
      <c r="G86" s="14" t="inlineStr">
        <is>
          <t>07-31 @ 113.53</t>
        </is>
      </c>
      <c r="H86" s="14" t="inlineStr">
        <is>
          <t>08-26 @ 128.57</t>
        </is>
      </c>
      <c r="I86" s="14" t="inlineStr">
        <is>
          <t>09-02 @ 125.90</t>
        </is>
      </c>
      <c r="J86" s="14" t="inlineStr">
        <is>
          <t>09-11 @ 129.50</t>
        </is>
      </c>
      <c r="K86" s="14" t="inlineStr">
        <is>
          <t>09-28 @ 141.10</t>
        </is>
      </c>
      <c r="L86" s="14" t="inlineStr">
        <is>
          <t>09-24 @ 151.62</t>
        </is>
      </c>
      <c r="M86" s="14" t="inlineStr"/>
      <c r="N86" s="14" t="inlineStr"/>
      <c r="O86" s="14" t="inlineStr"/>
    </row>
    <row r="87">
      <c r="A87" s="5" t="n">
        <v>3</v>
      </c>
      <c r="B87" s="5" t="n">
        <v>25</v>
      </c>
      <c r="C87" s="6" t="inlineStr">
        <is>
          <t>DHX</t>
        </is>
      </c>
      <c r="D87" s="5" t="inlineStr">
        <is>
          <t>DHI Group Inc.</t>
        </is>
      </c>
      <c r="E87" s="8" t="n">
        <v>4.81</v>
      </c>
      <c r="F87" s="14" t="inlineStr">
        <is>
          <t>07-15 @ 3.76</t>
        </is>
      </c>
      <c r="G87" s="14" t="inlineStr">
        <is>
          <t>07-23 @ 3.74</t>
        </is>
      </c>
      <c r="H87" s="14" t="inlineStr">
        <is>
          <t>08-06 @ 3.41</t>
        </is>
      </c>
      <c r="I87" s="14" t="inlineStr">
        <is>
          <t>08-31 @ 3.91</t>
        </is>
      </c>
      <c r="J87" s="14" t="inlineStr">
        <is>
          <t>09-08 @ 4.06</t>
        </is>
      </c>
      <c r="K87" s="14" t="inlineStr">
        <is>
          <t>09-28 @ 4.54</t>
        </is>
      </c>
      <c r="L87" s="14" t="inlineStr">
        <is>
          <t>09-03 @ 4.79</t>
        </is>
      </c>
      <c r="M87" s="14" t="inlineStr">
        <is>
          <t>09-16 @ 5.19</t>
        </is>
      </c>
      <c r="N87" s="14" t="inlineStr">
        <is>
          <t>09-29 @ 5.00</t>
        </is>
      </c>
      <c r="O87" s="14" t="inlineStr"/>
    </row>
    <row r="88">
      <c r="A88" s="5" t="n">
        <v>3</v>
      </c>
      <c r="B88" s="5" t="n">
        <v>26</v>
      </c>
      <c r="C88" s="6" t="inlineStr">
        <is>
          <t>LUV</t>
        </is>
      </c>
      <c r="D88" s="5" t="inlineStr">
        <is>
          <t>Southwest Airlines Company</t>
        </is>
      </c>
      <c r="E88" s="8" t="n">
        <v>42.47</v>
      </c>
      <c r="F88" s="14" t="inlineStr">
        <is>
          <t>07-30 @ 44.19</t>
        </is>
      </c>
      <c r="G88" s="14" t="inlineStr">
        <is>
          <t>08-20 @ 39.84</t>
        </is>
      </c>
      <c r="H88" s="14" t="inlineStr">
        <is>
          <t>09-01 @ 37.58</t>
        </is>
      </c>
      <c r="I88" s="14" t="inlineStr">
        <is>
          <t>09-09 @ 37.75</t>
        </is>
      </c>
      <c r="J88" s="14" t="inlineStr">
        <is>
          <t>09-16 @ 38.16</t>
        </is>
      </c>
      <c r="K88" s="14" t="inlineStr">
        <is>
          <t>09-24 @ 40.45</t>
        </is>
      </c>
      <c r="L88" s="14" t="inlineStr">
        <is>
          <t>09-04 @ 39.76</t>
        </is>
      </c>
      <c r="M88" s="14" t="inlineStr">
        <is>
          <t>09-22 @ 43.20</t>
        </is>
      </c>
      <c r="N88" s="14" t="inlineStr">
        <is>
          <t>09-29 @ 43.17</t>
        </is>
      </c>
      <c r="O88" s="14" t="inlineStr"/>
    </row>
    <row r="89">
      <c r="A89" s="5" t="n">
        <v>3</v>
      </c>
      <c r="B89" s="5" t="n">
        <v>27</v>
      </c>
      <c r="C89" s="6" t="inlineStr">
        <is>
          <t>LQDT</t>
        </is>
      </c>
      <c r="D89" s="5" t="inlineStr">
        <is>
          <t>Liquidity Services Inc.</t>
        </is>
      </c>
      <c r="E89" s="8" t="n">
        <v>43.23</v>
      </c>
      <c r="F89" s="14" t="inlineStr">
        <is>
          <t>07-24 @ 37.33</t>
        </is>
      </c>
      <c r="G89" s="14" t="inlineStr">
        <is>
          <t>08-05 @ 37.24</t>
        </is>
      </c>
      <c r="H89" s="14" t="inlineStr">
        <is>
          <t>09-01 @ 38.49</t>
        </is>
      </c>
      <c r="I89" s="14" t="inlineStr">
        <is>
          <t>09-18 @ 42.10</t>
        </is>
      </c>
      <c r="J89" s="14" t="inlineStr"/>
      <c r="K89" s="14" t="inlineStr"/>
      <c r="L89" s="14" t="inlineStr">
        <is>
          <t>09-04 @ 42.30</t>
        </is>
      </c>
      <c r="M89" s="14" t="inlineStr">
        <is>
          <t>09-16 @ 43.79</t>
        </is>
      </c>
      <c r="N89" s="14" t="inlineStr">
        <is>
          <t>09-25 @ 43.98</t>
        </is>
      </c>
      <c r="O89" s="14" t="inlineStr"/>
    </row>
    <row r="90">
      <c r="A90" s="5" t="n">
        <v>3</v>
      </c>
      <c r="B90" s="5" t="n">
        <v>28</v>
      </c>
      <c r="C90" s="6" t="inlineStr">
        <is>
          <t>CHPT</t>
        </is>
      </c>
      <c r="D90" s="5" t="inlineStr">
        <is>
          <t>ChargePoint Holdings Inc.</t>
        </is>
      </c>
      <c r="E90" s="8" t="n">
        <v>9.289999999999999</v>
      </c>
      <c r="F90" s="14" t="inlineStr">
        <is>
          <t>07-24 @ 5.08</t>
        </is>
      </c>
      <c r="G90" s="14" t="inlineStr">
        <is>
          <t>08-18 @ 5.50</t>
        </is>
      </c>
      <c r="H90" s="14" t="inlineStr">
        <is>
          <t>09-02 @ 5.19</t>
        </is>
      </c>
      <c r="I90" s="14" t="inlineStr">
        <is>
          <t>09-10 @ 8.56</t>
        </is>
      </c>
      <c r="J90" s="14" t="inlineStr">
        <is>
          <t>09-28 @ 8.65</t>
        </is>
      </c>
      <c r="K90" s="14" t="inlineStr"/>
      <c r="L90" s="14" t="inlineStr">
        <is>
          <t>09-08 @ 10.43</t>
        </is>
      </c>
      <c r="M90" s="14" t="inlineStr">
        <is>
          <t>09-18 @ 10.72</t>
        </is>
      </c>
      <c r="N90" s="14" t="inlineStr"/>
      <c r="O90" s="14" t="inlineStr"/>
    </row>
    <row r="91">
      <c r="A91" s="5" t="n">
        <v>3</v>
      </c>
      <c r="B91" s="5" t="n">
        <v>29</v>
      </c>
      <c r="C91" s="6" t="inlineStr">
        <is>
          <t>MTW</t>
        </is>
      </c>
      <c r="D91" s="5" t="inlineStr">
        <is>
          <t>Manitowoc Company Inc. (The)</t>
        </is>
      </c>
      <c r="E91" s="8" t="n">
        <v>23.22</v>
      </c>
      <c r="F91" s="14" t="inlineStr">
        <is>
          <t>07-31 @ 13.33</t>
        </is>
      </c>
      <c r="G91" s="14" t="inlineStr">
        <is>
          <t>08-20 @ 18.57</t>
        </is>
      </c>
      <c r="H91" s="14" t="inlineStr">
        <is>
          <t>09-01 @ 18.73</t>
        </is>
      </c>
      <c r="I91" s="14" t="inlineStr">
        <is>
          <t>09-14 @ 19.63</t>
        </is>
      </c>
      <c r="J91" s="14" t="inlineStr">
        <is>
          <t>09-24 @ 21.19</t>
        </is>
      </c>
      <c r="K91" s="14" t="inlineStr"/>
      <c r="L91" s="14" t="inlineStr">
        <is>
          <t>09-04 @ 21.50</t>
        </is>
      </c>
      <c r="M91" s="14" t="inlineStr">
        <is>
          <t>09-22 @ 23.17</t>
        </is>
      </c>
      <c r="N91" s="14" t="inlineStr"/>
      <c r="O91" s="14" t="inlineStr"/>
    </row>
    <row r="92">
      <c r="A92" s="5" t="n">
        <v>3</v>
      </c>
      <c r="B92" s="5" t="n">
        <v>30</v>
      </c>
      <c r="C92" s="6" t="inlineStr">
        <is>
          <t>DELL</t>
        </is>
      </c>
      <c r="D92" s="5" t="inlineStr">
        <is>
          <t>Dell Technologies Inc. Class C</t>
        </is>
      </c>
      <c r="E92" s="8" t="n">
        <v>562.52</v>
      </c>
      <c r="F92" s="14" t="inlineStr">
        <is>
          <t>07-28 @ 358.88</t>
        </is>
      </c>
      <c r="G92" s="14" t="inlineStr">
        <is>
          <t>08-07 @ 416.30</t>
        </is>
      </c>
      <c r="H92" s="14" t="inlineStr">
        <is>
          <t>08-24 @ 424.00</t>
        </is>
      </c>
      <c r="I92" s="14" t="inlineStr">
        <is>
          <t>09-01 @ 421.89</t>
        </is>
      </c>
      <c r="J92" s="14" t="inlineStr">
        <is>
          <t>09-10 @ 506.25</t>
        </is>
      </c>
      <c r="K92" s="14" t="inlineStr">
        <is>
          <t>09-24 @ 530.45</t>
        </is>
      </c>
      <c r="L92" s="14" t="inlineStr">
        <is>
          <t>09-18 @ 595.51</t>
        </is>
      </c>
      <c r="M92" s="14" t="inlineStr"/>
      <c r="N92" s="14" t="inlineStr"/>
      <c r="O92" s="14" t="inlineStr"/>
    </row>
    <row r="93">
      <c r="A93" s="5" t="n">
        <v>3</v>
      </c>
      <c r="B93" s="5" t="n">
        <v>31</v>
      </c>
      <c r="C93" s="6" t="inlineStr">
        <is>
          <t>EXEL</t>
        </is>
      </c>
      <c r="D93" s="5" t="inlineStr">
        <is>
          <t>Exelixis Inc.</t>
        </is>
      </c>
      <c r="E93" s="8" t="n">
        <v>58.39</v>
      </c>
      <c r="F93" s="14" t="inlineStr">
        <is>
          <t>07-15 @ 54.39</t>
        </is>
      </c>
      <c r="G93" s="14" t="inlineStr">
        <is>
          <t>07-23 @ 54.20</t>
        </is>
      </c>
      <c r="H93" s="14" t="inlineStr">
        <is>
          <t>08-13 @ 49.97</t>
        </is>
      </c>
      <c r="I93" s="14" t="inlineStr">
        <is>
          <t>08-31 @ 53.43</t>
        </is>
      </c>
      <c r="J93" s="14" t="inlineStr">
        <is>
          <t>09-11 @ 54.55</t>
        </is>
      </c>
      <c r="K93" s="14" t="inlineStr">
        <is>
          <t>09-23 @ 56.26</t>
        </is>
      </c>
      <c r="L93" s="14" t="inlineStr">
        <is>
          <t>09-03 @ 59.72</t>
        </is>
      </c>
      <c r="M93" s="14" t="inlineStr">
        <is>
          <t>09-18 @ 59.15</t>
        </is>
      </c>
      <c r="N93" s="14" t="inlineStr"/>
      <c r="O93" s="14" t="inlineStr"/>
    </row>
    <row r="94">
      <c r="A94" s="5" t="n">
        <v>3</v>
      </c>
      <c r="B94" s="5" t="n">
        <v>32</v>
      </c>
      <c r="C94" s="6" t="inlineStr">
        <is>
          <t>OSPN</t>
        </is>
      </c>
      <c r="D94" s="5" t="inlineStr">
        <is>
          <t>OneSpan Inc.</t>
        </is>
      </c>
      <c r="E94" s="8" t="n">
        <v>18.12</v>
      </c>
      <c r="F94" s="14" t="inlineStr">
        <is>
          <t>07-23 @ 14.66</t>
        </is>
      </c>
      <c r="G94" s="14" t="inlineStr">
        <is>
          <t>07-31 @ 15.03</t>
        </is>
      </c>
      <c r="H94" s="14" t="inlineStr">
        <is>
          <t>08-06 @ 15.53</t>
        </is>
      </c>
      <c r="I94" s="14" t="inlineStr">
        <is>
          <t>08-26 @ 15.06</t>
        </is>
      </c>
      <c r="J94" s="14" t="inlineStr">
        <is>
          <t>09-10 @ 15.97</t>
        </is>
      </c>
      <c r="K94" s="14" t="inlineStr">
        <is>
          <t>09-22 @ 17.05</t>
        </is>
      </c>
      <c r="L94" s="14" t="inlineStr">
        <is>
          <t>08-28 @ 16.74</t>
        </is>
      </c>
      <c r="M94" s="14" t="inlineStr">
        <is>
          <t>09-03 @ 16.77</t>
        </is>
      </c>
      <c r="N94" s="14" t="inlineStr">
        <is>
          <t>09-15 @ 18.08</t>
        </is>
      </c>
      <c r="O94" s="14" t="inlineStr">
        <is>
          <t>09-24 @ 18.05</t>
        </is>
      </c>
    </row>
    <row r="95">
      <c r="A95" s="5" t="n">
        <v>3</v>
      </c>
      <c r="B95" s="5" t="n">
        <v>33</v>
      </c>
      <c r="C95" s="6" t="inlineStr">
        <is>
          <t>CSTL</t>
        </is>
      </c>
      <c r="D95" s="5" t="inlineStr">
        <is>
          <t>Castle Biosciences Inc.</t>
        </is>
      </c>
      <c r="E95" s="8" t="n">
        <v>35.56</v>
      </c>
      <c r="F95" s="14" t="inlineStr">
        <is>
          <t>07-21 @ 23.25</t>
        </is>
      </c>
      <c r="G95" s="14" t="inlineStr">
        <is>
          <t>07-29 @ 23.73</t>
        </is>
      </c>
      <c r="H95" s="14" t="inlineStr">
        <is>
          <t>08-18 @ 28.72</t>
        </is>
      </c>
      <c r="I95" s="14" t="inlineStr">
        <is>
          <t>08-31 @ 32.36</t>
        </is>
      </c>
      <c r="J95" s="14" t="inlineStr">
        <is>
          <t>09-10 @ 31.44</t>
        </is>
      </c>
      <c r="K95" s="14" t="inlineStr">
        <is>
          <t>09-24 @ 33.90</t>
        </is>
      </c>
      <c r="L95" s="14" t="inlineStr">
        <is>
          <t>09-02 @ 34.73</t>
        </is>
      </c>
      <c r="M95" s="14" t="inlineStr">
        <is>
          <t>09-17 @ 36.85</t>
        </is>
      </c>
      <c r="N95" s="14" t="inlineStr"/>
      <c r="O95" s="14" t="inlineStr"/>
    </row>
    <row r="96">
      <c r="A96" s="5" t="n">
        <v>3</v>
      </c>
      <c r="B96" s="5" t="n">
        <v>34</v>
      </c>
      <c r="C96" s="6" t="inlineStr">
        <is>
          <t>BRKR</t>
        </is>
      </c>
      <c r="D96" s="5" t="inlineStr">
        <is>
          <t>Bruker Corporation</t>
        </is>
      </c>
      <c r="E96" s="8" t="n">
        <v>63.24</v>
      </c>
      <c r="F96" s="14" t="inlineStr">
        <is>
          <t>07-21 @ 54.80</t>
        </is>
      </c>
      <c r="G96" s="14" t="inlineStr">
        <is>
          <t>08-05 @ 48.63</t>
        </is>
      </c>
      <c r="H96" s="14" t="inlineStr">
        <is>
          <t>08-25 @ 56.00</t>
        </is>
      </c>
      <c r="I96" s="14" t="inlineStr">
        <is>
          <t>09-01 @ 55.66</t>
        </is>
      </c>
      <c r="J96" s="14" t="inlineStr">
        <is>
          <t>09-14 @ 51.54</t>
        </is>
      </c>
      <c r="K96" s="14" t="inlineStr">
        <is>
          <t>09-24 @ 59.17</t>
        </is>
      </c>
      <c r="L96" s="14" t="inlineStr">
        <is>
          <t>09-03 @ 60.29</t>
        </is>
      </c>
      <c r="M96" s="14" t="inlineStr">
        <is>
          <t>09-17 @ 64.42</t>
        </is>
      </c>
      <c r="N96" s="14" t="inlineStr"/>
      <c r="O96" s="14" t="inlineStr"/>
    </row>
    <row r="97">
      <c r="A97" s="5" t="n">
        <v>3</v>
      </c>
      <c r="B97" s="5" t="n">
        <v>35</v>
      </c>
      <c r="C97" s="6" t="inlineStr">
        <is>
          <t>HYPD</t>
        </is>
      </c>
      <c r="D97" s="5" t="inlineStr">
        <is>
          <t>Hyperion DeFi Inc.</t>
        </is>
      </c>
      <c r="E97" s="8" t="n">
        <v>3.73</v>
      </c>
      <c r="F97" s="14" t="inlineStr">
        <is>
          <t>07-17 @ 2.60</t>
        </is>
      </c>
      <c r="G97" s="14" t="inlineStr">
        <is>
          <t>07-28 @ 2.34</t>
        </is>
      </c>
      <c r="H97" s="14" t="inlineStr">
        <is>
          <t>08-11 @ 2.56</t>
        </is>
      </c>
      <c r="I97" s="14" t="inlineStr">
        <is>
          <t>08-19 @ 2.67</t>
        </is>
      </c>
      <c r="J97" s="14" t="inlineStr">
        <is>
          <t>09-02 @ 3.03</t>
        </is>
      </c>
      <c r="K97" s="14" t="inlineStr">
        <is>
          <t>09-16 @ 3.18</t>
        </is>
      </c>
      <c r="L97" s="14" t="inlineStr">
        <is>
          <t>09-11 @ 3.88</t>
        </is>
      </c>
      <c r="M97" s="14" t="inlineStr">
        <is>
          <t>09-24 @ 4.17</t>
        </is>
      </c>
      <c r="N97" s="14" t="inlineStr"/>
      <c r="O97" s="14" t="inlineStr"/>
    </row>
    <row r="98">
      <c r="A98" s="5" t="n">
        <v>3</v>
      </c>
      <c r="B98" s="5" t="n">
        <v>36</v>
      </c>
      <c r="C98" s="6" t="inlineStr">
        <is>
          <t>NGVC</t>
        </is>
      </c>
      <c r="D98" s="5" t="inlineStr">
        <is>
          <t>Natural Grocers by Vitamin Cottage Inc.</t>
        </is>
      </c>
      <c r="E98" s="8" t="n">
        <v>30.61</v>
      </c>
      <c r="F98" s="14" t="inlineStr">
        <is>
          <t>07-31 @ 31.31</t>
        </is>
      </c>
      <c r="G98" s="14" t="inlineStr">
        <is>
          <t>08-11 @ 26.02</t>
        </is>
      </c>
      <c r="H98" s="14" t="inlineStr">
        <is>
          <t>08-20 @ 26.79</t>
        </is>
      </c>
      <c r="I98" s="14" t="inlineStr">
        <is>
          <t>08-27 @ 26.89</t>
        </is>
      </c>
      <c r="J98" s="14" t="inlineStr">
        <is>
          <t>09-09 @ 26.50</t>
        </is>
      </c>
      <c r="K98" s="14" t="inlineStr">
        <is>
          <t>09-25 @ 29.48</t>
        </is>
      </c>
      <c r="L98" s="14" t="inlineStr">
        <is>
          <t>08-31 @ 28.57</t>
        </is>
      </c>
      <c r="M98" s="14" t="inlineStr">
        <is>
          <t>09-18 @ 31.61</t>
        </is>
      </c>
      <c r="N98" s="14" t="inlineStr">
        <is>
          <t>09-29 @ 31.35</t>
        </is>
      </c>
      <c r="O98" s="14" t="inlineStr"/>
    </row>
    <row r="99">
      <c r="A99" s="5" t="n">
        <v>3</v>
      </c>
      <c r="B99" s="5" t="n">
        <v>37</v>
      </c>
      <c r="C99" s="6" t="inlineStr">
        <is>
          <t>SMTI</t>
        </is>
      </c>
      <c r="D99" s="5" t="inlineStr">
        <is>
          <t>Sanara MedTech Inc.</t>
        </is>
      </c>
      <c r="E99" s="8" t="n">
        <v>34.85</v>
      </c>
      <c r="F99" s="14" t="inlineStr">
        <is>
          <t>07-14 @ 23.00</t>
        </is>
      </c>
      <c r="G99" s="14" t="inlineStr">
        <is>
          <t>08-10 @ 33.68</t>
        </is>
      </c>
      <c r="H99" s="14" t="inlineStr">
        <is>
          <t>08-18 @ 33.99</t>
        </is>
      </c>
      <c r="I99" s="14" t="inlineStr">
        <is>
          <t>09-04 @ 34.62</t>
        </is>
      </c>
      <c r="J99" s="14" t="inlineStr">
        <is>
          <t>09-15 @ 34.71</t>
        </is>
      </c>
      <c r="K99" s="14" t="inlineStr">
        <is>
          <t>09-25 @ 34.97</t>
        </is>
      </c>
      <c r="L99" s="14" t="inlineStr">
        <is>
          <t>09-11 @ 35.24</t>
        </is>
      </c>
      <c r="M99" s="14" t="inlineStr">
        <is>
          <t>09-22 @ 35.34</t>
        </is>
      </c>
      <c r="N99" s="14" t="inlineStr"/>
      <c r="O99" s="14" t="inlineStr"/>
    </row>
    <row r="100">
      <c r="A100" s="5" t="n">
        <v>3</v>
      </c>
      <c r="B100" s="5" t="n">
        <v>38</v>
      </c>
      <c r="C100" s="6" t="inlineStr">
        <is>
          <t>MAZE</t>
        </is>
      </c>
      <c r="D100" s="5" t="inlineStr">
        <is>
          <t>Maze Therapeutics Inc.</t>
        </is>
      </c>
      <c r="E100" s="8" t="n">
        <v>26.43</v>
      </c>
      <c r="F100" s="14" t="inlineStr">
        <is>
          <t>07-16 @ 26.37</t>
        </is>
      </c>
      <c r="G100" s="14" t="inlineStr">
        <is>
          <t>07-31 @ 25.85</t>
        </is>
      </c>
      <c r="H100" s="14" t="inlineStr">
        <is>
          <t>09-10 @ 23.94</t>
        </is>
      </c>
      <c r="I100" s="14" t="inlineStr">
        <is>
          <t>09-21 @ 21.95</t>
        </is>
      </c>
      <c r="J100" s="14" t="inlineStr">
        <is>
          <t>09-28 @ 24.84</t>
        </is>
      </c>
      <c r="K100" s="14" t="inlineStr"/>
      <c r="L100" s="14" t="inlineStr">
        <is>
          <t>09-23 @ 29.91</t>
        </is>
      </c>
      <c r="M100" s="14" t="inlineStr"/>
      <c r="N100" s="14" t="inlineStr"/>
      <c r="O100" s="14" t="inlineStr"/>
    </row>
    <row r="101">
      <c r="A101" s="5" t="n">
        <v>3</v>
      </c>
      <c r="B101" s="5" t="n">
        <v>39</v>
      </c>
      <c r="C101" s="6" t="inlineStr">
        <is>
          <t>VLGEA</t>
        </is>
      </c>
      <c r="D101" s="5" t="inlineStr">
        <is>
          <t>Village Super Market Inc.</t>
        </is>
      </c>
      <c r="E101" s="8" t="n">
        <v>46</v>
      </c>
      <c r="F101" s="14" t="inlineStr">
        <is>
          <t>07-23 @ 41.29</t>
        </is>
      </c>
      <c r="G101" s="14" t="inlineStr">
        <is>
          <t>08-11 @ 41.00</t>
        </is>
      </c>
      <c r="H101" s="14" t="inlineStr">
        <is>
          <t>08-20 @ 42.35</t>
        </is>
      </c>
      <c r="I101" s="14" t="inlineStr">
        <is>
          <t>09-01 @ 41.68</t>
        </is>
      </c>
      <c r="J101" s="14" t="inlineStr">
        <is>
          <t>09-09 @ 42.04</t>
        </is>
      </c>
      <c r="K101" s="14" t="inlineStr">
        <is>
          <t>09-18 @ 43.38</t>
        </is>
      </c>
      <c r="L101" s="14" t="inlineStr">
        <is>
          <t>08-31 @ 44.87</t>
        </is>
      </c>
      <c r="M101" s="14" t="inlineStr">
        <is>
          <t>09-29 @ 46.80</t>
        </is>
      </c>
      <c r="N101" s="14" t="inlineStr"/>
      <c r="O101" s="14" t="inlineStr"/>
    </row>
    <row r="102">
      <c r="A102" s="5" t="n">
        <v>3</v>
      </c>
      <c r="B102" s="5" t="n">
        <v>40</v>
      </c>
      <c r="C102" s="6" t="inlineStr">
        <is>
          <t>GYRE</t>
        </is>
      </c>
      <c r="D102" s="5" t="inlineStr">
        <is>
          <t>Gyre Therapeutics Inc.</t>
        </is>
      </c>
      <c r="E102" s="8" t="n">
        <v>7.11</v>
      </c>
      <c r="F102" s="14" t="inlineStr">
        <is>
          <t>07-20 @ 5.82</t>
        </is>
      </c>
      <c r="G102" s="14" t="inlineStr">
        <is>
          <t>07-29 @ 5.62</t>
        </is>
      </c>
      <c r="H102" s="14" t="inlineStr">
        <is>
          <t>08-24 @ 6.42</t>
        </is>
      </c>
      <c r="I102" s="14" t="inlineStr">
        <is>
          <t>09-01 @ 6.32</t>
        </is>
      </c>
      <c r="J102" s="14" t="inlineStr">
        <is>
          <t>09-15 @ 6.46</t>
        </is>
      </c>
      <c r="K102" s="14" t="inlineStr">
        <is>
          <t>09-24 @ 6.81</t>
        </is>
      </c>
      <c r="L102" s="14" t="inlineStr">
        <is>
          <t>09-09 @ 7.27</t>
        </is>
      </c>
      <c r="M102" s="14" t="inlineStr">
        <is>
          <t>09-22 @ 7.61</t>
        </is>
      </c>
      <c r="N102" s="14" t="inlineStr">
        <is>
          <t>09-29 @ 7.74</t>
        </is>
      </c>
      <c r="O102" s="14" t="inlineStr"/>
    </row>
    <row r="103">
      <c r="A103" s="5" t="n">
        <v>3</v>
      </c>
      <c r="B103" s="5" t="n">
        <v>41</v>
      </c>
      <c r="C103" s="6" t="inlineStr">
        <is>
          <t>BWIN</t>
        </is>
      </c>
      <c r="D103" s="5" t="inlineStr">
        <is>
          <t>The Baldwin Insurance Group Inc.</t>
        </is>
      </c>
      <c r="E103" s="8" t="n">
        <v>31.77</v>
      </c>
      <c r="F103" s="14" t="inlineStr">
        <is>
          <t>07-09 @ 25.55</t>
        </is>
      </c>
      <c r="G103" s="14" t="inlineStr">
        <is>
          <t>07-15 @ 25.58</t>
        </is>
      </c>
      <c r="H103" s="14" t="inlineStr">
        <is>
          <t>07-23 @ 24.66</t>
        </is>
      </c>
      <c r="I103" s="14" t="inlineStr">
        <is>
          <t>08-27 @ 29.86</t>
        </is>
      </c>
      <c r="J103" s="14" t="inlineStr">
        <is>
          <t>09-09 @ 27.74</t>
        </is>
      </c>
      <c r="K103" s="14" t="inlineStr">
        <is>
          <t>09-24 @ 31.70</t>
        </is>
      </c>
      <c r="L103" s="14" t="inlineStr">
        <is>
          <t>09-03 @ 31.90</t>
        </is>
      </c>
      <c r="M103" s="14" t="inlineStr">
        <is>
          <t>09-15 @ 32.70</t>
        </is>
      </c>
      <c r="N103" s="14" t="inlineStr"/>
      <c r="O103" s="14" t="inlineStr"/>
    </row>
    <row r="104">
      <c r="A104" s="5" t="n">
        <v>3</v>
      </c>
      <c r="B104" s="5" t="n">
        <v>42</v>
      </c>
      <c r="C104" s="6" t="inlineStr">
        <is>
          <t>ULTA</t>
        </is>
      </c>
      <c r="D104" s="5" t="inlineStr">
        <is>
          <t>Ulta Beauty Inc.</t>
        </is>
      </c>
      <c r="E104" s="8" t="n">
        <v>543.6900000000001</v>
      </c>
      <c r="F104" s="14" t="inlineStr">
        <is>
          <t>07-24 @ 471.76</t>
        </is>
      </c>
      <c r="G104" s="14" t="inlineStr">
        <is>
          <t>08-17 @ 493.11</t>
        </is>
      </c>
      <c r="H104" s="14" t="inlineStr">
        <is>
          <t>08-28 @ 503.05</t>
        </is>
      </c>
      <c r="I104" s="14" t="inlineStr">
        <is>
          <t>09-10 @ 530.80</t>
        </is>
      </c>
      <c r="J104" s="14" t="inlineStr">
        <is>
          <t>09-16 @ 529.01</t>
        </is>
      </c>
      <c r="K104" s="14" t="inlineStr">
        <is>
          <t>09-28 @ 534.05</t>
        </is>
      </c>
      <c r="L104" s="14" t="inlineStr">
        <is>
          <t>09-03 @ 568.44</t>
        </is>
      </c>
      <c r="M104" s="14" t="inlineStr">
        <is>
          <t>09-15 @ 555.59</t>
        </is>
      </c>
      <c r="N104" s="14" t="inlineStr">
        <is>
          <t>09-22 @ 566.10</t>
        </is>
      </c>
      <c r="O104" s="14" t="inlineStr">
        <is>
          <t>09-29 @ 557.96</t>
        </is>
      </c>
    </row>
    <row r="105">
      <c r="A105" s="5" t="n">
        <v>3</v>
      </c>
      <c r="B105" s="5" t="n">
        <v>43</v>
      </c>
      <c r="C105" s="6" t="inlineStr">
        <is>
          <t>DJCO</t>
        </is>
      </c>
      <c r="D105" s="5" t="inlineStr">
        <is>
          <t>Daily Journal Corp. (S.C.)</t>
        </is>
      </c>
      <c r="E105" s="8" t="n">
        <v>656.4400000000001</v>
      </c>
      <c r="F105" s="14" t="inlineStr">
        <is>
          <t>07-23 @ 559.29</t>
        </is>
      </c>
      <c r="G105" s="14" t="inlineStr">
        <is>
          <t>08-13 @ 534.89</t>
        </is>
      </c>
      <c r="H105" s="14" t="inlineStr">
        <is>
          <t>09-02 @ 594.83</t>
        </is>
      </c>
      <c r="I105" s="14" t="inlineStr">
        <is>
          <t>09-22 @ 640.05</t>
        </is>
      </c>
      <c r="J105" s="14" t="inlineStr"/>
      <c r="K105" s="14" t="inlineStr"/>
      <c r="L105" s="14" t="inlineStr">
        <is>
          <t>09-16 @ 692.50</t>
        </is>
      </c>
      <c r="M105" s="14" t="inlineStr"/>
      <c r="N105" s="14" t="inlineStr"/>
      <c r="O105" s="14" t="inlineStr"/>
    </row>
    <row r="106">
      <c r="A106" s="5" t="n">
        <v>3</v>
      </c>
      <c r="B106" s="5" t="n">
        <v>44</v>
      </c>
      <c r="C106" s="6" t="inlineStr">
        <is>
          <t>CVI</t>
        </is>
      </c>
      <c r="D106" s="5" t="inlineStr">
        <is>
          <t>CVR Energy Inc.</t>
        </is>
      </c>
      <c r="E106" s="8" t="n">
        <v>54.83</v>
      </c>
      <c r="F106" s="14" t="inlineStr">
        <is>
          <t>07-27 @ 32.61</t>
        </is>
      </c>
      <c r="G106" s="14" t="inlineStr">
        <is>
          <t>08-07 @ 29.80</t>
        </is>
      </c>
      <c r="H106" s="14" t="inlineStr">
        <is>
          <t>09-25 @ 49.76</t>
        </is>
      </c>
      <c r="I106" s="14" t="inlineStr"/>
      <c r="J106" s="14" t="inlineStr"/>
      <c r="K106" s="14" t="inlineStr"/>
      <c r="L106" s="14" t="inlineStr">
        <is>
          <t>09-21 @ 55.19</t>
        </is>
      </c>
      <c r="M106" s="14" t="inlineStr"/>
      <c r="N106" s="14" t="inlineStr"/>
      <c r="O106" s="14" t="inlineStr"/>
    </row>
    <row r="107">
      <c r="A107" s="5" t="n">
        <v>3</v>
      </c>
      <c r="B107" s="5" t="n">
        <v>45</v>
      </c>
      <c r="C107" s="6" t="inlineStr">
        <is>
          <t>M</t>
        </is>
      </c>
      <c r="D107" s="5" t="inlineStr">
        <is>
          <t>Macy's Inc</t>
        </is>
      </c>
      <c r="E107" s="8" t="n">
        <v>22.73</v>
      </c>
      <c r="F107" s="14" t="inlineStr">
        <is>
          <t>07-10 @ 22.32</t>
        </is>
      </c>
      <c r="G107" s="14" t="inlineStr">
        <is>
          <t>07-24 @ 22.85</t>
        </is>
      </c>
      <c r="H107" s="14" t="inlineStr">
        <is>
          <t>08-31 @ 21.66</t>
        </is>
      </c>
      <c r="I107" s="14" t="inlineStr">
        <is>
          <t>09-10 @ 19.77</t>
        </is>
      </c>
      <c r="J107" s="14" t="inlineStr">
        <is>
          <t>09-18 @ 21.54</t>
        </is>
      </c>
      <c r="K107" s="14" t="inlineStr">
        <is>
          <t>09-28 @ 22.13</t>
        </is>
      </c>
      <c r="L107" s="14" t="inlineStr">
        <is>
          <t>09-08 @ 23.38</t>
        </is>
      </c>
      <c r="M107" s="14" t="inlineStr">
        <is>
          <t>09-14 @ 23.18</t>
        </is>
      </c>
      <c r="N107" s="14" t="inlineStr">
        <is>
          <t>09-23 @ 23.22</t>
        </is>
      </c>
      <c r="O107" s="14" t="inlineStr"/>
    </row>
    <row r="108">
      <c r="A108" s="5" t="n">
        <v>3</v>
      </c>
      <c r="B108" s="5" t="n">
        <v>46</v>
      </c>
      <c r="C108" s="6" t="inlineStr">
        <is>
          <t>WAT</t>
        </is>
      </c>
      <c r="D108" s="5" t="inlineStr">
        <is>
          <t>Waters Corporation</t>
        </is>
      </c>
      <c r="E108" s="8" t="n">
        <v>425.21</v>
      </c>
      <c r="F108" s="14" t="inlineStr">
        <is>
          <t>07-21 @ 345.21</t>
        </is>
      </c>
      <c r="G108" s="14" t="inlineStr">
        <is>
          <t>08-21 @ 396.00</t>
        </is>
      </c>
      <c r="H108" s="14" t="inlineStr">
        <is>
          <t>09-10 @ 392.95</t>
        </is>
      </c>
      <c r="I108" s="14" t="inlineStr">
        <is>
          <t>09-24 @ 418.00</t>
        </is>
      </c>
      <c r="J108" s="14" t="inlineStr"/>
      <c r="K108" s="14" t="inlineStr"/>
      <c r="L108" s="14" t="inlineStr"/>
      <c r="M108" s="14" t="inlineStr"/>
      <c r="N108" s="14" t="inlineStr"/>
      <c r="O108" s="14" t="inlineStr"/>
    </row>
    <row r="109">
      <c r="A109" s="5" t="n">
        <v>3</v>
      </c>
      <c r="B109" s="5" t="n">
        <v>47</v>
      </c>
      <c r="C109" s="6" t="inlineStr">
        <is>
          <t>DE</t>
        </is>
      </c>
      <c r="D109" s="5" t="inlineStr">
        <is>
          <t>Deere &amp; Company</t>
        </is>
      </c>
      <c r="E109" s="8" t="n">
        <v>687</v>
      </c>
      <c r="F109" s="14" t="inlineStr">
        <is>
          <t>07-21 @ 580.02</t>
        </is>
      </c>
      <c r="G109" s="14" t="inlineStr">
        <is>
          <t>07-30 @ 590.06</t>
        </is>
      </c>
      <c r="H109" s="14" t="inlineStr">
        <is>
          <t>08-10 @ 603.11</t>
        </is>
      </c>
      <c r="I109" s="14" t="inlineStr">
        <is>
          <t>08-19 @ 579.31</t>
        </is>
      </c>
      <c r="J109" s="14" t="inlineStr">
        <is>
          <t>08-28 @ 617.21</t>
        </is>
      </c>
      <c r="K109" s="14" t="inlineStr">
        <is>
          <t>09-16 @ 665.45</t>
        </is>
      </c>
      <c r="L109" s="14" t="inlineStr">
        <is>
          <t>09-03 @ 705.88</t>
        </is>
      </c>
      <c r="M109" s="14" t="inlineStr">
        <is>
          <t>09-11 @ 692.69</t>
        </is>
      </c>
      <c r="N109" s="14" t="inlineStr">
        <is>
          <t>09-23 @ 721.22</t>
        </is>
      </c>
      <c r="O109" s="14" t="inlineStr"/>
    </row>
    <row r="110">
      <c r="A110" s="5" t="n">
        <v>3</v>
      </c>
      <c r="B110" s="5" t="n">
        <v>48</v>
      </c>
      <c r="C110" s="6" t="inlineStr">
        <is>
          <t>ATII</t>
        </is>
      </c>
      <c r="D110" s="5" t="inlineStr">
        <is>
          <t>Archimedes Tech SPAC Partners II Co.</t>
        </is>
      </c>
      <c r="E110" s="8" t="n">
        <v>10.68</v>
      </c>
      <c r="F110" s="14" t="inlineStr">
        <is>
          <t>07-24 @ 10.60</t>
        </is>
      </c>
      <c r="G110" s="14" t="inlineStr">
        <is>
          <t>08-03 @ 10.58</t>
        </is>
      </c>
      <c r="H110" s="14" t="inlineStr">
        <is>
          <t>08-19 @ 10.62</t>
        </is>
      </c>
      <c r="I110" s="14" t="inlineStr">
        <is>
          <t>08-28 @ 10.63</t>
        </is>
      </c>
      <c r="J110" s="14" t="inlineStr">
        <is>
          <t>09-11 @ 10.64</t>
        </is>
      </c>
      <c r="K110" s="14" t="inlineStr">
        <is>
          <t>09-28 @ 10.67</t>
        </is>
      </c>
      <c r="L110" s="14" t="inlineStr">
        <is>
          <t>09-02 @ 10.71</t>
        </is>
      </c>
      <c r="M110" s="14" t="inlineStr">
        <is>
          <t>09-11 @ 10.68</t>
        </is>
      </c>
      <c r="N110" s="14" t="inlineStr">
        <is>
          <t>09-24 @ 10.72</t>
        </is>
      </c>
      <c r="O110" s="14" t="inlineStr"/>
    </row>
    <row r="111">
      <c r="A111" s="5" t="n">
        <v>3</v>
      </c>
      <c r="B111" s="5" t="n">
        <v>49</v>
      </c>
      <c r="C111" s="6" t="inlineStr">
        <is>
          <t>GNE</t>
        </is>
      </c>
      <c r="D111" s="5" t="inlineStr">
        <is>
          <t>Genie Energy Ltd. Class B</t>
        </is>
      </c>
      <c r="E111" s="8" t="n">
        <v>16.43</v>
      </c>
      <c r="F111" s="14" t="inlineStr">
        <is>
          <t>07-09 @ 13.41</t>
        </is>
      </c>
      <c r="G111" s="14" t="inlineStr">
        <is>
          <t>07-17 @ 13.92</t>
        </is>
      </c>
      <c r="H111" s="14" t="inlineStr">
        <is>
          <t>08-10 @ 13.62</t>
        </is>
      </c>
      <c r="I111" s="14" t="inlineStr">
        <is>
          <t>08-21 @ 14.47</t>
        </is>
      </c>
      <c r="J111" s="14" t="inlineStr">
        <is>
          <t>08-31 @ 14.58</t>
        </is>
      </c>
      <c r="K111" s="14" t="inlineStr">
        <is>
          <t>09-25 @ 15.72</t>
        </is>
      </c>
      <c r="L111" s="14" t="inlineStr">
        <is>
          <t>09-17 @ 16.55</t>
        </is>
      </c>
      <c r="M111" s="14" t="inlineStr"/>
      <c r="N111" s="14" t="inlineStr"/>
      <c r="O111" s="14" t="inlineStr"/>
    </row>
    <row r="112">
      <c r="A112" s="5" t="n">
        <v>3</v>
      </c>
      <c r="B112" s="5" t="n">
        <v>50</v>
      </c>
      <c r="C112" s="6" t="inlineStr">
        <is>
          <t>CRUS</t>
        </is>
      </c>
      <c r="D112" s="5" t="inlineStr">
        <is>
          <t>Cirrus Logic Inc.</t>
        </is>
      </c>
      <c r="E112" s="8" t="n">
        <v>121.17</v>
      </c>
      <c r="F112" s="14" t="inlineStr">
        <is>
          <t>07-17 @ 134.02</t>
        </is>
      </c>
      <c r="G112" s="14" t="inlineStr">
        <is>
          <t>07-23 @ 131.63</t>
        </is>
      </c>
      <c r="H112" s="14" t="inlineStr">
        <is>
          <t>08-06 @ 119.85</t>
        </is>
      </c>
      <c r="I112" s="14" t="inlineStr">
        <is>
          <t>09-01 @ 106.26</t>
        </is>
      </c>
      <c r="J112" s="14" t="inlineStr">
        <is>
          <t>09-09 @ 108.21</t>
        </is>
      </c>
      <c r="K112" s="14" t="inlineStr">
        <is>
          <t>09-28 @ 116.94</t>
        </is>
      </c>
      <c r="L112" s="14" t="inlineStr">
        <is>
          <t>09-15 @ 124.75</t>
        </is>
      </c>
      <c r="M112" s="14" t="inlineStr"/>
      <c r="N112" s="14" t="inlineStr"/>
      <c r="O112" s="14" t="inlineStr"/>
    </row>
    <row r="113">
      <c r="A113" s="5" t="n">
        <v>3</v>
      </c>
      <c r="B113" s="5" t="n">
        <v>51</v>
      </c>
      <c r="C113" s="6" t="inlineStr">
        <is>
          <t>INFU</t>
        </is>
      </c>
      <c r="D113" s="5" t="inlineStr">
        <is>
          <t>InfuSystems Holdings Inc.</t>
        </is>
      </c>
      <c r="E113" s="8" t="n">
        <v>13.16</v>
      </c>
      <c r="F113" s="14" t="inlineStr">
        <is>
          <t>07-31 @ 8.88</t>
        </is>
      </c>
      <c r="G113" s="14" t="inlineStr">
        <is>
          <t>08-17 @ 11.90</t>
        </is>
      </c>
      <c r="H113" s="14" t="inlineStr">
        <is>
          <t>08-26 @ 11.79</t>
        </is>
      </c>
      <c r="I113" s="14" t="inlineStr">
        <is>
          <t>09-08 @ 11.81</t>
        </is>
      </c>
      <c r="J113" s="14" t="inlineStr">
        <is>
          <t>09-14 @ 11.80</t>
        </is>
      </c>
      <c r="K113" s="14" t="inlineStr">
        <is>
          <t>09-25 @ 12.47</t>
        </is>
      </c>
      <c r="L113" s="14" t="inlineStr">
        <is>
          <t>09-03 @ 12.47</t>
        </is>
      </c>
      <c r="M113" s="14" t="inlineStr">
        <is>
          <t>09-10 @ 12.45</t>
        </is>
      </c>
      <c r="N113" s="14" t="inlineStr">
        <is>
          <t>09-22 @ 13.20</t>
        </is>
      </c>
      <c r="O113" s="14" t="inlineStr"/>
    </row>
    <row r="114">
      <c r="A114" s="5" t="n">
        <v>3</v>
      </c>
      <c r="B114" s="5" t="n">
        <v>52</v>
      </c>
      <c r="C114" s="6" t="inlineStr">
        <is>
          <t>HALO</t>
        </is>
      </c>
      <c r="D114" s="5" t="inlineStr">
        <is>
          <t>Halozyme Therapeutics Inc.</t>
        </is>
      </c>
      <c r="E114" s="8" t="n">
        <v>109.86</v>
      </c>
      <c r="F114" s="14" t="inlineStr">
        <is>
          <t>07-15 @ 73.89</t>
        </is>
      </c>
      <c r="G114" s="14" t="inlineStr">
        <is>
          <t>07-23 @ 76.82</t>
        </is>
      </c>
      <c r="H114" s="14" t="inlineStr">
        <is>
          <t>07-30 @ 81.21</t>
        </is>
      </c>
      <c r="I114" s="14" t="inlineStr">
        <is>
          <t>08-14 @ 98.13</t>
        </is>
      </c>
      <c r="J114" s="14" t="inlineStr">
        <is>
          <t>08-31 @ 103.47</t>
        </is>
      </c>
      <c r="K114" s="14" t="inlineStr">
        <is>
          <t>09-16 @ 105.50</t>
        </is>
      </c>
      <c r="L114" s="14" t="inlineStr">
        <is>
          <t>09-03 @ 111.15</t>
        </is>
      </c>
      <c r="M114" s="14" t="inlineStr">
        <is>
          <t>09-23 @ 116.85</t>
        </is>
      </c>
      <c r="N114" s="14" t="inlineStr"/>
      <c r="O114" s="14" t="inlineStr"/>
    </row>
    <row r="115">
      <c r="A115" s="5" t="n">
        <v>3</v>
      </c>
      <c r="B115" s="5" t="n">
        <v>53</v>
      </c>
      <c r="C115" s="6" t="inlineStr">
        <is>
          <t>AAPL</t>
        </is>
      </c>
      <c r="D115" s="5" t="inlineStr">
        <is>
          <t>Apple Inc.</t>
        </is>
      </c>
      <c r="E115" s="8" t="n">
        <v>333.69</v>
      </c>
      <c r="F115" s="14" t="inlineStr">
        <is>
          <t>07-23 @ 319.35</t>
        </is>
      </c>
      <c r="G115" s="14" t="inlineStr">
        <is>
          <t>07-31 @ 300.00</t>
        </is>
      </c>
      <c r="H115" s="14" t="inlineStr">
        <is>
          <t>08-12 @ 300.57</t>
        </is>
      </c>
      <c r="I115" s="14" t="inlineStr">
        <is>
          <t>09-09 @ 309.90</t>
        </is>
      </c>
      <c r="J115" s="14" t="inlineStr"/>
      <c r="K115" s="14" t="inlineStr"/>
      <c r="L115" s="14" t="inlineStr">
        <is>
          <t>09-03 @ 330.81</t>
        </is>
      </c>
      <c r="M115" s="14" t="inlineStr">
        <is>
          <t>09-11 @ 336.22</t>
        </is>
      </c>
      <c r="N115" s="14" t="inlineStr">
        <is>
          <t>09-22 @ 345.34</t>
        </is>
      </c>
      <c r="O115" s="14" t="inlineStr">
        <is>
          <t>09-28 @ 342.99</t>
        </is>
      </c>
    </row>
    <row r="116">
      <c r="A116" s="5" t="n">
        <v>3</v>
      </c>
      <c r="B116" s="5" t="n">
        <v>54</v>
      </c>
      <c r="C116" s="6" t="inlineStr">
        <is>
          <t>SLP</t>
        </is>
      </c>
      <c r="D116" s="5" t="inlineStr">
        <is>
          <t>Simulations Plus Inc.</t>
        </is>
      </c>
      <c r="E116" s="8" t="n">
        <v>18.5</v>
      </c>
      <c r="F116" s="14" t="inlineStr">
        <is>
          <t>07-21 @ 18.19</t>
        </is>
      </c>
      <c r="G116" s="14" t="inlineStr">
        <is>
          <t>07-31 @ 18.22</t>
        </is>
      </c>
      <c r="H116" s="14" t="inlineStr">
        <is>
          <t>08-07 @ 18.29</t>
        </is>
      </c>
      <c r="I116" s="14" t="inlineStr">
        <is>
          <t>08-31 @ 18.38</t>
        </is>
      </c>
      <c r="J116" s="14" t="inlineStr">
        <is>
          <t>09-15 @ 18.40</t>
        </is>
      </c>
      <c r="K116" s="14" t="inlineStr">
        <is>
          <t>09-22 @ 18.41</t>
        </is>
      </c>
      <c r="L116" s="14" t="inlineStr">
        <is>
          <t>09-03 @ 18.46</t>
        </is>
      </c>
      <c r="M116" s="14" t="inlineStr"/>
      <c r="N116" s="14" t="inlineStr"/>
      <c r="O116" s="14" t="inlineStr"/>
    </row>
    <row r="117">
      <c r="A117" s="5" t="n">
        <v>3</v>
      </c>
      <c r="B117" s="5" t="n">
        <v>55</v>
      </c>
      <c r="C117" s="6" t="inlineStr">
        <is>
          <t>BTGO</t>
        </is>
      </c>
      <c r="D117" s="5" t="inlineStr">
        <is>
          <t>BitGo Holdings Inc.</t>
        </is>
      </c>
      <c r="E117" s="8" t="n">
        <v>7.38</v>
      </c>
      <c r="F117" s="14" t="inlineStr">
        <is>
          <t>07-17 @ 4.71</t>
        </is>
      </c>
      <c r="G117" s="14" t="inlineStr">
        <is>
          <t>07-29 @ 4.68</t>
        </is>
      </c>
      <c r="H117" s="14" t="inlineStr">
        <is>
          <t>08-13 @ 4.65</t>
        </is>
      </c>
      <c r="I117" s="14" t="inlineStr">
        <is>
          <t>08-31 @ 6.60</t>
        </is>
      </c>
      <c r="J117" s="14" t="inlineStr">
        <is>
          <t>09-16 @ 6.19</t>
        </is>
      </c>
      <c r="K117" s="14" t="inlineStr">
        <is>
          <t>09-28 @ 7.10</t>
        </is>
      </c>
      <c r="L117" s="14" t="inlineStr">
        <is>
          <t>09-14 @ 7.95</t>
        </is>
      </c>
      <c r="M117" s="14" t="inlineStr">
        <is>
          <t>09-23 @ 8.35</t>
        </is>
      </c>
      <c r="N117" s="14" t="inlineStr"/>
      <c r="O117" s="14" t="inlineStr"/>
    </row>
    <row r="118">
      <c r="A118" s="5" t="n">
        <v>3</v>
      </c>
      <c r="B118" s="5" t="n">
        <v>56</v>
      </c>
      <c r="C118" s="6" t="inlineStr">
        <is>
          <t>REX</t>
        </is>
      </c>
      <c r="D118" s="5" t="inlineStr">
        <is>
          <t>REX American Resources Corporation</t>
        </is>
      </c>
      <c r="E118" s="8" t="n">
        <v>43.37</v>
      </c>
      <c r="F118" s="14" t="inlineStr">
        <is>
          <t>07-15 @ 45.65</t>
        </is>
      </c>
      <c r="G118" s="14" t="inlineStr">
        <is>
          <t>07-29 @ 41.69</t>
        </is>
      </c>
      <c r="H118" s="14" t="inlineStr">
        <is>
          <t>08-07 @ 42.50</t>
        </is>
      </c>
      <c r="I118" s="14" t="inlineStr">
        <is>
          <t>09-01 @ 39.70</t>
        </is>
      </c>
      <c r="J118" s="14" t="inlineStr">
        <is>
          <t>09-29 @ 42.16</t>
        </is>
      </c>
      <c r="K118" s="14" t="inlineStr"/>
      <c r="L118" s="14" t="inlineStr">
        <is>
          <t>09-09 @ 43.59</t>
        </is>
      </c>
      <c r="M118" s="14" t="inlineStr">
        <is>
          <t>09-22 @ 44.63</t>
        </is>
      </c>
      <c r="N118" s="14" t="inlineStr"/>
      <c r="O118" s="14" t="inlineStr"/>
    </row>
    <row r="119">
      <c r="A119" s="5" t="n">
        <v>3</v>
      </c>
      <c r="B119" s="5" t="n">
        <v>57</v>
      </c>
      <c r="C119" s="6" t="inlineStr">
        <is>
          <t>HCA</t>
        </is>
      </c>
      <c r="D119" s="5" t="inlineStr">
        <is>
          <t>HCA Healthcare Inc.</t>
        </is>
      </c>
      <c r="E119" s="8" t="n">
        <v>426.69</v>
      </c>
      <c r="F119" s="14" t="inlineStr">
        <is>
          <t>07-31 @ 391.38</t>
        </is>
      </c>
      <c r="G119" s="14" t="inlineStr">
        <is>
          <t>08-17 @ 400.00</t>
        </is>
      </c>
      <c r="H119" s="14" t="inlineStr">
        <is>
          <t>09-02 @ 396.77</t>
        </is>
      </c>
      <c r="I119" s="14" t="inlineStr">
        <is>
          <t>09-09 @ 396.00</t>
        </is>
      </c>
      <c r="J119" s="14" t="inlineStr">
        <is>
          <t>09-15 @ 409.74</t>
        </is>
      </c>
      <c r="K119" s="14" t="inlineStr">
        <is>
          <t>09-25 @ 420.00</t>
        </is>
      </c>
      <c r="L119" s="14" t="inlineStr">
        <is>
          <t>09-14 @ 433.80</t>
        </is>
      </c>
      <c r="M119" s="14" t="inlineStr">
        <is>
          <t>09-23 @ 446.36</t>
        </is>
      </c>
      <c r="N119" s="14" t="inlineStr"/>
      <c r="O119" s="14" t="inlineStr"/>
    </row>
    <row r="120">
      <c r="A120" s="5" t="n">
        <v>3</v>
      </c>
      <c r="B120" s="5" t="n">
        <v>58</v>
      </c>
      <c r="C120" s="6" t="inlineStr">
        <is>
          <t>GCT</t>
        </is>
      </c>
      <c r="D120" s="5" t="inlineStr">
        <is>
          <t>GigaCloud Technology Inc</t>
        </is>
      </c>
      <c r="E120" s="8" t="n">
        <v>53.75</v>
      </c>
      <c r="F120" s="14" t="inlineStr">
        <is>
          <t>08-18 @ 48.54</t>
        </is>
      </c>
      <c r="G120" s="14" t="inlineStr">
        <is>
          <t>08-24 @ 48.57</t>
        </is>
      </c>
      <c r="H120" s="14" t="inlineStr">
        <is>
          <t>09-01 @ 46.01</t>
        </is>
      </c>
      <c r="I120" s="14" t="inlineStr">
        <is>
          <t>09-16 @ 50.50</t>
        </is>
      </c>
      <c r="J120" s="14" t="inlineStr">
        <is>
          <t>09-22 @ 49.34</t>
        </is>
      </c>
      <c r="K120" s="14" t="inlineStr">
        <is>
          <t>09-29 @ 49.43</t>
        </is>
      </c>
      <c r="L120" s="14" t="inlineStr">
        <is>
          <t>08-28 @ 53.71</t>
        </is>
      </c>
      <c r="M120" s="14" t="inlineStr">
        <is>
          <t>09-09 @ 53.64</t>
        </is>
      </c>
      <c r="N120" s="14" t="inlineStr">
        <is>
          <t>09-25 @ 55.60</t>
        </is>
      </c>
      <c r="O120" s="14" t="inlineStr"/>
    </row>
    <row r="121">
      <c r="A121" s="5" t="n">
        <v>3</v>
      </c>
      <c r="B121" s="5" t="n">
        <v>59</v>
      </c>
      <c r="C121" s="6" t="inlineStr">
        <is>
          <t>UTMD</t>
        </is>
      </c>
      <c r="D121" s="5" t="inlineStr">
        <is>
          <t>Utah Medical Products Inc.</t>
        </is>
      </c>
      <c r="E121" s="8" t="n">
        <v>74.13</v>
      </c>
      <c r="F121" s="14" t="inlineStr">
        <is>
          <t>08-05 @ 68.15</t>
        </is>
      </c>
      <c r="G121" s="14" t="inlineStr">
        <is>
          <t>08-17 @ 70.02</t>
        </is>
      </c>
      <c r="H121" s="14" t="inlineStr">
        <is>
          <t>08-21 @ 69.71</t>
        </is>
      </c>
      <c r="I121" s="14" t="inlineStr">
        <is>
          <t>09-08 @ 68.46</t>
        </is>
      </c>
      <c r="J121" s="14" t="inlineStr">
        <is>
          <t>09-21 @ 73.70</t>
        </is>
      </c>
      <c r="K121" s="14" t="inlineStr">
        <is>
          <t>09-28 @ 73.75</t>
        </is>
      </c>
      <c r="L121" s="14" t="inlineStr">
        <is>
          <t>08-28 @ 73.34</t>
        </is>
      </c>
      <c r="M121" s="14" t="inlineStr">
        <is>
          <t>09-22 @ 76.89</t>
        </is>
      </c>
      <c r="N121" s="14" t="inlineStr"/>
      <c r="O121" s="14" t="inlineStr"/>
    </row>
    <row r="122">
      <c r="A122" s="5" t="n">
        <v>3</v>
      </c>
      <c r="B122" s="5" t="n">
        <v>60</v>
      </c>
      <c r="C122" s="6" t="inlineStr">
        <is>
          <t>FET</t>
        </is>
      </c>
      <c r="D122" s="5" t="inlineStr">
        <is>
          <t>Forum Energy Technologies Inc.</t>
        </is>
      </c>
      <c r="E122" s="8" t="n">
        <v>83.14</v>
      </c>
      <c r="F122" s="14" t="inlineStr">
        <is>
          <t>07-29 @ 50.27</t>
        </is>
      </c>
      <c r="G122" s="14" t="inlineStr">
        <is>
          <t>08-27 @ 74.26</t>
        </is>
      </c>
      <c r="H122" s="14" t="inlineStr">
        <is>
          <t>09-04 @ 77.10</t>
        </is>
      </c>
      <c r="I122" s="14" t="inlineStr">
        <is>
          <t>09-16 @ 78.98</t>
        </is>
      </c>
      <c r="J122" s="14" t="inlineStr">
        <is>
          <t>09-22 @ 78.31</t>
        </is>
      </c>
      <c r="K122" s="14" t="inlineStr">
        <is>
          <t>09-29 @ 79.47</t>
        </is>
      </c>
      <c r="L122" s="14" t="inlineStr">
        <is>
          <t>09-03 @ 84.16</t>
        </is>
      </c>
      <c r="M122" s="14" t="inlineStr">
        <is>
          <t>09-11 @ 84.15</t>
        </is>
      </c>
      <c r="N122" s="14" t="inlineStr">
        <is>
          <t>09-17 @ 84.20</t>
        </is>
      </c>
      <c r="O122" s="14" t="inlineStr">
        <is>
          <t>09-25 @ 85.30</t>
        </is>
      </c>
    </row>
    <row r="123">
      <c r="A123" s="5" t="n">
        <v>3</v>
      </c>
      <c r="B123" s="5" t="n">
        <v>61</v>
      </c>
      <c r="C123" s="6" t="inlineStr">
        <is>
          <t>ITGR</t>
        </is>
      </c>
      <c r="D123" s="5" t="inlineStr">
        <is>
          <t>Integer Holdings Corporation</t>
        </is>
      </c>
      <c r="E123" s="8" t="n">
        <v>126.45</v>
      </c>
      <c r="F123" s="14" t="inlineStr">
        <is>
          <t>07-09 @ 90.23</t>
        </is>
      </c>
      <c r="G123" s="14" t="inlineStr">
        <is>
          <t>07-21 @ 94.91</t>
        </is>
      </c>
      <c r="H123" s="14" t="inlineStr">
        <is>
          <t>08-24 @ 124.84</t>
        </is>
      </c>
      <c r="I123" s="14" t="inlineStr">
        <is>
          <t>09-24 @ 126.16</t>
        </is>
      </c>
      <c r="J123" s="14" t="inlineStr"/>
      <c r="K123" s="14" t="inlineStr"/>
      <c r="L123" s="14" t="inlineStr">
        <is>
          <t>09-04 @ 126.80</t>
        </is>
      </c>
      <c r="M123" s="14" t="inlineStr">
        <is>
          <t>09-17 @ 126.54</t>
        </is>
      </c>
      <c r="N123" s="14" t="inlineStr"/>
      <c r="O123" s="14" t="inlineStr"/>
    </row>
    <row r="124">
      <c r="A124" s="5" t="n">
        <v>3</v>
      </c>
      <c r="B124" s="5" t="n">
        <v>62</v>
      </c>
      <c r="C124" s="6" t="inlineStr">
        <is>
          <t>ATKR</t>
        </is>
      </c>
      <c r="D124" s="5" t="inlineStr">
        <is>
          <t>Atkore Inc.</t>
        </is>
      </c>
      <c r="E124" s="8" t="n">
        <v>94.62</v>
      </c>
      <c r="F124" s="14" t="inlineStr">
        <is>
          <t>07-16 @ 68.95</t>
        </is>
      </c>
      <c r="G124" s="14" t="inlineStr">
        <is>
          <t>07-30 @ 70.69</t>
        </is>
      </c>
      <c r="H124" s="14" t="inlineStr">
        <is>
          <t>08-18 @ 93.31</t>
        </is>
      </c>
      <c r="I124" s="14" t="inlineStr">
        <is>
          <t>08-28 @ 93.50</t>
        </is>
      </c>
      <c r="J124" s="14" t="inlineStr"/>
      <c r="K124" s="14" t="inlineStr"/>
      <c r="L124" s="14" t="inlineStr">
        <is>
          <t>08-28 @ 93.96</t>
        </is>
      </c>
      <c r="M124" s="14" t="inlineStr"/>
      <c r="N124" s="14" t="inlineStr"/>
      <c r="O124" s="14" t="inlineStr"/>
    </row>
    <row r="125">
      <c r="A125" s="5" t="n">
        <v>3</v>
      </c>
      <c r="B125" s="5" t="n">
        <v>63</v>
      </c>
      <c r="C125" s="6" t="inlineStr">
        <is>
          <t>AMG</t>
        </is>
      </c>
      <c r="D125" s="5" t="inlineStr">
        <is>
          <t>Affiliated Managers Group Inc.</t>
        </is>
      </c>
      <c r="E125" s="8" t="n">
        <v>371.43</v>
      </c>
      <c r="F125" s="14" t="inlineStr">
        <is>
          <t>07-30 @ 355.00</t>
        </is>
      </c>
      <c r="G125" s="14" t="inlineStr">
        <is>
          <t>08-12 @ 358.25</t>
        </is>
      </c>
      <c r="H125" s="14" t="inlineStr">
        <is>
          <t>08-20 @ 350.76</t>
        </is>
      </c>
      <c r="I125" s="14" t="inlineStr">
        <is>
          <t>09-02 @ 354.73</t>
        </is>
      </c>
      <c r="J125" s="14" t="inlineStr">
        <is>
          <t>09-16 @ 339.87</t>
        </is>
      </c>
      <c r="K125" s="14" t="inlineStr">
        <is>
          <t>09-28 @ 356.18</t>
        </is>
      </c>
      <c r="L125" s="14" t="inlineStr">
        <is>
          <t>08-28 @ 376.75</t>
        </is>
      </c>
      <c r="M125" s="14" t="inlineStr">
        <is>
          <t>09-25 @ 379.06</t>
        </is>
      </c>
      <c r="N125" s="14" t="inlineStr"/>
      <c r="O125" s="14" t="inlineStr"/>
    </row>
    <row r="126">
      <c r="A126" s="5" t="n">
        <v>3</v>
      </c>
      <c r="B126" s="5" t="n">
        <v>64</v>
      </c>
      <c r="C126" s="6" t="inlineStr">
        <is>
          <t>RBKB</t>
        </is>
      </c>
      <c r="D126" s="5" t="inlineStr">
        <is>
          <t>Rhinebeck Bancorp Inc.</t>
        </is>
      </c>
      <c r="E126" s="8" t="n">
        <v>13.15</v>
      </c>
      <c r="F126" s="14" t="inlineStr">
        <is>
          <t>07-14 @ 11.90</t>
        </is>
      </c>
      <c r="G126" s="14" t="inlineStr">
        <is>
          <t>07-22 @ 11.00</t>
        </is>
      </c>
      <c r="H126" s="14" t="inlineStr">
        <is>
          <t>08-03 @ 11.73</t>
        </is>
      </c>
      <c r="I126" s="14" t="inlineStr">
        <is>
          <t>08-27 @ 12.50</t>
        </is>
      </c>
      <c r="J126" s="14" t="inlineStr">
        <is>
          <t>09-15 @ 12.65</t>
        </is>
      </c>
      <c r="K126" s="14" t="inlineStr"/>
      <c r="L126" s="14" t="inlineStr">
        <is>
          <t>09-08 @ 13.23</t>
        </is>
      </c>
      <c r="M126" s="14" t="inlineStr">
        <is>
          <t>09-22 @ 13.20</t>
        </is>
      </c>
      <c r="N126" s="14" t="inlineStr"/>
      <c r="O126" s="14" t="inlineStr"/>
    </row>
    <row r="127">
      <c r="A127" s="5" t="n">
        <v>3</v>
      </c>
      <c r="B127" s="5" t="n">
        <v>65</v>
      </c>
      <c r="C127" s="6" t="inlineStr">
        <is>
          <t>PKOH</t>
        </is>
      </c>
      <c r="D127" s="5" t="inlineStr">
        <is>
          <t>Park-Ohio Holdings Corp.</t>
        </is>
      </c>
      <c r="E127" s="8" t="n">
        <v>47.37</v>
      </c>
      <c r="F127" s="14" t="inlineStr">
        <is>
          <t>07-23 @ 36.92</t>
        </is>
      </c>
      <c r="G127" s="14" t="inlineStr">
        <is>
          <t>07-29 @ 37.47</t>
        </is>
      </c>
      <c r="H127" s="14" t="inlineStr">
        <is>
          <t>08-21 @ 44.42</t>
        </is>
      </c>
      <c r="I127" s="14" t="inlineStr">
        <is>
          <t>09-03 @ 43.62</t>
        </is>
      </c>
      <c r="J127" s="14" t="inlineStr">
        <is>
          <t>09-15 @ 44.00</t>
        </is>
      </c>
      <c r="K127" s="14" t="inlineStr"/>
      <c r="L127" s="14" t="inlineStr">
        <is>
          <t>08-28 @ 47.69</t>
        </is>
      </c>
      <c r="M127" s="14" t="inlineStr">
        <is>
          <t>09-08 @ 47.34</t>
        </is>
      </c>
      <c r="N127" s="14" t="inlineStr">
        <is>
          <t>09-25 @ 48.52</t>
        </is>
      </c>
      <c r="O127" s="14" t="inlineStr"/>
    </row>
    <row r="128">
      <c r="A128" s="5" t="n">
        <v>3</v>
      </c>
      <c r="B128" s="5" t="n">
        <v>66</v>
      </c>
      <c r="C128" s="6" t="inlineStr">
        <is>
          <t>TXNM</t>
        </is>
      </c>
      <c r="D128" s="5" t="inlineStr">
        <is>
          <t>TXNM Energy Inc.</t>
        </is>
      </c>
      <c r="E128" s="8" t="n">
        <v>58.41</v>
      </c>
      <c r="F128" s="14" t="inlineStr">
        <is>
          <t>08-11 @ 57.24</t>
        </is>
      </c>
      <c r="G128" s="14" t="inlineStr">
        <is>
          <t>08-24 @ 57.07</t>
        </is>
      </c>
      <c r="H128" s="14" t="inlineStr">
        <is>
          <t>09-14 @ 57.61</t>
        </is>
      </c>
      <c r="I128" s="14" t="inlineStr">
        <is>
          <t>09-25 @ 58.09</t>
        </is>
      </c>
      <c r="J128" s="14" t="inlineStr"/>
      <c r="K128" s="14" t="inlineStr"/>
      <c r="L128" s="14" t="inlineStr">
        <is>
          <t>09-03 @ 58.36</t>
        </is>
      </c>
      <c r="M128" s="14" t="inlineStr">
        <is>
          <t>09-17 @ 58.93</t>
        </is>
      </c>
      <c r="N128" s="14" t="inlineStr"/>
      <c r="O128" s="14" t="inlineStr"/>
    </row>
    <row r="129">
      <c r="A129" s="5" t="n">
        <v>3</v>
      </c>
      <c r="B129" s="5" t="n">
        <v>67</v>
      </c>
      <c r="C129" s="6" t="inlineStr">
        <is>
          <t>DSGR</t>
        </is>
      </c>
      <c r="D129" s="5" t="inlineStr">
        <is>
          <t>Distribution Solutions Group Inc.</t>
        </is>
      </c>
      <c r="E129" s="8" t="n">
        <v>34.98</v>
      </c>
      <c r="F129" s="14" t="inlineStr">
        <is>
          <t>08-12 @ 34.75</t>
        </is>
      </c>
      <c r="G129" s="14" t="inlineStr">
        <is>
          <t>08-18 @ 34.54</t>
        </is>
      </c>
      <c r="H129" s="14" t="inlineStr">
        <is>
          <t>09-02 @ 34.63</t>
        </is>
      </c>
      <c r="I129" s="14" t="inlineStr">
        <is>
          <t>09-18 @ 34.75</t>
        </is>
      </c>
      <c r="J129" s="14" t="inlineStr"/>
      <c r="K129" s="14" t="inlineStr"/>
      <c r="L129" s="14" t="inlineStr">
        <is>
          <t>09-28 @ 35.02</t>
        </is>
      </c>
      <c r="M129" s="14" t="inlineStr"/>
      <c r="N129" s="14" t="inlineStr"/>
      <c r="O129" s="14" t="inlineStr"/>
    </row>
    <row r="130">
      <c r="A130" s="5" t="n">
        <v>3</v>
      </c>
      <c r="B130" s="5" t="n">
        <v>68</v>
      </c>
      <c r="C130" s="6" t="inlineStr">
        <is>
          <t>FSBW</t>
        </is>
      </c>
      <c r="D130" s="5" t="inlineStr">
        <is>
          <t>FS Bancorp Inc.</t>
        </is>
      </c>
      <c r="E130" s="8" t="n">
        <v>44.33</v>
      </c>
      <c r="F130" s="14" t="inlineStr">
        <is>
          <t>07-22 @ 41.50</t>
        </is>
      </c>
      <c r="G130" s="14" t="inlineStr">
        <is>
          <t>08-03 @ 42.25</t>
        </is>
      </c>
      <c r="H130" s="14" t="inlineStr">
        <is>
          <t>08-10 @ 42.22</t>
        </is>
      </c>
      <c r="I130" s="14" t="inlineStr">
        <is>
          <t>08-21 @ 41.71</t>
        </is>
      </c>
      <c r="J130" s="14" t="inlineStr">
        <is>
          <t>08-27 @ 42.06</t>
        </is>
      </c>
      <c r="K130" s="14" t="inlineStr">
        <is>
          <t>09-21 @ 43.23</t>
        </is>
      </c>
      <c r="L130" s="14" t="inlineStr">
        <is>
          <t>09-04 @ 44.00</t>
        </is>
      </c>
      <c r="M130" s="14" t="inlineStr">
        <is>
          <t>09-17 @ 45.03</t>
        </is>
      </c>
      <c r="N130" s="14" t="inlineStr">
        <is>
          <t>09-24 @ 44.58</t>
        </is>
      </c>
      <c r="O130" s="14" t="inlineStr"/>
    </row>
    <row r="131">
      <c r="A131" s="5" t="n">
        <v>3</v>
      </c>
      <c r="B131" s="5" t="n">
        <v>69</v>
      </c>
      <c r="C131" s="6" t="inlineStr">
        <is>
          <t>AES</t>
        </is>
      </c>
      <c r="D131" s="5" t="inlineStr">
        <is>
          <t>The AES Corporation</t>
        </is>
      </c>
      <c r="E131" s="8" t="n">
        <v>14.91</v>
      </c>
      <c r="F131" s="14" t="inlineStr">
        <is>
          <t>07-17 @ 14.77</t>
        </is>
      </c>
      <c r="G131" s="14" t="inlineStr">
        <is>
          <t>07-31 @ 14.65</t>
        </is>
      </c>
      <c r="H131" s="14" t="inlineStr">
        <is>
          <t>08-19 @ 14.70</t>
        </is>
      </c>
      <c r="I131" s="14" t="inlineStr">
        <is>
          <t>08-27 @ 14.71</t>
        </is>
      </c>
      <c r="J131" s="14" t="inlineStr">
        <is>
          <t>09-11 @ 14.78</t>
        </is>
      </c>
      <c r="K131" s="14" t="inlineStr">
        <is>
          <t>09-23 @ 14.80</t>
        </is>
      </c>
      <c r="L131" s="14" t="inlineStr">
        <is>
          <t>09-03 @ 14.85</t>
        </is>
      </c>
      <c r="M131" s="14" t="inlineStr">
        <is>
          <t>09-10 @ 14.85</t>
        </is>
      </c>
      <c r="N131" s="14" t="inlineStr">
        <is>
          <t>09-17 @ 14.88</t>
        </is>
      </c>
      <c r="O131" s="14" t="inlineStr"/>
    </row>
    <row r="132">
      <c r="A132" s="5" t="n">
        <v>3</v>
      </c>
      <c r="B132" s="5" t="n">
        <v>70</v>
      </c>
      <c r="C132" s="6" t="inlineStr">
        <is>
          <t>CON</t>
        </is>
      </c>
      <c r="D132" s="5" t="inlineStr">
        <is>
          <t>Concentra Group Holdings Parent Inc.</t>
        </is>
      </c>
      <c r="E132" s="8" t="n">
        <v>35.65</v>
      </c>
      <c r="F132" s="14" t="inlineStr">
        <is>
          <t>07-23 @ 30.00</t>
        </is>
      </c>
      <c r="G132" s="14" t="inlineStr">
        <is>
          <t>08-06 @ 30.12</t>
        </is>
      </c>
      <c r="H132" s="14" t="inlineStr">
        <is>
          <t>08-20 @ 34.45</t>
        </is>
      </c>
      <c r="I132" s="14" t="inlineStr">
        <is>
          <t>08-31 @ 33.62</t>
        </is>
      </c>
      <c r="J132" s="14" t="inlineStr">
        <is>
          <t>09-09 @ 33.32</t>
        </is>
      </c>
      <c r="K132" s="14" t="inlineStr">
        <is>
          <t>09-25 @ 34.32</t>
        </is>
      </c>
      <c r="L132" s="14" t="inlineStr">
        <is>
          <t>09-16 @ 36.71</t>
        </is>
      </c>
      <c r="M132" s="14" t="inlineStr"/>
      <c r="N132" s="14" t="inlineStr"/>
      <c r="O132" s="14" t="inlineStr"/>
    </row>
    <row r="133">
      <c r="A133" s="5" t="n">
        <v>3</v>
      </c>
      <c r="B133" s="5" t="n">
        <v>71</v>
      </c>
      <c r="C133" s="6" t="inlineStr">
        <is>
          <t>XOM</t>
        </is>
      </c>
      <c r="D133" s="5" t="inlineStr">
        <is>
          <t>ExxonMobil Holdings Corporation</t>
        </is>
      </c>
      <c r="E133" s="8" t="n">
        <v>164.01</v>
      </c>
      <c r="F133" s="14" t="inlineStr">
        <is>
          <t>07-28 @ 151.88</t>
        </is>
      </c>
      <c r="G133" s="14" t="inlineStr">
        <is>
          <t>08-04 @ 149.09</t>
        </is>
      </c>
      <c r="H133" s="14" t="inlineStr">
        <is>
          <t>08-28 @ 155.32</t>
        </is>
      </c>
      <c r="I133" s="14" t="inlineStr">
        <is>
          <t>09-08 @ 158.75</t>
        </is>
      </c>
      <c r="J133" s="14" t="inlineStr">
        <is>
          <t>09-22 @ 155.85</t>
        </is>
      </c>
      <c r="K133" s="14" t="inlineStr">
        <is>
          <t>09-29 @ 159.27</t>
        </is>
      </c>
      <c r="L133" s="14" t="inlineStr">
        <is>
          <t>09-03 @ 165.65</t>
        </is>
      </c>
      <c r="M133" s="14" t="inlineStr">
        <is>
          <t>09-15 @ 169.64</t>
        </is>
      </c>
      <c r="N133" s="14" t="inlineStr">
        <is>
          <t>09-24 @ 164.91</t>
        </is>
      </c>
      <c r="O133" s="14" t="inlineStr"/>
    </row>
    <row r="135">
      <c r="A135" s="66" t="inlineStr">
        <is>
          <t>樞軸底 = 當日最低價係前後各 3 個交易日入面最低（兩邊最外嗰日都要高過佢），3 日內嘅兩個底只留較低嗰個；樞軸頂同理用最高價。C3 要最後兩個底遞升；C5 嘅高位／低位斜率係呢啲樞軸對日數嘅最小二乘斜率（不足兩個樞軸就用窗口內全部高／低位）。</t>
        </is>
      </c>
    </row>
  </sheetData>
  <autoFilter ref="A1:O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6" customWidth="1" min="3" max="3"/>
    <col width="14" customWidth="1" min="4" max="4"/>
  </cols>
  <sheetData>
    <row r="1">
      <c r="A1" s="1" t="inlineStr">
        <is>
          <t>R4.00 篩選條件：21EMA 向上 ＋ 9EMA 在 21EMA 上 ＋ 一底高於一底 ＋ 上升三角（重心偏上）＋ MACD 慢線向上 ＋ MACD 柱轉勢；分頁 a 剛黃金交叉／b 回到 21EMA／c 回到 9EMA</t>
        </is>
      </c>
    </row>
    <row r="2">
      <c r="A2" s="68" t="inlineStr">
        <is>
          <t>說明</t>
        </is>
      </c>
      <c r="B2" s="3" t="inlineStr">
        <is>
          <t>全美上市普通股（Nasdaq／NYSE／AMEX，3,868 隻）用 Yahoo 日線量度，數據終點 2026-10-02 收市（193 個交易日，2025-12-26 起）。EMA 用標準指數平滑 α=2/(N+1)，ATR14 用 Wilder 平滑。單獨通過＝只計該項；累計＝由 C1 起逐項收窄。</t>
        </is>
      </c>
      <c r="C2" s="2" t="inlineStr">
        <is>
          <t>單獨通過</t>
        </is>
      </c>
      <c r="D2" s="2" t="inlineStr">
        <is>
          <t>累計通過</t>
        </is>
      </c>
    </row>
    <row r="3" ht="44" customHeight="1">
      <c r="A3" s="69" t="inlineStr">
        <is>
          <t>股票池</t>
        </is>
      </c>
      <c r="B3" s="3" t="inlineStr">
        <is>
          <t>當日（2026-10-02）有成交、≥90 個交易日歷史、收市 ≥$2、20 日成交額中位數 ≥$1M（3,868 → 有當日 bar 3,850 → 歷史夠 3,731 → 價格 3,456 → 成交額 2,792）</t>
        </is>
      </c>
      <c r="C3" s="70" t="n">
        <v>2792</v>
      </c>
      <c r="D3" s="70" t="n">
        <v>2792</v>
      </c>
    </row>
    <row r="4" ht="44" customHeight="1">
      <c r="A4" s="69" t="inlineStr">
        <is>
          <t>C1 21EMA 向上</t>
        </is>
      </c>
      <c r="B4" s="3" t="inlineStr">
        <is>
          <t>EMA21 高過前一日，而且高過 5 日前（5 日斜率 &gt;0）；另記錄最近 10 步入面上升嘅比例（入分數）</t>
        </is>
      </c>
      <c r="C4" s="70" t="n">
        <v>630</v>
      </c>
      <c r="D4" s="70" t="n">
        <v>630</v>
      </c>
    </row>
    <row r="5" ht="44" customHeight="1">
      <c r="A5" s="69" t="inlineStr">
        <is>
          <t>C2 9EMA 在 21EMA 上</t>
        </is>
      </c>
      <c r="B5" s="3" t="inlineStr">
        <is>
          <t>EMA9 &gt; EMA21。最近一次黃金交叉（EMA9 由 ≤ 變 &gt;）喺 5 日內＝「剛黃金交叉」（a 頁），否則「持續在上方」</t>
        </is>
      </c>
      <c r="C5" s="70" t="n">
        <v>703</v>
      </c>
      <c r="D5" s="70" t="n">
        <v>597</v>
      </c>
    </row>
    <row r="6" ht="44" customHeight="1">
      <c r="A6" s="69" t="inlineStr">
        <is>
          <t>C3 一底高於一底</t>
        </is>
      </c>
      <c r="B6" s="3" t="inlineStr">
        <is>
          <t>用最低價搵樞軸底（前後各 3 日最低）；近 60 日最後兩個底要遞升、最後一底 ≤30 日前、之後收市冇跌穿佢（容 0.5%）。連續遞升底嘅數目入分數</t>
        </is>
      </c>
      <c r="C6" s="70" t="n">
        <v>592</v>
      </c>
      <c r="D6" s="70" t="n">
        <v>368</v>
      </c>
    </row>
    <row r="7" ht="44" customHeight="1">
      <c r="A7" s="69" t="inlineStr">
        <is>
          <t>C4 上升三角／重心偏上</t>
        </is>
      </c>
      <c r="B7" s="3" t="inlineStr">
        <is>
          <t>近 25 日：VWAP 喺高低區間嘅位置（重心）≥0.5；樞軸低位嘅最小二乘斜率 &gt;0；樞軸高位斜率喺 -0.10 至 +1.00 %/日之間（平頂至微升：頂部下傾係對稱三角、頂部急升係通道，都唔係上升三角）</t>
        </is>
      </c>
      <c r="C7" s="70" t="n">
        <v>227</v>
      </c>
      <c r="D7" s="70" t="n">
        <v>97</v>
      </c>
    </row>
    <row r="8" ht="44" customHeight="1">
      <c r="A8" s="69" t="inlineStr">
        <is>
          <t>C5 MACD 慢線向上</t>
        </is>
      </c>
      <c r="B8" s="3" t="inlineStr">
        <is>
          <t>MACD（EMA12 − EMA26）嘅慢線（訊號線，MACD 嘅 EMA9）高過前一日</t>
        </is>
      </c>
      <c r="C8" s="70" t="n">
        <v>1082</v>
      </c>
      <c r="D8" s="70" t="n">
        <v>44</v>
      </c>
    </row>
    <row r="9" ht="44" customHeight="1">
      <c r="A9" s="69" t="inlineStr">
        <is>
          <t>C6 MACD 柱轉勢</t>
        </is>
      </c>
      <c r="B9" s="3" t="inlineStr">
        <is>
          <t>柱 = MACD − 慢線，顏色跟 TradingView：柱 ≥0 升＝深綠、跌＝淺綠；柱 &lt;0 跌＝深紅、升＝淺紅。要近 3 日內出現第一根「深紅之後嘅淺紅」（跌勢減速）或「淺綠之後嘅深綠」（升勢再加速），而且由嗰根起每根都升</t>
        </is>
      </c>
      <c r="C9" s="70" t="n">
        <v>1481</v>
      </c>
      <c r="D9" s="70" t="n">
        <v>26</v>
      </c>
    </row>
    <row r="10" ht="44" customHeight="1">
      <c r="A10" s="69" t="inlineStr">
        <is>
          <t>第一梯隊（總表）</t>
        </is>
      </c>
      <c r="B10" s="3" t="inlineStr">
        <is>
          <t>六項全過，按綜合分數排</t>
        </is>
      </c>
      <c r="C10" s="70" t="inlineStr"/>
      <c r="D10" s="70" t="n">
        <v>26</v>
      </c>
    </row>
    <row r="11" ht="44" customHeight="1">
      <c r="A11" s="69" t="inlineStr">
        <is>
          <t>a 剛黃金交叉</t>
        </is>
      </c>
      <c r="B11" s="3" t="inlineStr">
        <is>
          <t>第一梯隊（另加灰底第二梯隊）入面 9EMA 喺 5 日內剛升穿 21EMA</t>
        </is>
      </c>
      <c r="C11" s="70" t="inlineStr"/>
      <c r="D11" s="70" t="n">
        <v>6</v>
      </c>
    </row>
    <row r="12" ht="44" customHeight="1">
      <c r="A12" s="69" t="inlineStr">
        <is>
          <t>b 回到 21EMA</t>
        </is>
      </c>
      <c r="B12" s="3" t="inlineStr">
        <is>
          <t>第一梯隊入面收市離 EMA21 ≤3% 兼（≤0.75 ATR14 或近 3 日最低價 ≤ 當日 EMA21×1.005）、收市唔低過 EMA21 3%；離兩條都近就歸較近嗰條</t>
        </is>
      </c>
      <c r="C12" s="70" t="inlineStr"/>
      <c r="D12" s="70" t="n">
        <v>0</v>
      </c>
    </row>
    <row r="13" ht="44" customHeight="1">
      <c r="A13" s="69" t="inlineStr">
        <is>
          <t>c 回到 9EMA</t>
        </is>
      </c>
      <c r="B13" s="3" t="inlineStr">
        <is>
          <t>第一梯隊入面收市離 EMA9 ≤3% 兼（≤0.75 ATR14 或近 3 日最低價 ≤ 當日 EMA9×1.005），而且唔喺 b 頁</t>
        </is>
      </c>
      <c r="C13" s="70" t="inlineStr"/>
      <c r="D13" s="70" t="n">
        <v>18</v>
      </c>
    </row>
    <row r="14" ht="44" customHeight="1">
      <c r="A14" s="69" t="inlineStr">
        <is>
          <t>第三梯隊（候補）</t>
        </is>
      </c>
      <c r="B14" s="3" t="inlineStr">
        <is>
          <t>價格四項（C1–C4）全過、只差 MACD 慢線／柱轉勢；總表橙底，分頁都列埋，等第一根淺紅／深綠出現</t>
        </is>
      </c>
      <c r="C14" s="70" t="inlineStr"/>
      <c r="D14" s="70" t="n">
        <v>71</v>
      </c>
    </row>
    <row r="15" ht="44" customHeight="1">
      <c r="A15" s="69" t="inlineStr">
        <is>
          <t>第二梯隊</t>
        </is>
      </c>
      <c r="B15" s="3" t="inlineStr">
        <is>
          <t>只唔過一項，而且嗰項喺放寬門檻下通過（金叉 ≤8 日；底回望 80 日／最後一底 ≤40 日；重心 ≥0.45、高位斜率 -0.20 至 +1.50；柱轉勢 ≤5 日）；「差一項」頁列明每隻差邊項</t>
        </is>
      </c>
      <c r="C15" s="70" t="inlineStr"/>
      <c r="D15" s="70" t="n">
        <v>35</v>
      </c>
    </row>
    <row r="17">
      <c r="A17" s="71" t="inlineStr">
        <is>
          <t>評分（每項 0–1，線性、兩頭封頂；總表公式）</t>
        </is>
      </c>
    </row>
    <row r="18" ht="32" customHeight="1">
      <c r="A18" s="69" t="inlineStr">
        <is>
          <t>趨勢分數</t>
        </is>
      </c>
      <c r="B18" s="3" t="inlineStr">
        <is>
          <t>0.4 × EMA21 5日斜率（0.0%→0、2.5%→1）+ 0.3 × EMA21 10步上升比例（60%→0、100%→1）+ 0.3 × RS21（0%→0、15%→1；RS21 = 21 日回報 − 全池中位數）</t>
        </is>
      </c>
    </row>
    <row r="19" ht="32" customHeight="1">
      <c r="A19" s="69" t="inlineStr">
        <is>
          <t>回調質素</t>
        </is>
      </c>
      <c r="B19" s="3" t="inlineStr">
        <is>
          <t>0.4 × 貼近 EMA（距最近一條 EMA 嘅 ATR 倍數：0.75→0、0→1）+ 0.3 × 量縮（近 10 日跌日均量 ÷ 升日均量：1.2→0、0.6→1）+ 0.3 × 收市在當日高低區間位置</t>
        </is>
      </c>
    </row>
    <row r="20" ht="32" customHeight="1">
      <c r="A20" s="69" t="inlineStr">
        <is>
          <t>底部結構</t>
        </is>
      </c>
      <c r="B20" s="3" t="inlineStr">
        <is>
          <t>0.5 × 連續上升底數目（1→0、4→1）+ 0.3 × 最後一底較上一底升幅（0%→0、8%→1）+ 0.2 × 最後一底距今（25 日→0、5 日→1）</t>
        </is>
      </c>
    </row>
    <row r="21" ht="32" customHeight="1">
      <c r="A21" s="69" t="inlineStr">
        <is>
          <t>三角形分數</t>
        </is>
      </c>
      <c r="B21" s="3" t="inlineStr">
        <is>
          <t>0.35 × 平頂（|高位斜率| 0.3→0、0.05→1 %/日）+ 0.30 × 低位上升（低位斜率 0.0→0、0.3→1 %/日）+ 0.25 × 重心（0.4→0、0.7→1）+ 0.10 × 頂部觸及（≥2 次→1、1 次→0.5；觸及＝最高價喺 25 日最高 1.5% 內）</t>
        </is>
      </c>
    </row>
    <row r="22" ht="32" customHeight="1">
      <c r="A22" s="69" t="inlineStr">
        <is>
          <t>綜合分數</t>
        </is>
      </c>
      <c r="B22" s="3" t="inlineStr">
        <is>
          <t>0.25 × 趨勢 + 0.25 × 回調質素 + 0.2 × 底部結構 + 0.3 × 三角形（每頁排名用；先分梯隊）</t>
        </is>
      </c>
    </row>
    <row r="23" ht="32" customHeight="1">
      <c r="A23" s="69" t="inlineStr">
        <is>
          <t>欄位顏色</t>
        </is>
      </c>
      <c r="B23" s="3" t="inlineStr">
        <is>
          <t>藍字＝量度值（輸入）；黑字＝公式；灰底＝第二梯隊；綠底狀態＝剛黃金交叉；市值組：大型 ≥$100 億、中型 $20–100 億、小型 &lt;$20 億（Nasdaq 快照市值）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市況（2026-10-02 收市）</t>
        </is>
      </c>
    </row>
    <row r="2">
      <c r="A2" s="54" t="inlineStr">
        <is>
          <t>10-02 就業轉弱（9 月只加 2.9 萬、失業率 4.2%）→ 10 月加息機率大減、債息油價齊回落、指數反彈；但闊度仍弱、10 年息仍 5.2% 樓上 —— 由「偏防守」升級為「審慎偏多」，只做 9/21EMA 回調、倉位由一半加至七成</t>
        </is>
      </c>
    </row>
    <row r="4" ht="30" customHeight="1">
      <c r="A4" s="4" t="inlineStr">
        <is>
          <t>代號</t>
        </is>
      </c>
      <c r="B4" s="4" t="inlineStr">
        <is>
          <t>名稱</t>
        </is>
      </c>
      <c r="C4" s="4" t="inlineStr">
        <is>
          <t>收市</t>
        </is>
      </c>
      <c r="D4" s="4" t="inlineStr">
        <is>
          <t>當日%</t>
        </is>
      </c>
      <c r="E4" s="4" t="inlineStr">
        <is>
          <t>5日%</t>
        </is>
      </c>
      <c r="F4" s="4" t="inlineStr">
        <is>
          <t>1個月%（21日）</t>
        </is>
      </c>
      <c r="G4" s="4" t="inlineStr">
        <is>
          <t>3個月%（63日）</t>
        </is>
      </c>
      <c r="H4" s="4" t="inlineStr">
        <is>
          <t>EMA9</t>
        </is>
      </c>
      <c r="I4" s="4" t="inlineStr">
        <is>
          <t>EMA21</t>
        </is>
      </c>
      <c r="J4" s="4" t="inlineStr">
        <is>
          <t>EMA21（5日前）</t>
        </is>
      </c>
      <c r="K4" s="4" t="inlineStr">
        <is>
          <t>距EMA21%</t>
        </is>
      </c>
      <c r="L4" s="4" t="inlineStr">
        <is>
          <t>EMA21 5日斜率%</t>
        </is>
      </c>
      <c r="M4" s="4" t="inlineStr">
        <is>
          <t>9&gt;21</t>
        </is>
      </c>
      <c r="N4" s="4" t="inlineStr">
        <is>
          <t>期內最高距%</t>
        </is>
      </c>
      <c r="O4" s="4" t="inlineStr">
        <is>
          <t>期內最低距%</t>
        </is>
      </c>
      <c r="P4" s="4" t="inlineStr">
        <is>
          <t>最後日期</t>
        </is>
      </c>
    </row>
    <row r="5">
      <c r="A5" s="68" t="inlineStr">
        <is>
          <t>SPY</t>
        </is>
      </c>
      <c r="B5" s="5" t="inlineStr">
        <is>
          <t>標普 500 ETF</t>
        </is>
      </c>
      <c r="C5" s="7" t="n">
        <v>769.64</v>
      </c>
      <c r="D5" s="72" t="n">
        <v>0.0074</v>
      </c>
      <c r="E5" s="72" t="n">
        <v>-0.00222</v>
      </c>
      <c r="F5" s="72" t="n">
        <v>0.00585</v>
      </c>
      <c r="G5" s="72" t="n">
        <v>0.02444</v>
      </c>
      <c r="H5" s="7" t="n">
        <v>766.1977000000001</v>
      </c>
      <c r="I5" s="7" t="n">
        <v>765.5954</v>
      </c>
      <c r="J5" s="7" t="n">
        <v>765.7277</v>
      </c>
      <c r="K5" s="9">
        <f>C5/I5-1</f>
        <v/>
      </c>
      <c r="L5" s="9">
        <f>I5/J5-1</f>
        <v/>
      </c>
      <c r="M5" s="70">
        <f>IF(H5&gt;I5,"是","否")</f>
        <v/>
      </c>
      <c r="N5" s="72" t="n">
        <v>-0.01059</v>
      </c>
      <c r="O5" s="72" t="n">
        <v>0.21784</v>
      </c>
      <c r="P5" s="5" t="inlineStr">
        <is>
          <t>2026-10-02</t>
        </is>
      </c>
    </row>
    <row r="6">
      <c r="A6" s="68" t="inlineStr">
        <is>
          <t>QQQ</t>
        </is>
      </c>
      <c r="B6" s="5" t="inlineStr">
        <is>
          <t>納指 100 ETF</t>
        </is>
      </c>
      <c r="C6" s="7" t="n">
        <v>749.58</v>
      </c>
      <c r="D6" s="72" t="n">
        <v>0.01017</v>
      </c>
      <c r="E6" s="72" t="n">
        <v>0.00682</v>
      </c>
      <c r="F6" s="72" t="n">
        <v>0.05688</v>
      </c>
      <c r="G6" s="72" t="n">
        <v>0.03702</v>
      </c>
      <c r="H6" s="7" t="n">
        <v>739.5697</v>
      </c>
      <c r="I6" s="7" t="n">
        <v>731.1537</v>
      </c>
      <c r="J6" s="7" t="n">
        <v>724.6826</v>
      </c>
      <c r="K6" s="9">
        <f>C6/I6-1</f>
        <v/>
      </c>
      <c r="L6" s="9">
        <f>I6/J6-1</f>
        <v/>
      </c>
      <c r="M6" s="70">
        <f>IF(H6&gt;I6,"是","否")</f>
        <v/>
      </c>
      <c r="N6" s="72" t="n">
        <v>0</v>
      </c>
      <c r="O6" s="72" t="n">
        <v>0.34266</v>
      </c>
      <c r="P6" s="5" t="inlineStr">
        <is>
          <t>2026-10-02</t>
        </is>
      </c>
    </row>
    <row r="7">
      <c r="A7" s="68" t="inlineStr">
        <is>
          <t>DIA</t>
        </is>
      </c>
      <c r="B7" s="5" t="inlineStr">
        <is>
          <t>道指 ETF</t>
        </is>
      </c>
      <c r="C7" s="7" t="n">
        <v>511.1</v>
      </c>
      <c r="D7" s="72" t="n">
        <v>0.00488</v>
      </c>
      <c r="E7" s="72" t="n">
        <v>-0.01235</v>
      </c>
      <c r="F7" s="72" t="n">
        <v>-0.03679</v>
      </c>
      <c r="G7" s="72" t="n">
        <v>-0.03582</v>
      </c>
      <c r="H7" s="7" t="n">
        <v>513.0087</v>
      </c>
      <c r="I7" s="7" t="n">
        <v>517.8825000000001</v>
      </c>
      <c r="J7" s="7" t="n">
        <v>522.1741</v>
      </c>
      <c r="K7" s="9">
        <f>C7/I7-1</f>
        <v/>
      </c>
      <c r="L7" s="9">
        <f>I7/J7-1</f>
        <v/>
      </c>
      <c r="M7" s="70">
        <f>IF(H7&gt;I7,"是","否")</f>
        <v/>
      </c>
      <c r="N7" s="72" t="n">
        <v>-0.05842</v>
      </c>
      <c r="O7" s="72" t="n">
        <v>0.13228</v>
      </c>
      <c r="P7" s="5" t="inlineStr">
        <is>
          <t>2026-10-02</t>
        </is>
      </c>
    </row>
    <row r="8">
      <c r="A8" s="68" t="inlineStr">
        <is>
          <t>IWM</t>
        </is>
      </c>
      <c r="B8" s="5" t="inlineStr">
        <is>
          <t>羅素 2000 ETF</t>
        </is>
      </c>
      <c r="C8" s="7" t="n">
        <v>281.52</v>
      </c>
      <c r="D8" s="72" t="n">
        <v>0.008959999999999999</v>
      </c>
      <c r="E8" s="72" t="n">
        <v>-0.0016</v>
      </c>
      <c r="F8" s="72" t="n">
        <v>-0.04248</v>
      </c>
      <c r="G8" s="72" t="n">
        <v>-0.05815</v>
      </c>
      <c r="H8" s="7" t="n">
        <v>281.2622</v>
      </c>
      <c r="I8" s="7" t="n">
        <v>284.9561</v>
      </c>
      <c r="J8" s="7" t="n">
        <v>288.252</v>
      </c>
      <c r="K8" s="9">
        <f>C8/I8-1</f>
        <v/>
      </c>
      <c r="L8" s="9">
        <f>I8/J8-1</f>
        <v/>
      </c>
      <c r="M8" s="70">
        <f>IF(H8&gt;I8,"是","否")</f>
        <v/>
      </c>
      <c r="N8" s="72" t="n">
        <v>-0.07726</v>
      </c>
      <c r="O8" s="72" t="n">
        <v>0.17491</v>
      </c>
      <c r="P8" s="5" t="inlineStr">
        <is>
          <t>2026-10-02</t>
        </is>
      </c>
    </row>
    <row r="9">
      <c r="A9" s="68" t="inlineStr">
        <is>
          <t>MDY</t>
        </is>
      </c>
      <c r="B9" s="5" t="inlineStr">
        <is>
          <t>標普中型 400 ETF</t>
        </is>
      </c>
      <c r="C9" s="7" t="n">
        <v>669.66</v>
      </c>
      <c r="D9" s="72" t="n">
        <v>0.009469999999999999</v>
      </c>
      <c r="E9" s="72" t="n">
        <v>0.00569</v>
      </c>
      <c r="F9" s="72" t="n">
        <v>-0.02229</v>
      </c>
      <c r="G9" s="72" t="n">
        <v>-0.03876</v>
      </c>
      <c r="H9" s="7" t="n">
        <v>665.0309</v>
      </c>
      <c r="I9" s="7" t="n">
        <v>670.9724</v>
      </c>
      <c r="J9" s="7" t="n">
        <v>676.0718000000001</v>
      </c>
      <c r="K9" s="9">
        <f>C9/I9-1</f>
        <v/>
      </c>
      <c r="L9" s="9">
        <f>I9/J9-1</f>
        <v/>
      </c>
      <c r="M9" s="70">
        <f>IF(H9&gt;I9,"是","否")</f>
        <v/>
      </c>
      <c r="N9" s="72" t="n">
        <v>-0.06591</v>
      </c>
      <c r="O9" s="72" t="n">
        <v>0.11791</v>
      </c>
      <c r="P9" s="5" t="inlineStr">
        <is>
          <t>2026-10-02</t>
        </is>
      </c>
    </row>
    <row r="10">
      <c r="A10" s="68" t="inlineStr">
        <is>
          <t>RSP</t>
        </is>
      </c>
      <c r="B10" s="5" t="inlineStr">
        <is>
          <t>標普 500 等權 ETF</t>
        </is>
      </c>
      <c r="C10" s="7" t="n">
        <v>209.73</v>
      </c>
      <c r="D10" s="72" t="n">
        <v>0.00349</v>
      </c>
      <c r="E10" s="72" t="n">
        <v>-0.00654</v>
      </c>
      <c r="F10" s="72" t="n">
        <v>-0.04058</v>
      </c>
      <c r="G10" s="72" t="n">
        <v>-0.02451</v>
      </c>
      <c r="H10" s="7" t="n">
        <v>210.23</v>
      </c>
      <c r="I10" s="7" t="n">
        <v>212.4675</v>
      </c>
      <c r="J10" s="7" t="n">
        <v>214.4672</v>
      </c>
      <c r="K10" s="9">
        <f>C10/I10-1</f>
        <v/>
      </c>
      <c r="L10" s="9">
        <f>I10/J10-1</f>
        <v/>
      </c>
      <c r="M10" s="70">
        <f>IF(H10&gt;I10,"是","否")</f>
        <v/>
      </c>
      <c r="N10" s="72" t="n">
        <v>-0.05854</v>
      </c>
      <c r="O10" s="72" t="n">
        <v>0.11517</v>
      </c>
      <c r="P10" s="5" t="inlineStr">
        <is>
          <t>2026-10-02</t>
        </is>
      </c>
    </row>
    <row r="11">
      <c r="A11" s="68" t="inlineStr">
        <is>
          <t>^SOX</t>
        </is>
      </c>
      <c r="B11" s="5" t="inlineStr">
        <is>
          <t>費城半導體指數</t>
        </is>
      </c>
      <c r="C11" s="7" t="n">
        <v>13136.6748</v>
      </c>
      <c r="D11" s="72" t="n">
        <v>0.02398</v>
      </c>
      <c r="E11" s="72" t="n">
        <v>0.03692</v>
      </c>
      <c r="F11" s="72" t="n">
        <v>0.15851</v>
      </c>
      <c r="G11" s="72" t="n">
        <v>0.01834</v>
      </c>
      <c r="H11" s="7" t="n">
        <v>12623.7337</v>
      </c>
      <c r="I11" s="7" t="n">
        <v>12284.7532</v>
      </c>
      <c r="J11" s="7" t="n">
        <v>11990.0427</v>
      </c>
      <c r="K11" s="9">
        <f>C11/I11-1</f>
        <v/>
      </c>
      <c r="L11" s="9">
        <f>I11/J11-1</f>
        <v/>
      </c>
      <c r="M11" s="70">
        <f>IF(H11&gt;I11,"是","否")</f>
        <v/>
      </c>
      <c r="N11" s="72" t="n">
        <v>-0.10236</v>
      </c>
      <c r="O11" s="72" t="n">
        <v>0.85464</v>
      </c>
      <c r="P11" s="5" t="inlineStr">
        <is>
          <t>2026-10-02</t>
        </is>
      </c>
    </row>
    <row r="12">
      <c r="A12" s="68" t="inlineStr">
        <is>
          <t>^VIX</t>
        </is>
      </c>
      <c r="B12" s="5" t="inlineStr">
        <is>
          <t>VIX</t>
        </is>
      </c>
      <c r="C12" s="7" t="n">
        <v>15.31</v>
      </c>
      <c r="D12" s="72" t="n">
        <v>-0.06589</v>
      </c>
      <c r="E12" s="72" t="n">
        <v>0.02959</v>
      </c>
      <c r="F12" s="72" t="n">
        <v>0.06913</v>
      </c>
      <c r="G12" s="72" t="n">
        <v>-0.05084</v>
      </c>
      <c r="H12" s="7" t="n">
        <v>15.7692</v>
      </c>
      <c r="I12" s="7" t="n">
        <v>15.7366</v>
      </c>
      <c r="J12" s="7" t="n">
        <v>15.5724</v>
      </c>
      <c r="K12" s="9">
        <f>C12/I12-1</f>
        <v/>
      </c>
      <c r="L12" s="9">
        <f>I12/J12-1</f>
        <v/>
      </c>
      <c r="M12" s="70">
        <f>IF(H12&gt;I12,"是","否")</f>
        <v/>
      </c>
      <c r="N12" s="72" t="n">
        <v>-0.50692</v>
      </c>
      <c r="O12" s="72" t="n">
        <v>0.12574</v>
      </c>
      <c r="P12" s="5" t="inlineStr">
        <is>
          <t>2026-10-02</t>
        </is>
      </c>
    </row>
    <row r="13">
      <c r="A13" s="68" t="inlineStr">
        <is>
          <t>^TNX</t>
        </is>
      </c>
      <c r="B13" s="5" t="inlineStr">
        <is>
          <t>10 年美債息（%）</t>
        </is>
      </c>
      <c r="C13" s="7" t="n">
        <v>5.277</v>
      </c>
      <c r="D13" s="72" t="n">
        <v>0.00764</v>
      </c>
      <c r="E13" s="72" t="n">
        <v>0.01794</v>
      </c>
      <c r="F13" s="72" t="n">
        <v>0.10029</v>
      </c>
      <c r="G13" s="72" t="n">
        <v>0.17816</v>
      </c>
      <c r="H13" s="7" t="n">
        <v>5.1931</v>
      </c>
      <c r="I13" s="7" t="n">
        <v>5.063</v>
      </c>
      <c r="J13" s="7" t="n">
        <v>4.9419</v>
      </c>
      <c r="K13" s="9">
        <f>C13/I13-1</f>
        <v/>
      </c>
      <c r="L13" s="9">
        <f>I13/J13-1</f>
        <v/>
      </c>
      <c r="M13" s="70">
        <f>IF(H13&gt;I13,"是","否")</f>
        <v/>
      </c>
      <c r="N13" s="72" t="n">
        <v>-0.00302</v>
      </c>
      <c r="O13" s="72" t="n">
        <v>0.3319</v>
      </c>
      <c r="P13" s="5" t="inlineStr">
        <is>
          <t>2026-10-02</t>
        </is>
      </c>
    </row>
    <row r="14">
      <c r="A14" s="68" t="inlineStr">
        <is>
          <t>^IRX</t>
        </is>
      </c>
      <c r="B14" s="5" t="inlineStr">
        <is>
          <t>3 個月美債息（%）</t>
        </is>
      </c>
      <c r="C14" s="7" t="n">
        <v>3.993</v>
      </c>
      <c r="D14" s="72" t="n">
        <v>0.00276</v>
      </c>
      <c r="E14" s="72" t="n">
        <v>-0.01892</v>
      </c>
      <c r="F14" s="72" t="n">
        <v>0.05859</v>
      </c>
      <c r="G14" s="72" t="n">
        <v>0.08211</v>
      </c>
      <c r="H14" s="7" t="n">
        <v>4.0105</v>
      </c>
      <c r="I14" s="7" t="n">
        <v>3.9539</v>
      </c>
      <c r="J14" s="7" t="n">
        <v>3.9127</v>
      </c>
      <c r="K14" s="9">
        <f>C14/I14-1</f>
        <v/>
      </c>
      <c r="L14" s="9">
        <f>I14/J14-1</f>
        <v/>
      </c>
      <c r="M14" s="70">
        <f>IF(H14&gt;I14,"是","否")</f>
        <v/>
      </c>
      <c r="N14" s="72" t="n">
        <v>-0.01892</v>
      </c>
      <c r="O14" s="72" t="n">
        <v>0.13858</v>
      </c>
      <c r="P14" s="5" t="inlineStr">
        <is>
          <t>2026-10-02</t>
        </is>
      </c>
    </row>
    <row r="15">
      <c r="A15" s="68" t="inlineStr">
        <is>
          <t>^TYX</t>
        </is>
      </c>
      <c r="B15" s="5" t="inlineStr">
        <is>
          <t>30 年美債息（%）</t>
        </is>
      </c>
      <c r="C15" s="7" t="n">
        <v>5.63</v>
      </c>
      <c r="D15" s="72" t="n">
        <v>0.00482</v>
      </c>
      <c r="E15" s="72" t="n">
        <v>0.02289</v>
      </c>
      <c r="F15" s="72" t="n">
        <v>0.06892</v>
      </c>
      <c r="G15" s="72" t="n">
        <v>0.12758</v>
      </c>
      <c r="H15" s="7" t="n">
        <v>5.5372</v>
      </c>
      <c r="I15" s="7" t="n">
        <v>5.4351</v>
      </c>
      <c r="J15" s="7" t="n">
        <v>5.3295</v>
      </c>
      <c r="K15" s="9">
        <f>C15/I15-1</f>
        <v/>
      </c>
      <c r="L15" s="9">
        <f>I15/J15-1</f>
        <v/>
      </c>
      <c r="M15" s="70">
        <f>IF(H15&gt;I15,"是","否")</f>
        <v/>
      </c>
      <c r="N15" s="72" t="n">
        <v>-0.00142</v>
      </c>
      <c r="O15" s="72" t="n">
        <v>0.2152</v>
      </c>
      <c r="P15" s="5" t="inlineStr">
        <is>
          <t>2026-10-02</t>
        </is>
      </c>
    </row>
    <row r="16">
      <c r="A16" s="68" t="inlineStr">
        <is>
          <t>DX-Y.NYB</t>
        </is>
      </c>
      <c r="B16" s="5" t="inlineStr">
        <is>
          <t>美元指數</t>
        </is>
      </c>
      <c r="C16" s="7" t="n">
        <v>101.924</v>
      </c>
      <c r="D16" s="72" t="n">
        <v>-0.00172</v>
      </c>
      <c r="E16" s="72" t="n">
        <v>0.00945</v>
      </c>
      <c r="F16" s="72" t="n">
        <v>0.02374</v>
      </c>
      <c r="G16" s="72" t="n">
        <v>0.01065</v>
      </c>
      <c r="H16" s="7" t="n">
        <v>101.3271</v>
      </c>
      <c r="I16" s="7" t="n">
        <v>100.6796</v>
      </c>
      <c r="J16" s="7" t="n">
        <v>100.0872</v>
      </c>
      <c r="K16" s="9">
        <f>C16/I16-1</f>
        <v/>
      </c>
      <c r="L16" s="9">
        <f>I16/J16-1</f>
        <v/>
      </c>
      <c r="M16" s="70">
        <f>IF(H16&gt;I16,"是","否")</f>
        <v/>
      </c>
      <c r="N16" s="72" t="n">
        <v>-0.00172</v>
      </c>
      <c r="O16" s="72" t="n">
        <v>0.05928</v>
      </c>
      <c r="P16" s="5" t="inlineStr">
        <is>
          <t>2026-10-02</t>
        </is>
      </c>
    </row>
    <row r="17">
      <c r="A17" s="68" t="inlineStr">
        <is>
          <t>CL=F</t>
        </is>
      </c>
      <c r="B17" s="5" t="inlineStr">
        <is>
          <t>WTI 原油</t>
        </is>
      </c>
      <c r="C17" s="7" t="n">
        <v>91.26000000000001</v>
      </c>
      <c r="D17" s="72" t="n">
        <v>-0.01734</v>
      </c>
      <c r="E17" s="72" t="n">
        <v>-0.01244</v>
      </c>
      <c r="F17" s="72" t="n">
        <v>0.00275</v>
      </c>
      <c r="G17" s="72" t="n">
        <v>0.33129</v>
      </c>
      <c r="H17" s="7" t="n">
        <v>92.7388</v>
      </c>
      <c r="I17" s="7" t="n">
        <v>93.116</v>
      </c>
      <c r="J17" s="7" t="n">
        <v>94.2092</v>
      </c>
      <c r="K17" s="9">
        <f>C17/I17-1</f>
        <v/>
      </c>
      <c r="L17" s="9">
        <f>I17/J17-1</f>
        <v/>
      </c>
      <c r="M17" s="70">
        <f>IF(H17&gt;I17,"是","否")</f>
        <v/>
      </c>
      <c r="N17" s="72" t="n">
        <v>-0.19203</v>
      </c>
      <c r="O17" s="72" t="n">
        <v>0.62993</v>
      </c>
      <c r="P17" s="5" t="inlineStr">
        <is>
          <t>2026-10-02</t>
        </is>
      </c>
    </row>
    <row r="18">
      <c r="A18" s="68" t="inlineStr">
        <is>
          <t>BZ=F</t>
        </is>
      </c>
      <c r="B18" s="5" t="inlineStr">
        <is>
          <t>Brent 原油</t>
        </is>
      </c>
      <c r="C18" s="7" t="n">
        <v>102.7</v>
      </c>
      <c r="D18" s="72" t="n">
        <v>0.00381</v>
      </c>
      <c r="E18" s="72" t="n">
        <v>-0.01553</v>
      </c>
      <c r="F18" s="72" t="n">
        <v>0.07393</v>
      </c>
      <c r="G18" s="72" t="n">
        <v>0.42659</v>
      </c>
      <c r="H18" s="7" t="n">
        <v>103.1709</v>
      </c>
      <c r="I18" s="7" t="n">
        <v>101.532</v>
      </c>
      <c r="J18" s="7" t="n">
        <v>100.5245</v>
      </c>
      <c r="K18" s="9">
        <f>C18/I18-1</f>
        <v/>
      </c>
      <c r="L18" s="9">
        <f>I18/J18-1</f>
        <v/>
      </c>
      <c r="M18" s="70">
        <f>IF(H18&gt;I18,"是","否")</f>
        <v/>
      </c>
      <c r="N18" s="72" t="n">
        <v>-0.13223</v>
      </c>
      <c r="O18" s="72" t="n">
        <v>0.7128100000000001</v>
      </c>
      <c r="P18" s="5" t="inlineStr">
        <is>
          <t>2026-10-02</t>
        </is>
      </c>
    </row>
    <row r="19">
      <c r="A19" s="68" t="inlineStr">
        <is>
          <t>GC=F</t>
        </is>
      </c>
      <c r="B19" s="5" t="inlineStr">
        <is>
          <t>黃金</t>
        </is>
      </c>
      <c r="C19" s="7" t="n">
        <v>4172.1001</v>
      </c>
      <c r="D19" s="72" t="n">
        <v>-0.00719</v>
      </c>
      <c r="E19" s="72" t="n">
        <v>-0.0345</v>
      </c>
      <c r="F19" s="72" t="n">
        <v>-0.05493</v>
      </c>
      <c r="G19" s="72" t="n">
        <v>0.0011</v>
      </c>
      <c r="H19" s="7" t="n">
        <v>4240.0558</v>
      </c>
      <c r="I19" s="7" t="n">
        <v>4313.5277</v>
      </c>
      <c r="J19" s="7" t="n">
        <v>4393.6185</v>
      </c>
      <c r="K19" s="9">
        <f>C19/I19-1</f>
        <v/>
      </c>
      <c r="L19" s="9">
        <f>I19/J19-1</f>
        <v/>
      </c>
      <c r="M19" s="70">
        <f>IF(H19&gt;I19,"是","否")</f>
        <v/>
      </c>
      <c r="N19" s="72" t="n">
        <v>-0.21553</v>
      </c>
      <c r="O19" s="72" t="n">
        <v>0.04509</v>
      </c>
      <c r="P19" s="5" t="inlineStr">
        <is>
          <t>2026-10-02</t>
        </is>
      </c>
    </row>
    <row r="20">
      <c r="A20" s="68" t="inlineStr">
        <is>
          <t>SI=F</t>
        </is>
      </c>
      <c r="B20" s="5" t="inlineStr">
        <is>
          <t>白銀</t>
        </is>
      </c>
      <c r="C20" s="7" t="n">
        <v>60.71</v>
      </c>
      <c r="D20" s="72" t="n">
        <v>-0.00025</v>
      </c>
      <c r="E20" s="72" t="n">
        <v>-0.05502</v>
      </c>
      <c r="F20" s="72" t="n">
        <v>-0.062</v>
      </c>
      <c r="G20" s="72" t="n">
        <v>-0.01954</v>
      </c>
      <c r="H20" s="7" t="n">
        <v>62.004</v>
      </c>
      <c r="I20" s="7" t="n">
        <v>63.3902</v>
      </c>
      <c r="J20" s="7" t="n">
        <v>65.0522</v>
      </c>
      <c r="K20" s="9">
        <f>C20/I20-1</f>
        <v/>
      </c>
      <c r="L20" s="9">
        <f>I20/J20-1</f>
        <v/>
      </c>
      <c r="M20" s="70">
        <f>IF(H20&gt;I20,"是","否")</f>
        <v/>
      </c>
      <c r="N20" s="72" t="n">
        <v>-0.47245</v>
      </c>
      <c r="O20" s="72" t="n">
        <v>0.08609</v>
      </c>
      <c r="P20" s="5" t="inlineStr">
        <is>
          <t>2026-10-02</t>
        </is>
      </c>
    </row>
    <row r="21">
      <c r="A21" s="68" t="inlineStr">
        <is>
          <t>HG=F</t>
        </is>
      </c>
      <c r="B21" s="5" t="inlineStr">
        <is>
          <t>銅</t>
        </is>
      </c>
      <c r="C21" s="7" t="n">
        <v>6.579</v>
      </c>
      <c r="D21" s="72" t="n">
        <v>0.01496</v>
      </c>
      <c r="E21" s="72" t="n">
        <v>-0.0174</v>
      </c>
      <c r="F21" s="72" t="n">
        <v>0.012</v>
      </c>
      <c r="G21" s="72" t="n">
        <v>0.06491</v>
      </c>
      <c r="H21" s="7" t="n">
        <v>6.5786</v>
      </c>
      <c r="I21" s="7" t="n">
        <v>6.5792</v>
      </c>
      <c r="J21" s="7" t="n">
        <v>6.5999</v>
      </c>
      <c r="K21" s="9">
        <f>C21/I21-1</f>
        <v/>
      </c>
      <c r="L21" s="9">
        <f>I21/J21-1</f>
        <v/>
      </c>
      <c r="M21" s="70">
        <f>IF(H21&gt;I21,"是","否")</f>
        <v/>
      </c>
      <c r="N21" s="72" t="n">
        <v>-0.033</v>
      </c>
      <c r="O21" s="72" t="n">
        <v>0.23145</v>
      </c>
      <c r="P21" s="5" t="inlineStr">
        <is>
          <t>2026-10-02</t>
        </is>
      </c>
    </row>
    <row r="22">
      <c r="A22" s="68" t="inlineStr">
        <is>
          <t>NG=F</t>
        </is>
      </c>
      <c r="B22" s="5" t="inlineStr">
        <is>
          <t>天然氣</t>
        </is>
      </c>
      <c r="C22" s="7" t="n">
        <v>3.039</v>
      </c>
      <c r="D22" s="72" t="n">
        <v>0.02427</v>
      </c>
      <c r="E22" s="72" t="n">
        <v>-0.04912</v>
      </c>
      <c r="F22" s="72" t="n">
        <v>0.02808</v>
      </c>
      <c r="G22" s="72" t="n">
        <v>-0.06347999999999999</v>
      </c>
      <c r="H22" s="7" t="n">
        <v>3.0192</v>
      </c>
      <c r="I22" s="7" t="n">
        <v>2.974</v>
      </c>
      <c r="J22" s="7" t="n">
        <v>2.9524</v>
      </c>
      <c r="K22" s="9">
        <f>C22/I22-1</f>
        <v/>
      </c>
      <c r="L22" s="9">
        <f>I22/J22-1</f>
        <v/>
      </c>
      <c r="M22" s="70">
        <f>IF(H22&gt;I22,"是","否")</f>
        <v/>
      </c>
      <c r="N22" s="72" t="n">
        <v>-0.59263</v>
      </c>
      <c r="O22" s="72" t="n">
        <v>0.20452</v>
      </c>
      <c r="P22" s="5" t="inlineStr">
        <is>
          <t>2026-10-02</t>
        </is>
      </c>
    </row>
    <row r="23">
      <c r="A23" s="68" t="inlineStr">
        <is>
          <t>XLK</t>
        </is>
      </c>
      <c r="B23" s="5" t="inlineStr">
        <is>
          <t>科技</t>
        </is>
      </c>
      <c r="C23" s="7" t="n">
        <v>199.81</v>
      </c>
      <c r="D23" s="72" t="n">
        <v>0.01011</v>
      </c>
      <c r="E23" s="72" t="n">
        <v>0.01804</v>
      </c>
      <c r="F23" s="72" t="n">
        <v>0.08828999999999999</v>
      </c>
      <c r="G23" s="72" t="n">
        <v>0.08846999999999999</v>
      </c>
      <c r="H23" s="7" t="n">
        <v>195.6297</v>
      </c>
      <c r="I23" s="7" t="n">
        <v>192.2058</v>
      </c>
      <c r="J23" s="7" t="n">
        <v>189.4329</v>
      </c>
      <c r="K23" s="9">
        <f>C23/I23-1</f>
        <v/>
      </c>
      <c r="L23" s="9">
        <f>I23/J23-1</f>
        <v/>
      </c>
      <c r="M23" s="70">
        <f>IF(H23&gt;I23,"是","否")</f>
        <v/>
      </c>
      <c r="N23" s="72" t="n">
        <v>0</v>
      </c>
      <c r="O23" s="72" t="n">
        <v>0.56714</v>
      </c>
      <c r="P23" s="5" t="inlineStr">
        <is>
          <t>2026-10-02</t>
        </is>
      </c>
    </row>
    <row r="24">
      <c r="A24" s="68" t="inlineStr">
        <is>
          <t>XLC</t>
        </is>
      </c>
      <c r="B24" s="5" t="inlineStr">
        <is>
          <t>通訊服務</t>
        </is>
      </c>
      <c r="C24" s="7" t="n">
        <v>110.32</v>
      </c>
      <c r="D24" s="72" t="n">
        <v>0.00346</v>
      </c>
      <c r="E24" s="72" t="n">
        <v>-0.02337</v>
      </c>
      <c r="F24" s="72" t="n">
        <v>-0.01868</v>
      </c>
      <c r="G24" s="72" t="n">
        <v>0.001</v>
      </c>
      <c r="H24" s="7" t="n">
        <v>111.4369</v>
      </c>
      <c r="I24" s="7" t="n">
        <v>111.9154</v>
      </c>
      <c r="J24" s="7" t="n">
        <v>112.6488</v>
      </c>
      <c r="K24" s="9">
        <f>C24/I24-1</f>
        <v/>
      </c>
      <c r="L24" s="9">
        <f>I24/J24-1</f>
        <v/>
      </c>
      <c r="M24" s="70">
        <f>IF(H24&gt;I24,"是","否")</f>
        <v/>
      </c>
      <c r="N24" s="72" t="n">
        <v>-0.08128000000000001</v>
      </c>
      <c r="O24" s="72" t="n">
        <v>0.04688</v>
      </c>
      <c r="P24" s="5" t="inlineStr">
        <is>
          <t>2026-10-02</t>
        </is>
      </c>
    </row>
    <row r="25">
      <c r="A25" s="68" t="inlineStr">
        <is>
          <t>XLY</t>
        </is>
      </c>
      <c r="B25" s="5" t="inlineStr">
        <is>
          <t>非必需消費</t>
        </is>
      </c>
      <c r="C25" s="7" t="n">
        <v>110.04</v>
      </c>
      <c r="D25" s="72" t="n">
        <v>0.0113</v>
      </c>
      <c r="E25" s="72" t="n">
        <v>-0.0047</v>
      </c>
      <c r="F25" s="72" t="n">
        <v>-0.04196</v>
      </c>
      <c r="G25" s="72" t="n">
        <v>-0.06754</v>
      </c>
      <c r="H25" s="7" t="n">
        <v>109.9464</v>
      </c>
      <c r="I25" s="7" t="n">
        <v>111.4118</v>
      </c>
      <c r="J25" s="7" t="n">
        <v>112.7601</v>
      </c>
      <c r="K25" s="9">
        <f>C25/I25-1</f>
        <v/>
      </c>
      <c r="L25" s="9">
        <f>I25/J25-1</f>
        <v/>
      </c>
      <c r="M25" s="70">
        <f>IF(H25&gt;I25,"是","否")</f>
        <v/>
      </c>
      <c r="N25" s="72" t="n">
        <v>-0.11629</v>
      </c>
      <c r="O25" s="72" t="n">
        <v>0.04145</v>
      </c>
      <c r="P25" s="5" t="inlineStr">
        <is>
          <t>2026-10-02</t>
        </is>
      </c>
    </row>
    <row r="26">
      <c r="A26" s="68" t="inlineStr">
        <is>
          <t>XLF</t>
        </is>
      </c>
      <c r="B26" s="5" t="inlineStr">
        <is>
          <t>金融</t>
        </is>
      </c>
      <c r="C26" s="7" t="n">
        <v>53.49</v>
      </c>
      <c r="D26" s="72" t="n">
        <v>0.00056</v>
      </c>
      <c r="E26" s="72" t="n">
        <v>-0.02462</v>
      </c>
      <c r="F26" s="72" t="n">
        <v>-0.07232</v>
      </c>
      <c r="G26" s="72" t="n">
        <v>-0.0472</v>
      </c>
      <c r="H26" s="7" t="n">
        <v>54.213</v>
      </c>
      <c r="I26" s="7" t="n">
        <v>55.256</v>
      </c>
      <c r="J26" s="7" t="n">
        <v>56.2219</v>
      </c>
      <c r="K26" s="9">
        <f>C26/I26-1</f>
        <v/>
      </c>
      <c r="L26" s="9">
        <f>I26/J26-1</f>
        <v/>
      </c>
      <c r="M26" s="70">
        <f>IF(H26&gt;I26,"是","否")</f>
        <v/>
      </c>
      <c r="N26" s="72" t="n">
        <v>-0.08658</v>
      </c>
      <c r="O26" s="72" t="n">
        <v>0.1188</v>
      </c>
      <c r="P26" s="5" t="inlineStr">
        <is>
          <t>2026-10-02</t>
        </is>
      </c>
    </row>
    <row r="27">
      <c r="A27" s="68" t="inlineStr">
        <is>
          <t>XLI</t>
        </is>
      </c>
      <c r="B27" s="5" t="inlineStr">
        <is>
          <t>工業</t>
        </is>
      </c>
      <c r="C27" s="7" t="n">
        <v>169.95</v>
      </c>
      <c r="D27" s="72" t="n">
        <v>0.00777</v>
      </c>
      <c r="E27" s="72" t="n">
        <v>-0.00282</v>
      </c>
      <c r="F27" s="72" t="n">
        <v>-0.01638</v>
      </c>
      <c r="G27" s="72" t="n">
        <v>-0.08412</v>
      </c>
      <c r="H27" s="7" t="n">
        <v>169.2547</v>
      </c>
      <c r="I27" s="7" t="n">
        <v>170.9644</v>
      </c>
      <c r="J27" s="7" t="n">
        <v>172.3247</v>
      </c>
      <c r="K27" s="9">
        <f>C27/I27-1</f>
        <v/>
      </c>
      <c r="L27" s="9">
        <f>I27/J27-1</f>
        <v/>
      </c>
      <c r="M27" s="70">
        <f>IF(H27&gt;I27,"是","否")</f>
        <v/>
      </c>
      <c r="N27" s="72" t="n">
        <v>-0.08878999999999999</v>
      </c>
      <c r="O27" s="72" t="n">
        <v>0.0956</v>
      </c>
      <c r="P27" s="5" t="inlineStr">
        <is>
          <t>2026-10-02</t>
        </is>
      </c>
    </row>
    <row r="28">
      <c r="A28" s="68" t="inlineStr">
        <is>
          <t>XLV</t>
        </is>
      </c>
      <c r="B28" s="5" t="inlineStr">
        <is>
          <t>醫療保健</t>
        </is>
      </c>
      <c r="C28" s="7" t="n">
        <v>166.18</v>
      </c>
      <c r="D28" s="72" t="n">
        <v>-0.00012</v>
      </c>
      <c r="E28" s="72" t="n">
        <v>-0.02648</v>
      </c>
      <c r="F28" s="72" t="n">
        <v>-0.03914</v>
      </c>
      <c r="G28" s="72" t="n">
        <v>0.02606</v>
      </c>
      <c r="H28" s="7" t="n">
        <v>168.3783</v>
      </c>
      <c r="I28" s="7" t="n">
        <v>168.7938</v>
      </c>
      <c r="J28" s="7" t="n">
        <v>169.1074</v>
      </c>
      <c r="K28" s="9">
        <f>C28/I28-1</f>
        <v/>
      </c>
      <c r="L28" s="9">
        <f>I28/J28-1</f>
        <v/>
      </c>
      <c r="M28" s="70">
        <f>IF(H28&gt;I28,"是","否")</f>
        <v/>
      </c>
      <c r="N28" s="72" t="n">
        <v>-0.05408</v>
      </c>
      <c r="O28" s="72" t="n">
        <v>0.1634</v>
      </c>
      <c r="P28" s="5" t="inlineStr">
        <is>
          <t>2026-10-02</t>
        </is>
      </c>
    </row>
    <row r="29">
      <c r="A29" s="68" t="inlineStr">
        <is>
          <t>XLE</t>
        </is>
      </c>
      <c r="B29" s="5" t="inlineStr">
        <is>
          <t>能源</t>
        </is>
      </c>
      <c r="C29" s="7" t="n">
        <v>62.82</v>
      </c>
      <c r="D29" s="72" t="n">
        <v>0.00191</v>
      </c>
      <c r="E29" s="72" t="n">
        <v>0.01257</v>
      </c>
      <c r="F29" s="72" t="n">
        <v>-0.03502</v>
      </c>
      <c r="G29" s="72" t="n">
        <v>0.18238</v>
      </c>
      <c r="H29" s="7" t="n">
        <v>62.5031</v>
      </c>
      <c r="I29" s="7" t="n">
        <v>62.8355</v>
      </c>
      <c r="J29" s="7" t="n">
        <v>63.2335</v>
      </c>
      <c r="K29" s="9">
        <f>C29/I29-1</f>
        <v/>
      </c>
      <c r="L29" s="9">
        <f>I29/J29-1</f>
        <v/>
      </c>
      <c r="M29" s="70">
        <f>IF(H29&gt;I29,"是","否")</f>
        <v/>
      </c>
      <c r="N29" s="72" t="n">
        <v>-0.04717</v>
      </c>
      <c r="O29" s="72" t="n">
        <v>0.42127</v>
      </c>
      <c r="P29" s="5" t="inlineStr">
        <is>
          <t>2026-10-02</t>
        </is>
      </c>
    </row>
    <row r="30">
      <c r="A30" s="68" t="inlineStr">
        <is>
          <t>XLB</t>
        </is>
      </c>
      <c r="B30" s="5" t="inlineStr">
        <is>
          <t>原材料</t>
        </is>
      </c>
      <c r="C30" s="7" t="n">
        <v>48.86</v>
      </c>
      <c r="D30" s="72" t="n">
        <v>0.00659</v>
      </c>
      <c r="E30" s="72" t="n">
        <v>-0.01888</v>
      </c>
      <c r="F30" s="72" t="n">
        <v>-0.07724</v>
      </c>
      <c r="G30" s="72" t="n">
        <v>-0.06002</v>
      </c>
      <c r="H30" s="7" t="n">
        <v>49.3213</v>
      </c>
      <c r="I30" s="7" t="n">
        <v>50.1645</v>
      </c>
      <c r="J30" s="7" t="n">
        <v>50.9355</v>
      </c>
      <c r="K30" s="9">
        <f>C30/I30-1</f>
        <v/>
      </c>
      <c r="L30" s="9">
        <f>I30/J30-1</f>
        <v/>
      </c>
      <c r="M30" s="70">
        <f>IF(H30&gt;I30,"是","否")</f>
        <v/>
      </c>
      <c r="N30" s="72" t="n">
        <v>-0.08962000000000001</v>
      </c>
      <c r="O30" s="72" t="n">
        <v>0.0774</v>
      </c>
      <c r="P30" s="5" t="inlineStr">
        <is>
          <t>2026-10-02</t>
        </is>
      </c>
    </row>
    <row r="31">
      <c r="A31" s="68" t="inlineStr">
        <is>
          <t>XLP</t>
        </is>
      </c>
      <c r="B31" s="5" t="inlineStr">
        <is>
          <t>必需消費</t>
        </is>
      </c>
      <c r="C31" s="7" t="n">
        <v>80.53</v>
      </c>
      <c r="D31" s="72" t="n">
        <v>0.00249</v>
      </c>
      <c r="E31" s="72" t="n">
        <v>-0.01864</v>
      </c>
      <c r="F31" s="72" t="n">
        <v>-0.05846</v>
      </c>
      <c r="G31" s="72" t="n">
        <v>-0.04245</v>
      </c>
      <c r="H31" s="7" t="n">
        <v>81.47280000000001</v>
      </c>
      <c r="I31" s="7" t="n">
        <v>82.5466</v>
      </c>
      <c r="J31" s="7" t="n">
        <v>83.4757</v>
      </c>
      <c r="K31" s="9">
        <f>C31/I31-1</f>
        <v/>
      </c>
      <c r="L31" s="9">
        <f>I31/J31-1</f>
        <v/>
      </c>
      <c r="M31" s="70">
        <f>IF(H31&gt;I31,"是","否")</f>
        <v/>
      </c>
      <c r="N31" s="72" t="n">
        <v>-0.10532</v>
      </c>
      <c r="O31" s="72" t="n">
        <v>0.05103</v>
      </c>
      <c r="P31" s="5" t="inlineStr">
        <is>
          <t>2026-10-02</t>
        </is>
      </c>
    </row>
    <row r="32">
      <c r="A32" s="68" t="inlineStr">
        <is>
          <t>XLU</t>
        </is>
      </c>
      <c r="B32" s="5" t="inlineStr">
        <is>
          <t>公用事業</t>
        </is>
      </c>
      <c r="C32" s="7" t="n">
        <v>39.83</v>
      </c>
      <c r="D32" s="72" t="n">
        <v>0.00378</v>
      </c>
      <c r="E32" s="72" t="n">
        <v>0.0081</v>
      </c>
      <c r="F32" s="72" t="n">
        <v>-0.06655999999999999</v>
      </c>
      <c r="G32" s="72" t="n">
        <v>-0.12075</v>
      </c>
      <c r="H32" s="7" t="n">
        <v>39.9123</v>
      </c>
      <c r="I32" s="7" t="n">
        <v>40.7977</v>
      </c>
      <c r="J32" s="7" t="n">
        <v>41.5269</v>
      </c>
      <c r="K32" s="9">
        <f>C32/I32-1</f>
        <v/>
      </c>
      <c r="L32" s="9">
        <f>I32/J32-1</f>
        <v/>
      </c>
      <c r="M32" s="70">
        <f>IF(H32&gt;I32,"是","否")</f>
        <v/>
      </c>
      <c r="N32" s="72" t="n">
        <v>-0.16551</v>
      </c>
      <c r="O32" s="72" t="n">
        <v>0.01478</v>
      </c>
      <c r="P32" s="5" t="inlineStr">
        <is>
          <t>2026-10-02</t>
        </is>
      </c>
    </row>
    <row r="33">
      <c r="A33" s="68" t="inlineStr">
        <is>
          <t>XLRE</t>
        </is>
      </c>
      <c r="B33" s="5" t="inlineStr">
        <is>
          <t>房地產</t>
        </is>
      </c>
      <c r="C33" s="7" t="n">
        <v>40.81</v>
      </c>
      <c r="D33" s="72" t="n">
        <v>0.0032</v>
      </c>
      <c r="E33" s="72" t="n">
        <v>-0.01805</v>
      </c>
      <c r="F33" s="72" t="n">
        <v>-0.06677</v>
      </c>
      <c r="G33" s="72" t="n">
        <v>-0.07857</v>
      </c>
      <c r="H33" s="7" t="n">
        <v>41.3917</v>
      </c>
      <c r="I33" s="7" t="n">
        <v>42.2682</v>
      </c>
      <c r="J33" s="7" t="n">
        <v>43.0513</v>
      </c>
      <c r="K33" s="9">
        <f>C33/I33-1</f>
        <v/>
      </c>
      <c r="L33" s="9">
        <f>I33/J33-1</f>
        <v/>
      </c>
      <c r="M33" s="70">
        <f>IF(H33&gt;I33,"是","否")</f>
        <v/>
      </c>
      <c r="N33" s="72" t="n">
        <v>-0.11302</v>
      </c>
      <c r="O33" s="72" t="n">
        <v>0.02</v>
      </c>
      <c r="P33" s="5" t="inlineStr">
        <is>
          <t>2026-10-02</t>
        </is>
      </c>
    </row>
    <row r="34">
      <c r="A34" s="66" t="inlineStr">
        <is>
          <t>Yahoo 日線（data/yahoo/macro_daily_2025-12-26_2026-10-04.csv.gz），2026-10-02 或之前最後一個收市；期內＝2025-12-26 起。美債息係收益率（%），其百分比變動只係參考。</t>
        </is>
      </c>
    </row>
    <row r="36">
      <c r="A36" s="71" t="inlineStr">
        <is>
          <t>大市闊度（合資格股票池）</t>
        </is>
      </c>
    </row>
    <row r="37" ht="30" customHeight="1">
      <c r="A37" s="4" t="inlineStr">
        <is>
          <t>日期</t>
        </is>
      </c>
      <c r="B37" s="4" t="inlineStr">
        <is>
          <t>股票數</t>
        </is>
      </c>
      <c r="C37" s="4" t="inlineStr">
        <is>
          <t>當日中位數%</t>
        </is>
      </c>
      <c r="D37" s="4" t="inlineStr">
        <is>
          <t>上升比例</t>
        </is>
      </c>
      <c r="E37" s="4" t="inlineStr">
        <is>
          <t>企喺 EMA21 上</t>
        </is>
      </c>
      <c r="F37" s="4" t="inlineStr">
        <is>
          <t>EMA9 &gt; EMA21</t>
        </is>
      </c>
      <c r="G37" s="4" t="inlineStr">
        <is>
          <t>EMA21 向上</t>
        </is>
      </c>
      <c r="H37" s="4" t="inlineStr">
        <is>
          <t>20 日新高</t>
        </is>
      </c>
      <c r="I37" s="4" t="inlineStr">
        <is>
          <t>20 日新低</t>
        </is>
      </c>
      <c r="J37" s="4" t="inlineStr">
        <is>
          <t>新高−新低</t>
        </is>
      </c>
    </row>
    <row r="38">
      <c r="A38" s="5" t="inlineStr">
        <is>
          <t>2026-09-21</t>
        </is>
      </c>
      <c r="B38" s="10" t="n">
        <v>2792</v>
      </c>
      <c r="C38" s="72" t="n">
        <v>0.00243</v>
      </c>
      <c r="D38" s="12" t="n">
        <v>0.5612</v>
      </c>
      <c r="E38" s="12" t="n">
        <v>0.288</v>
      </c>
      <c r="F38" s="12" t="n">
        <v>0.2672</v>
      </c>
      <c r="G38" s="12" t="n">
        <v>0.288</v>
      </c>
      <c r="H38" s="10" t="n">
        <v>198</v>
      </c>
      <c r="I38" s="10" t="n">
        <v>529</v>
      </c>
      <c r="J38" s="73">
        <f>H38-I38</f>
        <v/>
      </c>
    </row>
    <row r="39">
      <c r="A39" s="5" t="inlineStr">
        <is>
          <t>2026-09-22</t>
        </is>
      </c>
      <c r="B39" s="10" t="n">
        <v>2792</v>
      </c>
      <c r="C39" s="72" t="n">
        <v>0.00302</v>
      </c>
      <c r="D39" s="12" t="n">
        <v>0.5602</v>
      </c>
      <c r="E39" s="12" t="n">
        <v>0.3345</v>
      </c>
      <c r="F39" s="12" t="n">
        <v>0.2715</v>
      </c>
      <c r="G39" s="12" t="n">
        <v>0.3345</v>
      </c>
      <c r="H39" s="10" t="n">
        <v>268</v>
      </c>
      <c r="I39" s="10" t="n">
        <v>551</v>
      </c>
      <c r="J39" s="73">
        <f>H39-I39</f>
        <v/>
      </c>
    </row>
    <row r="40">
      <c r="A40" s="5" t="inlineStr">
        <is>
          <t>2026-09-23</t>
        </is>
      </c>
      <c r="B40" s="10" t="n">
        <v>2792</v>
      </c>
      <c r="C40" s="72" t="n">
        <v>-0.013</v>
      </c>
      <c r="D40" s="12" t="n">
        <v>0.216</v>
      </c>
      <c r="E40" s="12" t="n">
        <v>0.2572</v>
      </c>
      <c r="F40" s="12" t="n">
        <v>0.255</v>
      </c>
      <c r="G40" s="12" t="n">
        <v>0.2572</v>
      </c>
      <c r="H40" s="10" t="n">
        <v>115</v>
      </c>
      <c r="I40" s="10" t="n">
        <v>966</v>
      </c>
      <c r="J40" s="73">
        <f>H40-I40</f>
        <v/>
      </c>
    </row>
    <row r="41">
      <c r="A41" s="5" t="inlineStr">
        <is>
          <t>2026-09-24</t>
        </is>
      </c>
      <c r="B41" s="10" t="n">
        <v>2792</v>
      </c>
      <c r="C41" s="72" t="n">
        <v>-0.00229</v>
      </c>
      <c r="D41" s="12" t="n">
        <v>0.4395</v>
      </c>
      <c r="E41" s="12" t="n">
        <v>0.2625</v>
      </c>
      <c r="F41" s="12" t="n">
        <v>0.2486</v>
      </c>
      <c r="G41" s="12" t="n">
        <v>0.2625</v>
      </c>
      <c r="H41" s="10" t="n">
        <v>162</v>
      </c>
      <c r="I41" s="10" t="n">
        <v>791</v>
      </c>
      <c r="J41" s="73">
        <f>H41-I41</f>
        <v/>
      </c>
    </row>
    <row r="42">
      <c r="A42" s="5" t="inlineStr">
        <is>
          <t>2026-09-25</t>
        </is>
      </c>
      <c r="B42" s="10" t="n">
        <v>2792</v>
      </c>
      <c r="C42" s="72" t="n">
        <v>0.00251</v>
      </c>
      <c r="D42" s="12" t="n">
        <v>0.5669999999999999</v>
      </c>
      <c r="E42" s="12" t="n">
        <v>0.2826</v>
      </c>
      <c r="F42" s="12" t="n">
        <v>0.2496</v>
      </c>
      <c r="G42" s="12" t="n">
        <v>0.2826</v>
      </c>
      <c r="H42" s="10" t="n">
        <v>188</v>
      </c>
      <c r="I42" s="10" t="n">
        <v>510</v>
      </c>
      <c r="J42" s="73">
        <f>H42-I42</f>
        <v/>
      </c>
    </row>
    <row r="43">
      <c r="A43" s="5" t="inlineStr">
        <is>
          <t>2026-09-28</t>
        </is>
      </c>
      <c r="B43" s="10" t="n">
        <v>2792</v>
      </c>
      <c r="C43" s="72" t="n">
        <v>-0.00709</v>
      </c>
      <c r="D43" s="12" t="n">
        <v>0.3066</v>
      </c>
      <c r="E43" s="12" t="n">
        <v>0.2547</v>
      </c>
      <c r="F43" s="12" t="n">
        <v>0.2507</v>
      </c>
      <c r="G43" s="12" t="n">
        <v>0.2547</v>
      </c>
      <c r="H43" s="10" t="n">
        <v>144</v>
      </c>
      <c r="I43" s="10" t="n">
        <v>777</v>
      </c>
      <c r="J43" s="73">
        <f>H43-I43</f>
        <v/>
      </c>
    </row>
    <row r="44">
      <c r="A44" s="5" t="inlineStr">
        <is>
          <t>2026-09-29</t>
        </is>
      </c>
      <c r="B44" s="10" t="n">
        <v>2792</v>
      </c>
      <c r="C44" s="72" t="n">
        <v>-0.00327</v>
      </c>
      <c r="D44" s="12" t="n">
        <v>0.3929</v>
      </c>
      <c r="E44" s="12" t="n">
        <v>0.2436</v>
      </c>
      <c r="F44" s="12" t="n">
        <v>0.2439</v>
      </c>
      <c r="G44" s="12" t="n">
        <v>0.2436</v>
      </c>
      <c r="H44" s="10" t="n">
        <v>141</v>
      </c>
      <c r="I44" s="10" t="n">
        <v>765</v>
      </c>
      <c r="J44" s="73">
        <f>H44-I44</f>
        <v/>
      </c>
    </row>
    <row r="45">
      <c r="A45" s="5" t="inlineStr">
        <is>
          <t>2026-09-30</t>
        </is>
      </c>
      <c r="B45" s="10" t="n">
        <v>2792</v>
      </c>
      <c r="C45" s="72" t="n">
        <v>-0.00624</v>
      </c>
      <c r="D45" s="12" t="n">
        <v>0.3166</v>
      </c>
      <c r="E45" s="12" t="n">
        <v>0.226</v>
      </c>
      <c r="F45" s="12" t="n">
        <v>0.2346</v>
      </c>
      <c r="G45" s="12" t="n">
        <v>0.226</v>
      </c>
      <c r="H45" s="10" t="n">
        <v>105</v>
      </c>
      <c r="I45" s="10" t="n">
        <v>944</v>
      </c>
      <c r="J45" s="73">
        <f>H45-I45</f>
        <v/>
      </c>
    </row>
    <row r="46">
      <c r="A46" s="5" t="inlineStr">
        <is>
          <t>2026-10-01</t>
        </is>
      </c>
      <c r="B46" s="10" t="n">
        <v>2792</v>
      </c>
      <c r="C46" s="72" t="n">
        <v>0.00399</v>
      </c>
      <c r="D46" s="12" t="n">
        <v>0.592</v>
      </c>
      <c r="E46" s="12" t="n">
        <v>0.2615</v>
      </c>
      <c r="F46" s="12" t="n">
        <v>0.24</v>
      </c>
      <c r="G46" s="12" t="n">
        <v>0.2615</v>
      </c>
      <c r="H46" s="10" t="n">
        <v>200</v>
      </c>
      <c r="I46" s="10" t="n">
        <v>570</v>
      </c>
      <c r="J46" s="73">
        <f>H46-I46</f>
        <v/>
      </c>
    </row>
    <row r="47">
      <c r="A47" s="5" t="inlineStr">
        <is>
          <t>2026-10-02</t>
        </is>
      </c>
      <c r="B47" s="10" t="n">
        <v>2792</v>
      </c>
      <c r="C47" s="72" t="n">
        <v>0.00561</v>
      </c>
      <c r="D47" s="12" t="n">
        <v>0.6297</v>
      </c>
      <c r="E47" s="12" t="n">
        <v>0.3209</v>
      </c>
      <c r="F47" s="12" t="n">
        <v>0.2518</v>
      </c>
      <c r="G47" s="12" t="n">
        <v>0.3209</v>
      </c>
      <c r="H47" s="10" t="n">
        <v>273</v>
      </c>
      <c r="I47" s="10" t="n">
        <v>383</v>
      </c>
      <c r="J47" s="73">
        <f>H47-I47</f>
        <v/>
      </c>
    </row>
    <row r="48">
      <c r="A48" s="66" t="inlineStr">
        <is>
          <t>合資格股票池（同篩選規則頁嘅股票池）每日：收市對收市中位數、上升比例、企喺 EMA21 上／EMA9&gt;EMA21／EMA21 向上嘅比例、收市創 20 日新高／新低嘅數目。</t>
        </is>
      </c>
    </row>
    <row r="50">
      <c r="A50" s="71" t="inlineStr">
        <is>
          <t>近三日大市</t>
        </is>
      </c>
    </row>
    <row r="51" ht="30" customHeight="1">
      <c r="A51" s="69" t="inlineStr">
        <is>
          <t>09-30（三）</t>
        </is>
      </c>
      <c r="B51" s="3" t="inlineStr">
        <is>
          <t>標普 −0.3% 至 7,651.54、道指 −0.9%、納指 +0.2%、羅素 2000 −0.4%；大部分股票下跌，第二季 GDP 上修令債息企硬。（AP）</t>
        </is>
      </c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5" t="n"/>
    </row>
    <row r="52" ht="30" customHeight="1">
      <c r="A52" s="69" t="inlineStr">
        <is>
          <t>10-01（四）</t>
        </is>
      </c>
      <c r="B52" s="3" t="inlineStr">
        <is>
          <t>標普 +0.19% 至 7,666.45、納指 +0.04%、道指 +0.04%；尾段債息由廿多年高位回落、晶片股（Micron 業績）帶動反彈收升。（CNBC、Yahoo Finance、TheStreet）</t>
        </is>
      </c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5" t="n"/>
    </row>
    <row r="53" ht="45" customHeight="1">
      <c r="A53" s="69" t="inlineStr">
        <is>
          <t>10-02（五）</t>
        </is>
      </c>
      <c r="B53" s="3" t="inlineStr">
        <is>
          <t>9 月非農只加 2.9 萬（預期 8.4 萬）、失業率升至 4.2%、7／8 月合共下修 6 萬 → 市場視為「10 月加息嘅棺材釘」；10 年息回落至 5.28%、VIX 跌至 15.3、WTI 收 $91.26（−1.7%，日內曾跌 3% 以上，Brent 一度跌返 $100 以下）；SPY +0.7% 至 769.64、QQQ +1.0% 至 749.58、IWM +0.9%；NVDA 市值破 $5.7 萬億創新高。（CNBC、Yahoo Finance、TheStreet、Schwab）</t>
        </is>
      </c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5" t="n"/>
    </row>
    <row r="55">
      <c r="A55" s="71" t="inlineStr">
        <is>
          <t>宏觀領先指標（息口・債息・油價・美元・波動率）</t>
        </is>
      </c>
    </row>
    <row r="56" ht="30" customHeight="1">
      <c r="A56" s="69" t="inlineStr">
        <is>
          <t>息口（最重要嘅領先指標）</t>
        </is>
      </c>
      <c r="B56" s="3" t="inlineStr">
        <is>
          <t>聯儲 09-16 加息至 3.75%–4.00%；主席 Warsh 09-25 重申「通脹太高太耐」。10-02 就業數據轉弱後，市場由「10 月加息機率約 70%」急轉為預期按兵不動（分析員：「10 月加息嘅棺材釘」）；年底前仍有一次加息嘅定價。聯儲 10-28 會議係下一個轉捩點。（Bloomberg、Forbes、Schwab、CNBC）</t>
        </is>
      </c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5" t="n"/>
    </row>
    <row r="57" ht="30" customHeight="1">
      <c r="A57" s="69" t="inlineStr">
        <is>
          <t>長債息</t>
        </is>
      </c>
      <c r="B57" s="3" t="inlineStr">
        <is>
          <t>10 年期美債息 10-01 升至 5.33%（2002 年 4 月以來最高）後，10-02 跟就業數據回落至約 5.28%；30 年期約 5.63%。仍然係 5% 樓上 = 估值壓力同小型股／高負債股嘅主要壓力源，但方向由「升」轉「頂部反覆」。</t>
        </is>
      </c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5" t="n"/>
    </row>
    <row r="58" ht="30" customHeight="1">
      <c r="A58" s="69" t="inlineStr">
        <is>
          <t>油價／地緣</t>
        </is>
      </c>
      <c r="B58" s="3" t="inlineStr">
        <is>
          <t>WTI 10-02 收 $91.26（−1.7%；日內一度跌 3% 以上、Brent 跌返 $100 以下，傳出柴油儲備釋放談判）。美伊衝突、荷莫茲海峽航運反覆仍在；油價若守唔住 $90 會再減通脹壓力，係最重要嘅領先指標之一。</t>
        </is>
      </c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5" t="n"/>
    </row>
    <row r="59" ht="30" customHeight="1">
      <c r="A59" s="69" t="inlineStr">
        <is>
          <t>美元</t>
        </is>
      </c>
      <c r="B59" s="3" t="inlineStr">
        <is>
          <t>美元指數 10-02 收 101.9（−0.2%，仍近期內高位），跟美息回落；對海外收入比重高嘅大型科技股嘅逆風略減。</t>
        </is>
      </c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5" t="n"/>
    </row>
    <row r="60" ht="30" customHeight="1">
      <c r="A60" s="69" t="inlineStr">
        <is>
          <t>波動率</t>
        </is>
      </c>
      <c r="B60" s="3" t="inlineStr">
        <is>
          <t>VIX 10-02 收 15.31（−6.6%）：指數層面唔驚；大市闊度 10-02 有改善（63% 股票上升、32% 企喺 21EMA 上，對上一日 26%），但仍遠低過 50%，「指數靠幾隻大股撐住」嘅結構未解除。</t>
        </is>
      </c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5" t="n"/>
    </row>
    <row r="62">
      <c r="A62" s="71" t="inlineStr">
        <is>
          <t>四大力量周期對標（宏觀流動性／政治／技術革命／黑天鵝）</t>
        </is>
      </c>
    </row>
    <row r="63" ht="30" customHeight="1">
      <c r="A63" s="69" t="inlineStr">
        <is>
          <t>宏觀流動性（息口）周期</t>
        </is>
      </c>
      <c r="B63" s="3" t="inlineStr">
        <is>
          <t>加息周期中段：2026-09 加息後市場再價入 10／12 月加息。歷史對標 2004–06、1994 嘅「加息中段」—— 指數橫行偏上但闊度收窄、換手由長期增長股轉去定價能力強／現金流強嘅股票；周期尾聲訊號係 2 年息見頂、曲線由倒掛轉陡。</t>
        </is>
      </c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5" t="n"/>
    </row>
    <row r="64" ht="30" customHeight="1">
      <c r="A64" s="69" t="inlineStr">
        <is>
          <t>政治周期</t>
        </is>
      </c>
      <c r="B64" s="3" t="inlineStr">
        <is>
          <t>2026 中期選舉（11 月）前一個月：歷史上中期選舉年 9–10 月偏弱、選後 12 個月偏強（1950 年起幾乎無例外）；聯儲喺選前加息屬罕見，政治噪音會放大波動。</t>
        </is>
      </c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5" t="n"/>
    </row>
    <row r="65" ht="30" customHeight="1">
      <c r="A65" s="69" t="inlineStr">
        <is>
          <t>技術革命（AI／半導體）</t>
        </is>
      </c>
      <c r="B65" s="3" t="inlineStr">
        <is>
          <t>領導板塊仍係晶片（Micron 業績、AMD、INTC、MTSI、SITM 等喺名單上），但由 2023 年起計已係第三年，資本開支質疑（7 月 Alphabet 跌 7%）開始出現 —— 屬「產業周期中後段」，要求回調到 9/21EMA 先追，唔追突破。</t>
        </is>
      </c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5" t="n"/>
    </row>
    <row r="66" ht="30" customHeight="1">
      <c r="A66" s="69" t="inlineStr">
        <is>
          <t>黑天鵝／地緣</t>
        </is>
      </c>
      <c r="B66" s="3" t="inlineStr">
        <is>
          <t>美伊衝突、荷莫茲、胡塞攻擊油輪：每次升級油價急升 → 債息升 → 股市回調（7-22／8-11／8-31 三次），每次 1–3 星期內修復；下一個升級點係油價 $100 ＋ 10 年息 5.5%。</t>
        </is>
      </c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5" t="n"/>
    </row>
    <row r="68">
      <c r="A68" s="71" t="inlineStr">
        <is>
          <t>對呢份名單嘅含義</t>
        </is>
      </c>
    </row>
    <row r="69" ht="30" customHeight="1">
      <c r="A69" s="2" t="inlineStr">
        <is>
          <t>1</t>
        </is>
      </c>
      <c r="B69" s="3" t="inlineStr">
        <is>
          <t>SPY 769.64 離期內高位約 1%、QQQ 創新高，但合資格股票只有 32% 企喺 21EMA 上 —— 名單入面嘅股票係少數仍然處於上升結構嘅股票，屬「逆闊度」嘅精選，唔係大市普漲；10-02 就業數據令息口頂部初現，闊度由 26% 升到 32%，係修復嘅第一步。</t>
        </is>
      </c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5" t="n"/>
    </row>
    <row r="70" ht="30" customHeight="1">
      <c r="A70" s="2" t="inlineStr">
        <is>
          <t>2</t>
        </is>
      </c>
      <c r="B70" s="3" t="inlineStr">
        <is>
          <t>倉位：由「正常一半」加至七成，優先大型／中型股及 RS21 高嘅股票；小型股（市值 &lt;$20 億）仍只做試探倉，因 5% 以上嘅長債息對佢哋最唔利。</t>
        </is>
      </c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5" t="n"/>
    </row>
    <row r="71" ht="30" customHeight="1">
      <c r="A71" s="2" t="inlineStr">
        <is>
          <t>3</t>
        </is>
      </c>
      <c r="B71" s="3" t="inlineStr">
        <is>
          <t>入場：等股價回到 9EMA／21EMA 兼當日收市守住（收市在當日區間上半部），唔追離 9EMA 3% 以上嘅位置；止蝕放最後一個底之下。</t>
        </is>
      </c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5" t="n"/>
    </row>
    <row r="72" ht="30" customHeight="1">
      <c r="A72" s="2" t="inlineStr">
        <is>
          <t>4</t>
        </is>
      </c>
      <c r="B72" s="3" t="inlineStr">
        <is>
          <t>大市轉強確認訊號（觀察）：合資格股票 &gt;50% 企喺 21EMA 上、20 日新高多過新低連續 3 日、10 年息跌穿 5.0%、油價跌穿 $85；10-02 已經出現「債息回落＋油價回落」，等闊度跟上。</t>
        </is>
      </c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5" t="n"/>
    </row>
    <row r="73" ht="30" customHeight="1">
      <c r="A73" s="2" t="inlineStr">
        <is>
          <t>5</t>
        </is>
      </c>
      <c r="B73" s="3" t="inlineStr">
        <is>
          <t>風險觸發：10 年息 &gt;5.5%、油價 &gt;$100、VIX &gt;22、或聯儲 10-28 會議鷹派加息 —— 出現即減半倉位。</t>
        </is>
      </c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5" t="n"/>
    </row>
    <row r="75">
      <c r="A75" s="71" t="inlineStr">
        <is>
          <t>領先指標觀察表</t>
        </is>
      </c>
    </row>
    <row r="76">
      <c r="A76" s="76" t="inlineStr">
        <is>
          <t>指標</t>
        </is>
      </c>
      <c r="B76" s="76" t="inlineStr">
        <is>
          <t>現值</t>
        </is>
      </c>
      <c r="C76" s="76" t="inlineStr">
        <is>
          <t>轉勢門檻</t>
        </is>
      </c>
      <c r="D76" s="74" t="n"/>
      <c r="E76" s="74" t="n"/>
      <c r="F76" s="74" t="n"/>
      <c r="G76" s="74" t="n"/>
      <c r="H76" s="75" t="n"/>
    </row>
    <row r="77">
      <c r="A77" s="3" t="inlineStr">
        <is>
          <t>10 年期美債息</t>
        </is>
      </c>
      <c r="B77" s="3" t="inlineStr">
        <is>
          <t>5.28%（10-02）；10-01 曾見 5.33%</t>
        </is>
      </c>
      <c r="C77" s="3" t="inlineStr">
        <is>
          <t>跌穿 5.0% 轉利好；升穿 5.5% 轉利淡</t>
        </is>
      </c>
      <c r="D77" s="74" t="n"/>
      <c r="E77" s="74" t="n"/>
      <c r="F77" s="74" t="n"/>
      <c r="G77" s="74" t="n"/>
      <c r="H77" s="75" t="n"/>
    </row>
    <row r="78">
      <c r="A78" s="3" t="inlineStr">
        <is>
          <t>WTI 油價</t>
        </is>
      </c>
      <c r="B78" s="3" t="inlineStr">
        <is>
          <t>$91.26（10-02 收市，−1.7%）</t>
        </is>
      </c>
      <c r="C78" s="3" t="inlineStr">
        <is>
          <t>跌穿 $85 利好；升穿 $100 利淡</t>
        </is>
      </c>
      <c r="D78" s="74" t="n"/>
      <c r="E78" s="74" t="n"/>
      <c r="F78" s="74" t="n"/>
      <c r="G78" s="74" t="n"/>
      <c r="H78" s="75" t="n"/>
    </row>
    <row r="79">
      <c r="A79" s="3" t="inlineStr">
        <is>
          <t>VIX</t>
        </is>
      </c>
      <c r="B79" s="3" t="inlineStr">
        <is>
          <t>15.3（10-02 收市）</t>
        </is>
      </c>
      <c r="C79" s="3" t="inlineStr">
        <is>
          <t>升穿 22 要減倉</t>
        </is>
      </c>
      <c r="D79" s="74" t="n"/>
      <c r="E79" s="74" t="n"/>
      <c r="F79" s="74" t="n"/>
      <c r="G79" s="74" t="n"/>
      <c r="H79" s="75" t="n"/>
    </row>
    <row r="80">
      <c r="A80" s="3" t="inlineStr">
        <is>
          <t>美元指數</t>
        </is>
      </c>
      <c r="B80" s="3" t="inlineStr">
        <is>
          <t>101.9</t>
        </is>
      </c>
      <c r="C80" s="3" t="inlineStr">
        <is>
          <t>升穿 103 對大型科技股不利</t>
        </is>
      </c>
      <c r="D80" s="74" t="n"/>
      <c r="E80" s="74" t="n"/>
      <c r="F80" s="74" t="n"/>
      <c r="G80" s="74" t="n"/>
      <c r="H80" s="75" t="n"/>
    </row>
    <row r="81">
      <c r="A81" s="3" t="inlineStr">
        <is>
          <t>合資格股票企喺 21EMA 上嘅比例</t>
        </is>
      </c>
      <c r="B81" s="3" t="inlineStr">
        <is>
          <t>32%（10-02；10-01 係 26%）</t>
        </is>
      </c>
      <c r="C81" s="3" t="inlineStr">
        <is>
          <t>升穿 50% = 闊度推進（thrust），大市轉強</t>
        </is>
      </c>
      <c r="D81" s="74" t="n"/>
      <c r="E81" s="74" t="n"/>
      <c r="F81" s="74" t="n"/>
      <c r="G81" s="74" t="n"/>
      <c r="H81" s="75" t="n"/>
    </row>
    <row r="82">
      <c r="A82" s="3" t="inlineStr">
        <is>
          <t>20 日新高／新低</t>
        </is>
      </c>
      <c r="B82" s="3" t="inlineStr">
        <is>
          <t>273 / 383（10-02）；10-01 係 202 / 569</t>
        </is>
      </c>
      <c r="C82" s="3" t="inlineStr">
        <is>
          <t>新高多過新低連續 3 日 = 轉強</t>
        </is>
      </c>
      <c r="D82" s="74" t="n"/>
      <c r="E82" s="74" t="n"/>
      <c r="F82" s="74" t="n"/>
      <c r="G82" s="74" t="n"/>
      <c r="H82" s="75" t="n"/>
    </row>
    <row r="83">
      <c r="A83" s="3" t="inlineStr">
        <is>
          <t>聯儲 10-28 會議</t>
        </is>
      </c>
      <c r="B83" s="3" t="inlineStr">
        <is>
          <t>就業轉弱後市場預期按兵不動（10-01 前加息機率約 70%）</t>
        </is>
      </c>
      <c r="C83" s="3" t="inlineStr">
        <is>
          <t>唔加息 + 鴿派 = 風險偏好回升；意外加息 = 減半倉位</t>
        </is>
      </c>
      <c r="D83" s="74" t="n"/>
      <c r="E83" s="74" t="n"/>
      <c r="F83" s="74" t="n"/>
      <c r="G83" s="74" t="n"/>
      <c r="H83" s="75" t="n"/>
    </row>
    <row r="85">
      <c r="A85" s="71" t="inlineStr">
        <is>
          <t>名單板塊分佈（第一梯隊）</t>
        </is>
      </c>
    </row>
    <row r="86">
      <c r="A86" s="5" t="inlineStr">
        <is>
          <t>非必需消費</t>
        </is>
      </c>
      <c r="B86" s="73">
        <f>COUNTIFS('總表'!A2:A133,1,'總表'!F2:F133,A86)</f>
        <v/>
      </c>
    </row>
    <row r="87">
      <c r="A87" s="5" t="inlineStr">
        <is>
          <t>科技</t>
        </is>
      </c>
      <c r="B87" s="73">
        <f>COUNTIFS('總表'!A2:A133,1,'總表'!F2:F133,A87)</f>
        <v/>
      </c>
    </row>
    <row r="88">
      <c r="A88" s="5" t="inlineStr">
        <is>
          <t>金融</t>
        </is>
      </c>
      <c r="B88" s="73">
        <f>COUNTIFS('總表'!A2:A133,1,'總表'!F2:F133,A88)</f>
        <v/>
      </c>
    </row>
    <row r="89">
      <c r="A89" s="5" t="inlineStr">
        <is>
          <t>工業</t>
        </is>
      </c>
      <c r="B89" s="73">
        <f>COUNTIFS('總表'!A2:A133,1,'總表'!F2:F133,A89)</f>
        <v/>
      </c>
    </row>
    <row r="90">
      <c r="A90" s="5" t="inlineStr">
        <is>
          <t>電訊</t>
        </is>
      </c>
      <c r="B90" s="73">
        <f>COUNTIFS('總表'!A2:A133,1,'總表'!F2:F133,A90)</f>
        <v/>
      </c>
    </row>
    <row r="91">
      <c r="A91" s="5" t="inlineStr">
        <is>
          <t>醫療保健</t>
        </is>
      </c>
      <c r="B91" s="73">
        <f>COUNTIFS('總表'!A2:A133,1,'總表'!F2:F133,A91)</f>
        <v/>
      </c>
    </row>
    <row r="93">
      <c r="A93" s="71" t="inlineStr">
        <is>
          <t>來源</t>
        </is>
      </c>
    </row>
    <row r="94">
      <c r="A94" s="77" t="inlineStr">
        <is>
          <t>CNBC — Labor market faltered in September as jobs increased by just 29,000</t>
        </is>
      </c>
    </row>
    <row r="95">
      <c r="A95" s="77" t="inlineStr">
        <is>
          <t>Yahoo Finance — Stock market today: Dow, S&amp;P 500, Nasdaq rally as Fed rate-hike expectations fade</t>
        </is>
      </c>
    </row>
    <row r="96">
      <c r="A96" s="77" t="inlineStr">
        <is>
          <t>TheStreet — Stock Market Today (Oct. 2, 2026): S&amp;P 500 rises after key jobs report</t>
        </is>
      </c>
    </row>
    <row r="97">
      <c r="A97" s="77" t="inlineStr">
        <is>
          <t>Schwab — Lower Yields Boost Stocks Early on Soft Jobs Data</t>
        </is>
      </c>
    </row>
    <row r="98">
      <c r="A98" s="77" t="inlineStr">
        <is>
          <t>Yahoo Finance — September 2026 jobs report: payrolls, unemployment rate</t>
        </is>
      </c>
    </row>
    <row r="99">
      <c r="A99" s="77" t="inlineStr">
        <is>
          <t>CNBC — S&amp;P 500 closes higher to start October as Treasury yields retreat</t>
        </is>
      </c>
    </row>
    <row r="100">
      <c r="A100" s="77" t="inlineStr">
        <is>
          <t>Yahoo Finance — Stock market today: Thursday Oct 1</t>
        </is>
      </c>
    </row>
    <row r="101">
      <c r="A101" s="77" t="inlineStr">
        <is>
          <t>TheStreet — Stock Market Today (Oct. 1, 2026)</t>
        </is>
      </c>
    </row>
    <row r="102">
      <c r="A102" s="77" t="inlineStr">
        <is>
          <t>Bloomberg — Fed's Williams Sees One More Interest Rate Hike in Late 2026</t>
        </is>
      </c>
    </row>
    <row r="103">
      <c r="A103" s="77" t="inlineStr">
        <is>
          <t>Forbes — Markets Brace For Two More Fed Rate Hikes In 2026</t>
        </is>
      </c>
    </row>
    <row r="104">
      <c r="A104" s="77" t="inlineStr">
        <is>
          <t>CNBC — Warsh's regime change at the Fed pushes ahead</t>
        </is>
      </c>
    </row>
    <row r="105">
      <c r="A105" s="77" t="inlineStr">
        <is>
          <t>Schwab — Fed Hikes in 12-0 Vote, Commits to Inflation Fight</t>
        </is>
      </c>
    </row>
  </sheetData>
  <mergeCells count="25">
    <mergeCell ref="B72:L72"/>
    <mergeCell ref="B59:L59"/>
    <mergeCell ref="C80:H80"/>
    <mergeCell ref="B66:L66"/>
    <mergeCell ref="B56:L56"/>
    <mergeCell ref="B71:L71"/>
    <mergeCell ref="B58:L58"/>
    <mergeCell ref="B52:L52"/>
    <mergeCell ref="B70:L70"/>
    <mergeCell ref="C76:H76"/>
    <mergeCell ref="B60:L60"/>
    <mergeCell ref="C82:H82"/>
    <mergeCell ref="B57:L57"/>
    <mergeCell ref="B53:L53"/>
    <mergeCell ref="C81:H81"/>
    <mergeCell ref="B73:L73"/>
    <mergeCell ref="B69:L69"/>
    <mergeCell ref="C78:H78"/>
    <mergeCell ref="C83:H83"/>
    <mergeCell ref="C77:H77"/>
    <mergeCell ref="B65:L65"/>
    <mergeCell ref="B64:L64"/>
    <mergeCell ref="B51:L51"/>
    <mergeCell ref="C79:H79"/>
    <mergeCell ref="B63:L63"/>
  </mergeCells>
  <hyperlinks>
    <hyperlink xmlns:r="http://schemas.openxmlformats.org/officeDocument/2006/relationships" ref="A94" r:id="rId1"/>
    <hyperlink xmlns:r="http://schemas.openxmlformats.org/officeDocument/2006/relationships" ref="A95" r:id="rId2"/>
    <hyperlink xmlns:r="http://schemas.openxmlformats.org/officeDocument/2006/relationships" ref="A96" r:id="rId3"/>
    <hyperlink xmlns:r="http://schemas.openxmlformats.org/officeDocument/2006/relationships" ref="A97" r:id="rId4"/>
    <hyperlink xmlns:r="http://schemas.openxmlformats.org/officeDocument/2006/relationships" ref="A98" r:id="rId5"/>
    <hyperlink xmlns:r="http://schemas.openxmlformats.org/officeDocument/2006/relationships" ref="A99" r:id="rId6"/>
    <hyperlink xmlns:r="http://schemas.openxmlformats.org/officeDocument/2006/relationships" ref="A100" r:id="rId7"/>
    <hyperlink xmlns:r="http://schemas.openxmlformats.org/officeDocument/2006/relationships" ref="A101" r:id="rId8"/>
    <hyperlink xmlns:r="http://schemas.openxmlformats.org/officeDocument/2006/relationships" ref="A102" r:id="rId9"/>
    <hyperlink xmlns:r="http://schemas.openxmlformats.org/officeDocument/2006/relationships" ref="A103" r:id="rId10"/>
    <hyperlink xmlns:r="http://schemas.openxmlformats.org/officeDocument/2006/relationships" ref="A104" r:id="rId11"/>
    <hyperlink xmlns:r="http://schemas.openxmlformats.org/officeDocument/2006/relationships" ref="A105" r:id="rId1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數據來源同核對</t>
        </is>
      </c>
    </row>
    <row r="3" ht="30" customHeight="1">
      <c r="A3" s="69" t="inlineStr">
        <is>
          <t>股票池</t>
        </is>
      </c>
      <c r="B3" s="3" t="inlineStr">
        <is>
          <t>data/yahoo/tickers.txt：3,868 隻（承接 10MA-watchlist 嘅全美 ≥$1 普通股名單，Nasdaq 快照剔除 ETF／基金／優先股／權證／單位）</t>
        </is>
      </c>
    </row>
    <row r="4" ht="30" customHeight="1">
      <c r="A4" s="69" t="inlineStr">
        <is>
          <t>日線</t>
        </is>
      </c>
      <c r="B4" s="3" t="inlineStr">
        <is>
          <t>eod_2025-12-26_2026-10-04.csv.gz；intraday_2026-09-30_2026-10-02_60m.csv.gz —— 2026-10-02 有 bar 3,850 隻，其中日內 60 分鐘 bar 滾算（Yahoo 未出日線）0 隻</t>
        </is>
      </c>
    </row>
    <row r="5" ht="30" customHeight="1">
      <c r="A5" s="69" t="inlineStr">
        <is>
          <t>名稱／板塊／市值</t>
        </is>
      </c>
      <c r="B5" s="3" t="inlineStr">
        <is>
          <t>Nasdaq 收市後快照 2026-10-01.csv（名稱、板塊、行業、市值）；交易所來自 rreichel3/us-stock-symbols</t>
        </is>
      </c>
    </row>
    <row r="6" ht="30" customHeight="1">
      <c r="A6" s="69" t="inlineStr">
        <is>
          <t>宏觀</t>
        </is>
      </c>
      <c r="B6" s="3" t="inlineStr">
        <is>
          <t>data/yahoo/macro_daily_2025-12-26_2026-10-04.csv.gz（指數、ETF、商品、債息、美元）</t>
        </is>
      </c>
    </row>
    <row r="7" ht="30" customHeight="1">
      <c r="A7" s="69" t="inlineStr">
        <is>
          <t>抓取方式</t>
        </is>
      </c>
      <c r="B7" s="3" t="inlineStr">
        <is>
          <t>GitHub Actions runner 跑 scripts/fetch_yahoo.py（yfinance，auto_adjust=False）後 commit；研究容器本身連唔到 Yahoo</t>
        </is>
      </c>
    </row>
    <row r="9">
      <c r="A9" s="71" t="inlineStr">
        <is>
          <t>Nasdaq 快照 vs Yahoo</t>
        </is>
      </c>
    </row>
    <row r="10" ht="30" customHeight="1">
      <c r="A10" s="68" t="inlineStr">
        <is>
          <t>2026-10-01.csv</t>
        </is>
      </c>
      <c r="B10" s="3" t="inlineStr">
        <is>
          <t>快照「最後成交價」同名單嘅 Yahoo 2026-10-02 收市只有 21% 吻合（0.5% 內）、同前一交易日 27% —— 快照係更早嘅收市（10MA-watchlist 冇新快照），今版只用佢嘅名稱、板塊、行業、市值，唔用嚟核對價格；Yahoo 日線係單一價格來源。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2026-10-03T02:43:35Z</dcterms:created>
  <dcterms:modified xsi:type="dcterms:W3CDTF">2026-10-03T02:43:35Z</dcterms:modified>
</cp:coreProperties>
</file>